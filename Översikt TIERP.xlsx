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45294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9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45294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45294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45294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45294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45294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45294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45294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45294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21038-2023</t>
        </is>
      </c>
      <c r="B11" s="1" t="n">
        <v>45061</v>
      </c>
      <c r="C11" s="1" t="n">
        <v>45294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7.8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Orange taggsvamp
Ullticka
Fjällig taggsvamp s.str.
Grönpyrola
Rödgul trumpetsvamp
Skarp dropptaggsvamp
Skogshakmossa</t>
        </is>
      </c>
      <c r="S11">
        <f>HYPERLINK("https://klasma.github.io/Logging_0360/artfynd/A 21038-2023 artfynd.xlsx", "A 21038-2023")</f>
        <v/>
      </c>
      <c r="T11">
        <f>HYPERLINK("https://klasma.github.io/Logging_0360/kartor/A 21038-2023 karta.png", "A 21038-2023")</f>
        <v/>
      </c>
      <c r="U11">
        <f>HYPERLINK("https://klasma.github.io/Logging_0360/knärot/A 21038-2023 karta knärot.png", "A 21038-2023")</f>
        <v/>
      </c>
      <c r="V11">
        <f>HYPERLINK("https://klasma.github.io/Logging_0360/klagomål/A 21038-2023 FSC-klagomål.docx", "A 21038-2023")</f>
        <v/>
      </c>
      <c r="W11">
        <f>HYPERLINK("https://klasma.github.io/Logging_0360/klagomålsmail/A 21038-2023 FSC-klagomål mail.docx", "A 21038-2023")</f>
        <v/>
      </c>
      <c r="X11">
        <f>HYPERLINK("https://klasma.github.io/Logging_0360/tillsyn/A 21038-2023 tillsynsbegäran.docx", "A 21038-2023")</f>
        <v/>
      </c>
      <c r="Y11">
        <f>HYPERLINK("https://klasma.github.io/Logging_0360/tillsynsmail/A 21038-2023 tillsynsbegäran mail.docx", "A 21038-2023")</f>
        <v/>
      </c>
    </row>
    <row r="12" ht="15" customHeight="1">
      <c r="A12" t="inlineStr">
        <is>
          <t>A 8507-2023</t>
        </is>
      </c>
      <c r="B12" s="1" t="n">
        <v>44977</v>
      </c>
      <c r="C12" s="1" t="n">
        <v>45294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Violgubbe
Dofttaggsvamp
Flattoppad klubbsvamp
Orange taggsvamp
Spillkråka
Dropptaggsvamp</t>
        </is>
      </c>
      <c r="S12">
        <f>HYPERLINK("https://klasma.github.io/Logging_0360/artfynd/A 8507-2023 artfynd.xlsx", "A 8507-2023")</f>
        <v/>
      </c>
      <c r="T12">
        <f>HYPERLINK("https://klasma.github.io/Logging_0360/kartor/A 8507-2023 karta.png", "A 8507-2023")</f>
        <v/>
      </c>
      <c r="V12">
        <f>HYPERLINK("https://klasma.github.io/Logging_0360/klagomål/A 8507-2023 FSC-klagomål.docx", "A 8507-2023")</f>
        <v/>
      </c>
      <c r="W12">
        <f>HYPERLINK("https://klasma.github.io/Logging_0360/klagomålsmail/A 8507-2023 FSC-klagomål mail.docx", "A 8507-2023")</f>
        <v/>
      </c>
      <c r="X12">
        <f>HYPERLINK("https://klasma.github.io/Logging_0360/tillsyn/A 8507-2023 tillsynsbegäran.docx", "A 8507-2023")</f>
        <v/>
      </c>
      <c r="Y12">
        <f>HYPERLINK("https://klasma.github.io/Logging_0360/tillsynsmail/A 8507-2023 tillsynsbegäran mail.docx", "A 8507-2023")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45294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6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Spillkråka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45294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45294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45294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45294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45294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45294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45294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45294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45294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45294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45294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45294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45294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45294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45294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45294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45294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45294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45294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45294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45294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45294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45294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45294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45294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45294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45294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45294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45294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45294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45294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45294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45294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45294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45294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45294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57136-2018</t>
        </is>
      </c>
      <c r="B50" s="1" t="n">
        <v>43403</v>
      </c>
      <c r="C50" s="1" t="n">
        <v>45294</v>
      </c>
      <c r="D50" t="inlineStr">
        <is>
          <t>UPPSALA LÄN</t>
        </is>
      </c>
      <c r="E50" t="inlineStr">
        <is>
          <t>TIERP</t>
        </is>
      </c>
      <c r="G50" t="n">
        <v>6.2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HYPERLINK("https://klasma.github.io/Logging_0360/artfynd/A 57136-2018 artfynd.xlsx", "A 57136-2018")</f>
        <v/>
      </c>
      <c r="T50">
        <f>HYPERLINK("https://klasma.github.io/Logging_0360/kartor/A 57136-2018 karta.png", "A 57136-2018")</f>
        <v/>
      </c>
      <c r="V50">
        <f>HYPERLINK("https://klasma.github.io/Logging_0360/klagomål/A 57136-2018 FSC-klagomål.docx", "A 57136-2018")</f>
        <v/>
      </c>
      <c r="W50">
        <f>HYPERLINK("https://klasma.github.io/Logging_0360/klagomålsmail/A 57136-2018 FSC-klagomål mail.docx", "A 57136-2018")</f>
        <v/>
      </c>
      <c r="X50">
        <f>HYPERLINK("https://klasma.github.io/Logging_0360/tillsyn/A 57136-2018 tillsynsbegäran.docx", "A 57136-2018")</f>
        <v/>
      </c>
      <c r="Y50">
        <f>HYPERLINK("https://klasma.github.io/Logging_0360/tillsynsmail/A 57136-2018 tillsynsbegäran mail.docx", "A 57136-2018")</f>
        <v/>
      </c>
    </row>
    <row r="51" ht="15" customHeight="1">
      <c r="A51" t="inlineStr">
        <is>
          <t>A 5014-2019</t>
        </is>
      </c>
      <c r="B51" s="1" t="n">
        <v>43486</v>
      </c>
      <c r="C51" s="1" t="n">
        <v>45294</v>
      </c>
      <c r="D51" t="inlineStr">
        <is>
          <t>UPPSALA LÄN</t>
        </is>
      </c>
      <c r="E51" t="inlineStr">
        <is>
          <t>TIERP</t>
        </is>
      </c>
      <c r="G51" t="n">
        <v>71.5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HYPERLINK("https://klasma.github.io/Logging_0360/artfynd/A 5014-2019 artfynd.xlsx", "A 5014-2019")</f>
        <v/>
      </c>
      <c r="T51">
        <f>HYPERLINK("https://klasma.github.io/Logging_0360/kartor/A 5014-2019 karta.png", "A 5014-2019")</f>
        <v/>
      </c>
      <c r="V51">
        <f>HYPERLINK("https://klasma.github.io/Logging_0360/klagomål/A 5014-2019 FSC-klagomål.docx", "A 5014-2019")</f>
        <v/>
      </c>
      <c r="W51">
        <f>HYPERLINK("https://klasma.github.io/Logging_0360/klagomålsmail/A 5014-2019 FSC-klagomål mail.docx", "A 5014-2019")</f>
        <v/>
      </c>
      <c r="X51">
        <f>HYPERLINK("https://klasma.github.io/Logging_0360/tillsyn/A 5014-2019 tillsynsbegäran.docx", "A 5014-2019")</f>
        <v/>
      </c>
      <c r="Y51">
        <f>HYPERLINK("https://klasma.github.io/Logging_0360/tillsynsmail/A 5014-2019 tillsynsbegäran mail.docx", "A 5014-2019")</f>
        <v/>
      </c>
    </row>
    <row r="52" ht="15" customHeight="1">
      <c r="A52" t="inlineStr">
        <is>
          <t>A 30583-2019</t>
        </is>
      </c>
      <c r="B52" s="1" t="n">
        <v>43635</v>
      </c>
      <c r="C52" s="1" t="n">
        <v>45294</v>
      </c>
      <c r="D52" t="inlineStr">
        <is>
          <t>UPPSALA LÄN</t>
        </is>
      </c>
      <c r="E52" t="inlineStr">
        <is>
          <t>TIERP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Guckusko</t>
        </is>
      </c>
      <c r="S52">
        <f>HYPERLINK("https://klasma.github.io/Logging_0360/artfynd/A 30583-2019 artfynd.xlsx", "A 30583-2019")</f>
        <v/>
      </c>
      <c r="T52">
        <f>HYPERLINK("https://klasma.github.io/Logging_0360/kartor/A 30583-2019 karta.png", "A 30583-2019")</f>
        <v/>
      </c>
      <c r="V52">
        <f>HYPERLINK("https://klasma.github.io/Logging_0360/klagomål/A 30583-2019 FSC-klagomål.docx", "A 30583-2019")</f>
        <v/>
      </c>
      <c r="W52">
        <f>HYPERLINK("https://klasma.github.io/Logging_0360/klagomålsmail/A 30583-2019 FSC-klagomål mail.docx", "A 30583-2019")</f>
        <v/>
      </c>
      <c r="X52">
        <f>HYPERLINK("https://klasma.github.io/Logging_0360/tillsyn/A 30583-2019 tillsynsbegäran.docx", "A 30583-2019")</f>
        <v/>
      </c>
      <c r="Y52">
        <f>HYPERLINK("https://klasma.github.io/Logging_0360/tillsynsmail/A 30583-2019 tillsynsbegäran mail.docx", "A 30583-2019")</f>
        <v/>
      </c>
    </row>
    <row r="53" ht="15" customHeight="1">
      <c r="A53" t="inlineStr">
        <is>
          <t>A 33753-2019</t>
        </is>
      </c>
      <c r="B53" s="1" t="n">
        <v>43651</v>
      </c>
      <c r="C53" s="1" t="n">
        <v>45294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HYPERLINK("https://klasma.github.io/Logging_0360/artfynd/A 33753-2019 artfynd.xlsx", "A 33753-2019")</f>
        <v/>
      </c>
      <c r="T53">
        <f>HYPERLINK("https://klasma.github.io/Logging_0360/kartor/A 33753-2019 karta.png", "A 33753-2019")</f>
        <v/>
      </c>
      <c r="V53">
        <f>HYPERLINK("https://klasma.github.io/Logging_0360/klagomål/A 33753-2019 FSC-klagomål.docx", "A 33753-2019")</f>
        <v/>
      </c>
      <c r="W53">
        <f>HYPERLINK("https://klasma.github.io/Logging_0360/klagomålsmail/A 33753-2019 FSC-klagomål mail.docx", "A 33753-2019")</f>
        <v/>
      </c>
      <c r="X53">
        <f>HYPERLINK("https://klasma.github.io/Logging_0360/tillsyn/A 33753-2019 tillsynsbegäran.docx", "A 33753-2019")</f>
        <v/>
      </c>
      <c r="Y53">
        <f>HYPERLINK("https://klasma.github.io/Logging_0360/tillsynsmail/A 33753-2019 tillsynsbegäran mail.docx", "A 33753-2019")</f>
        <v/>
      </c>
    </row>
    <row r="54" ht="15" customHeight="1">
      <c r="A54" t="inlineStr">
        <is>
          <t>A 2391-2020</t>
        </is>
      </c>
      <c r="B54" s="1" t="n">
        <v>43847</v>
      </c>
      <c r="C54" s="1" t="n">
        <v>45294</v>
      </c>
      <c r="D54" t="inlineStr">
        <is>
          <t>UPPSALA LÄN</t>
        </is>
      </c>
      <c r="E54" t="inlineStr">
        <is>
          <t>TIERP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Äggspindling</t>
        </is>
      </c>
      <c r="S54">
        <f>HYPERLINK("https://klasma.github.io/Logging_0360/artfynd/A 2391-2020 artfynd.xlsx", "A 2391-2020")</f>
        <v/>
      </c>
      <c r="T54">
        <f>HYPERLINK("https://klasma.github.io/Logging_0360/kartor/A 2391-2020 karta.png", "A 2391-2020")</f>
        <v/>
      </c>
      <c r="V54">
        <f>HYPERLINK("https://klasma.github.io/Logging_0360/klagomål/A 2391-2020 FSC-klagomål.docx", "A 2391-2020")</f>
        <v/>
      </c>
      <c r="W54">
        <f>HYPERLINK("https://klasma.github.io/Logging_0360/klagomålsmail/A 2391-2020 FSC-klagomål mail.docx", "A 2391-2020")</f>
        <v/>
      </c>
      <c r="X54">
        <f>HYPERLINK("https://klasma.github.io/Logging_0360/tillsyn/A 2391-2020 tillsynsbegäran.docx", "A 2391-2020")</f>
        <v/>
      </c>
      <c r="Y54">
        <f>HYPERLINK("https://klasma.github.io/Logging_0360/tillsynsmail/A 2391-2020 tillsynsbegäran mail.docx", "A 2391-2020")</f>
        <v/>
      </c>
    </row>
    <row r="55" ht="15" customHeight="1">
      <c r="A55" t="inlineStr">
        <is>
          <t>A 2835-2020</t>
        </is>
      </c>
      <c r="B55" s="1" t="n">
        <v>43850</v>
      </c>
      <c r="C55" s="1" t="n">
        <v>45294</v>
      </c>
      <c r="D55" t="inlineStr">
        <is>
          <t>UPPSALA LÄN</t>
        </is>
      </c>
      <c r="E55" t="inlineStr">
        <is>
          <t>TIERP</t>
        </is>
      </c>
      <c r="G55" t="n">
        <v>7.6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HYPERLINK("https://klasma.github.io/Logging_0360/artfynd/A 2835-2020 artfynd.xlsx", "A 2835-2020")</f>
        <v/>
      </c>
      <c r="T55">
        <f>HYPERLINK("https://klasma.github.io/Logging_0360/kartor/A 2835-2020 karta.png", "A 2835-2020")</f>
        <v/>
      </c>
      <c r="V55">
        <f>HYPERLINK("https://klasma.github.io/Logging_0360/klagomål/A 2835-2020 FSC-klagomål.docx", "A 2835-2020")</f>
        <v/>
      </c>
      <c r="W55">
        <f>HYPERLINK("https://klasma.github.io/Logging_0360/klagomålsmail/A 2835-2020 FSC-klagomål mail.docx", "A 2835-2020")</f>
        <v/>
      </c>
      <c r="X55">
        <f>HYPERLINK("https://klasma.github.io/Logging_0360/tillsyn/A 2835-2020 tillsynsbegäran.docx", "A 2835-2020")</f>
        <v/>
      </c>
      <c r="Y55">
        <f>HYPERLINK("https://klasma.github.io/Logging_0360/tillsynsmail/A 2835-2020 tillsynsbegäran mail.docx", "A 2835-2020")</f>
        <v/>
      </c>
    </row>
    <row r="56" ht="15" customHeight="1">
      <c r="A56" t="inlineStr">
        <is>
          <t>A 5316-2020</t>
        </is>
      </c>
      <c r="B56" s="1" t="n">
        <v>43860</v>
      </c>
      <c r="C56" s="1" t="n">
        <v>45294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18.2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HYPERLINK("https://klasma.github.io/Logging_0360/artfynd/A 5316-2020 artfynd.xlsx", "A 5316-2020")</f>
        <v/>
      </c>
      <c r="T56">
        <f>HYPERLINK("https://klasma.github.io/Logging_0360/kartor/A 5316-2020 karta.png", "A 5316-2020")</f>
        <v/>
      </c>
      <c r="V56">
        <f>HYPERLINK("https://klasma.github.io/Logging_0360/klagomål/A 5316-2020 FSC-klagomål.docx", "A 5316-2020")</f>
        <v/>
      </c>
      <c r="W56">
        <f>HYPERLINK("https://klasma.github.io/Logging_0360/klagomålsmail/A 5316-2020 FSC-klagomål mail.docx", "A 5316-2020")</f>
        <v/>
      </c>
      <c r="X56">
        <f>HYPERLINK("https://klasma.github.io/Logging_0360/tillsyn/A 5316-2020 tillsynsbegäran.docx", "A 5316-2020")</f>
        <v/>
      </c>
      <c r="Y56">
        <f>HYPERLINK("https://klasma.github.io/Logging_0360/tillsynsmail/A 5316-2020 tillsynsbegäran mail.docx", "A 5316-2020")</f>
        <v/>
      </c>
    </row>
    <row r="57" ht="15" customHeight="1">
      <c r="A57" t="inlineStr">
        <is>
          <t>A 14008-2020</t>
        </is>
      </c>
      <c r="B57" s="1" t="n">
        <v>43906</v>
      </c>
      <c r="C57" s="1" t="n">
        <v>45294</v>
      </c>
      <c r="D57" t="inlineStr">
        <is>
          <t>UPPSALA LÄN</t>
        </is>
      </c>
      <c r="E57" t="inlineStr">
        <is>
          <t>TIERP</t>
        </is>
      </c>
      <c r="G57" t="n">
        <v>22.3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HYPERLINK("https://klasma.github.io/Logging_0360/artfynd/A 14008-2020 artfynd.xlsx", "A 14008-2020")</f>
        <v/>
      </c>
      <c r="T57">
        <f>HYPERLINK("https://klasma.github.io/Logging_0360/kartor/A 14008-2020 karta.png", "A 14008-2020")</f>
        <v/>
      </c>
      <c r="V57">
        <f>HYPERLINK("https://klasma.github.io/Logging_0360/klagomål/A 14008-2020 FSC-klagomål.docx", "A 14008-2020")</f>
        <v/>
      </c>
      <c r="W57">
        <f>HYPERLINK("https://klasma.github.io/Logging_0360/klagomålsmail/A 14008-2020 FSC-klagomål mail.docx", "A 14008-2020")</f>
        <v/>
      </c>
      <c r="X57">
        <f>HYPERLINK("https://klasma.github.io/Logging_0360/tillsyn/A 14008-2020 tillsynsbegäran.docx", "A 14008-2020")</f>
        <v/>
      </c>
      <c r="Y57">
        <f>HYPERLINK("https://klasma.github.io/Logging_0360/tillsynsmail/A 14008-2020 tillsynsbegäran mail.docx", "A 14008-2020")</f>
        <v/>
      </c>
    </row>
    <row r="58" ht="15" customHeight="1">
      <c r="A58" t="inlineStr">
        <is>
          <t>A 18773-2020</t>
        </is>
      </c>
      <c r="B58" s="1" t="n">
        <v>43930</v>
      </c>
      <c r="C58" s="1" t="n">
        <v>45294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HYPERLINK("https://klasma.github.io/Logging_0360/artfynd/A 18773-2020 artfynd.xlsx", "A 18773-2020")</f>
        <v/>
      </c>
      <c r="T58">
        <f>HYPERLINK("https://klasma.github.io/Logging_0360/kartor/A 18773-2020 karta.png", "A 18773-2020")</f>
        <v/>
      </c>
      <c r="V58">
        <f>HYPERLINK("https://klasma.github.io/Logging_0360/klagomål/A 18773-2020 FSC-klagomål.docx", "A 18773-2020")</f>
        <v/>
      </c>
      <c r="W58">
        <f>HYPERLINK("https://klasma.github.io/Logging_0360/klagomålsmail/A 18773-2020 FSC-klagomål mail.docx", "A 18773-2020")</f>
        <v/>
      </c>
      <c r="X58">
        <f>HYPERLINK("https://klasma.github.io/Logging_0360/tillsyn/A 18773-2020 tillsynsbegäran.docx", "A 18773-2020")</f>
        <v/>
      </c>
      <c r="Y58">
        <f>HYPERLINK("https://klasma.github.io/Logging_0360/tillsynsmail/A 18773-2020 tillsynsbegäran mail.docx", "A 18773-2020")</f>
        <v/>
      </c>
    </row>
    <row r="59" ht="15" customHeight="1">
      <c r="A59" t="inlineStr">
        <is>
          <t>A 18788-2020</t>
        </is>
      </c>
      <c r="B59" s="1" t="n">
        <v>43931</v>
      </c>
      <c r="C59" s="1" t="n">
        <v>45294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HYPERLINK("https://klasma.github.io/Logging_0360/artfynd/A 18788-2020 artfynd.xlsx", "A 18788-2020")</f>
        <v/>
      </c>
      <c r="T59">
        <f>HYPERLINK("https://klasma.github.io/Logging_0360/kartor/A 18788-2020 karta.png", "A 18788-2020")</f>
        <v/>
      </c>
      <c r="V59">
        <f>HYPERLINK("https://klasma.github.io/Logging_0360/klagomål/A 18788-2020 FSC-klagomål.docx", "A 18788-2020")</f>
        <v/>
      </c>
      <c r="W59">
        <f>HYPERLINK("https://klasma.github.io/Logging_0360/klagomålsmail/A 18788-2020 FSC-klagomål mail.docx", "A 18788-2020")</f>
        <v/>
      </c>
      <c r="X59">
        <f>HYPERLINK("https://klasma.github.io/Logging_0360/tillsyn/A 18788-2020 tillsynsbegäran.docx", "A 18788-2020")</f>
        <v/>
      </c>
      <c r="Y59">
        <f>HYPERLINK("https://klasma.github.io/Logging_0360/tillsynsmail/A 18788-2020 tillsynsbegäran mail.docx", "A 18788-2020")</f>
        <v/>
      </c>
    </row>
    <row r="60" ht="15" customHeight="1">
      <c r="A60" t="inlineStr">
        <is>
          <t>A 3444-2021</t>
        </is>
      </c>
      <c r="B60" s="1" t="n">
        <v>44218</v>
      </c>
      <c r="C60" s="1" t="n">
        <v>45294</v>
      </c>
      <c r="D60" t="inlineStr">
        <is>
          <t>UPPSALA LÄN</t>
        </is>
      </c>
      <c r="E60" t="inlineStr">
        <is>
          <t>TIERP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HYPERLINK("https://klasma.github.io/Logging_0360/artfynd/A 3444-2021 artfynd.xlsx", "A 3444-2021")</f>
        <v/>
      </c>
      <c r="T60">
        <f>HYPERLINK("https://klasma.github.io/Logging_0360/kartor/A 3444-2021 karta.png", "A 3444-2021")</f>
        <v/>
      </c>
      <c r="V60">
        <f>HYPERLINK("https://klasma.github.io/Logging_0360/klagomål/A 3444-2021 FSC-klagomål.docx", "A 3444-2021")</f>
        <v/>
      </c>
      <c r="W60">
        <f>HYPERLINK("https://klasma.github.io/Logging_0360/klagomålsmail/A 3444-2021 FSC-klagomål mail.docx", "A 3444-2021")</f>
        <v/>
      </c>
      <c r="X60">
        <f>HYPERLINK("https://klasma.github.io/Logging_0360/tillsyn/A 3444-2021 tillsynsbegäran.docx", "A 3444-2021")</f>
        <v/>
      </c>
      <c r="Y60">
        <f>HYPERLINK("https://klasma.github.io/Logging_0360/tillsynsmail/A 3444-2021 tillsynsbegäran mail.docx", "A 3444-2021")</f>
        <v/>
      </c>
    </row>
    <row r="61" ht="15" customHeight="1">
      <c r="A61" t="inlineStr">
        <is>
          <t>A 73320-2021</t>
        </is>
      </c>
      <c r="B61" s="1" t="n">
        <v>44551</v>
      </c>
      <c r="C61" s="1" t="n">
        <v>45294</v>
      </c>
      <c r="D61" t="inlineStr">
        <is>
          <t>UPPSALA LÄN</t>
        </is>
      </c>
      <c r="E61" t="inlineStr">
        <is>
          <t>TIERP</t>
        </is>
      </c>
      <c r="G61" t="n">
        <v>8.699999999999999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HYPERLINK("https://klasma.github.io/Logging_0360/artfynd/A 73320-2021 artfynd.xlsx", "A 73320-2021")</f>
        <v/>
      </c>
      <c r="T61">
        <f>HYPERLINK("https://klasma.github.io/Logging_0360/kartor/A 73320-2021 karta.png", "A 73320-2021")</f>
        <v/>
      </c>
      <c r="V61">
        <f>HYPERLINK("https://klasma.github.io/Logging_0360/klagomål/A 73320-2021 FSC-klagomål.docx", "A 73320-2021")</f>
        <v/>
      </c>
      <c r="W61">
        <f>HYPERLINK("https://klasma.github.io/Logging_0360/klagomålsmail/A 73320-2021 FSC-klagomål mail.docx", "A 73320-2021")</f>
        <v/>
      </c>
      <c r="X61">
        <f>HYPERLINK("https://klasma.github.io/Logging_0360/tillsyn/A 73320-2021 tillsynsbegäran.docx", "A 73320-2021")</f>
        <v/>
      </c>
      <c r="Y61">
        <f>HYPERLINK("https://klasma.github.io/Logging_0360/tillsynsmail/A 73320-2021 tillsynsbegäran mail.docx", "A 73320-2021")</f>
        <v/>
      </c>
    </row>
    <row r="62" ht="15" customHeight="1">
      <c r="A62" t="inlineStr">
        <is>
          <t>A 74472-2021</t>
        </is>
      </c>
      <c r="B62" s="1" t="n">
        <v>44560</v>
      </c>
      <c r="C62" s="1" t="n">
        <v>45294</v>
      </c>
      <c r="D62" t="inlineStr">
        <is>
          <t>UPPSALA LÄN</t>
        </is>
      </c>
      <c r="E62" t="inlineStr">
        <is>
          <t>TIERP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Underviol</t>
        </is>
      </c>
      <c r="S62">
        <f>HYPERLINK("https://klasma.github.io/Logging_0360/artfynd/A 74472-2021 artfynd.xlsx", "A 74472-2021")</f>
        <v/>
      </c>
      <c r="T62">
        <f>HYPERLINK("https://klasma.github.io/Logging_0360/kartor/A 74472-2021 karta.png", "A 74472-2021")</f>
        <v/>
      </c>
      <c r="V62">
        <f>HYPERLINK("https://klasma.github.io/Logging_0360/klagomål/A 74472-2021 FSC-klagomål.docx", "A 74472-2021")</f>
        <v/>
      </c>
      <c r="W62">
        <f>HYPERLINK("https://klasma.github.io/Logging_0360/klagomålsmail/A 74472-2021 FSC-klagomål mail.docx", "A 74472-2021")</f>
        <v/>
      </c>
      <c r="X62">
        <f>HYPERLINK("https://klasma.github.io/Logging_0360/tillsyn/A 74472-2021 tillsynsbegäran.docx", "A 74472-2021")</f>
        <v/>
      </c>
      <c r="Y62">
        <f>HYPERLINK("https://klasma.github.io/Logging_0360/tillsynsmail/A 74472-2021 tillsynsbegäran mail.docx", "A 74472-2021")</f>
        <v/>
      </c>
    </row>
    <row r="63" ht="15" customHeight="1">
      <c r="A63" t="inlineStr">
        <is>
          <t>A 5454-2022</t>
        </is>
      </c>
      <c r="B63" s="1" t="n">
        <v>44595</v>
      </c>
      <c r="C63" s="1" t="n">
        <v>45294</v>
      </c>
      <c r="D63" t="inlineStr">
        <is>
          <t>UPPSALA LÄN</t>
        </is>
      </c>
      <c r="E63" t="inlineStr">
        <is>
          <t>TIERP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Anisspindling</t>
        </is>
      </c>
      <c r="S63">
        <f>HYPERLINK("https://klasma.github.io/Logging_0360/artfynd/A 5454-2022 artfynd.xlsx", "A 5454-2022")</f>
        <v/>
      </c>
      <c r="T63">
        <f>HYPERLINK("https://klasma.github.io/Logging_0360/kartor/A 5454-2022 karta.png", "A 5454-2022")</f>
        <v/>
      </c>
      <c r="U63">
        <f>HYPERLINK("https://klasma.github.io/Logging_0360/knärot/A 5454-2022 karta knärot.png", "A 5454-2022")</f>
        <v/>
      </c>
      <c r="V63">
        <f>HYPERLINK("https://klasma.github.io/Logging_0360/klagomål/A 5454-2022 FSC-klagomål.docx", "A 5454-2022")</f>
        <v/>
      </c>
      <c r="W63">
        <f>HYPERLINK("https://klasma.github.io/Logging_0360/klagomålsmail/A 5454-2022 FSC-klagomål mail.docx", "A 5454-2022")</f>
        <v/>
      </c>
      <c r="X63">
        <f>HYPERLINK("https://klasma.github.io/Logging_0360/tillsyn/A 5454-2022 tillsynsbegäran.docx", "A 5454-2022")</f>
        <v/>
      </c>
      <c r="Y63">
        <f>HYPERLINK("https://klasma.github.io/Logging_0360/tillsynsmail/A 5454-2022 tillsynsbegäran mail.docx", "A 5454-2022")</f>
        <v/>
      </c>
    </row>
    <row r="64" ht="15" customHeight="1">
      <c r="A64" t="inlineStr">
        <is>
          <t>A 7505-2022</t>
        </is>
      </c>
      <c r="B64" s="1" t="n">
        <v>44607</v>
      </c>
      <c r="C64" s="1" t="n">
        <v>45294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Grentaggsvamp</t>
        </is>
      </c>
      <c r="S64">
        <f>HYPERLINK("https://klasma.github.io/Logging_0360/artfynd/A 7505-2022 artfynd.xlsx", "A 7505-2022")</f>
        <v/>
      </c>
      <c r="T64">
        <f>HYPERLINK("https://klasma.github.io/Logging_0360/kartor/A 7505-2022 karta.png", "A 7505-2022")</f>
        <v/>
      </c>
      <c r="V64">
        <f>HYPERLINK("https://klasma.github.io/Logging_0360/klagomål/A 7505-2022 FSC-klagomål.docx", "A 7505-2022")</f>
        <v/>
      </c>
      <c r="W64">
        <f>HYPERLINK("https://klasma.github.io/Logging_0360/klagomålsmail/A 7505-2022 FSC-klagomål mail.docx", "A 7505-2022")</f>
        <v/>
      </c>
      <c r="X64">
        <f>HYPERLINK("https://klasma.github.io/Logging_0360/tillsyn/A 7505-2022 tillsynsbegäran.docx", "A 7505-2022")</f>
        <v/>
      </c>
      <c r="Y64">
        <f>HYPERLINK("https://klasma.github.io/Logging_0360/tillsynsmail/A 7505-2022 tillsynsbegäran mail.docx", "A 7505-2022")</f>
        <v/>
      </c>
    </row>
    <row r="65" ht="15" customHeight="1">
      <c r="A65" t="inlineStr">
        <is>
          <t>A 33375-2022</t>
        </is>
      </c>
      <c r="B65" s="1" t="n">
        <v>44788</v>
      </c>
      <c r="C65" s="1" t="n">
        <v>45294</v>
      </c>
      <c r="D65" t="inlineStr">
        <is>
          <t>UPPSALA LÄN</t>
        </is>
      </c>
      <c r="E65" t="inlineStr">
        <is>
          <t>TIERP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Fältgentiana</t>
        </is>
      </c>
      <c r="S65">
        <f>HYPERLINK("https://klasma.github.io/Logging_0360/artfynd/A 33375-2022 artfynd.xlsx", "A 33375-2022")</f>
        <v/>
      </c>
      <c r="T65">
        <f>HYPERLINK("https://klasma.github.io/Logging_0360/kartor/A 33375-2022 karta.png", "A 33375-2022")</f>
        <v/>
      </c>
      <c r="V65">
        <f>HYPERLINK("https://klasma.github.io/Logging_0360/klagomål/A 33375-2022 FSC-klagomål.docx", "A 33375-2022")</f>
        <v/>
      </c>
      <c r="W65">
        <f>HYPERLINK("https://klasma.github.io/Logging_0360/klagomålsmail/A 33375-2022 FSC-klagomål mail.docx", "A 33375-2022")</f>
        <v/>
      </c>
      <c r="X65">
        <f>HYPERLINK("https://klasma.github.io/Logging_0360/tillsyn/A 33375-2022 tillsynsbegäran.docx", "A 33375-2022")</f>
        <v/>
      </c>
      <c r="Y65">
        <f>HYPERLINK("https://klasma.github.io/Logging_0360/tillsynsmail/A 33375-2022 tillsynsbegäran mail.docx", "A 33375-2022")</f>
        <v/>
      </c>
    </row>
    <row r="66" ht="15" customHeight="1">
      <c r="A66" t="inlineStr">
        <is>
          <t>A 40362-2022</t>
        </is>
      </c>
      <c r="B66" s="1" t="n">
        <v>44823</v>
      </c>
      <c r="C66" s="1" t="n">
        <v>45294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HYPERLINK("https://klasma.github.io/Logging_0360/artfynd/A 40362-2022 artfynd.xlsx", "A 40362-2022")</f>
        <v/>
      </c>
      <c r="T66">
        <f>HYPERLINK("https://klasma.github.io/Logging_0360/kartor/A 40362-2022 karta.png", "A 40362-2022")</f>
        <v/>
      </c>
      <c r="V66">
        <f>HYPERLINK("https://klasma.github.io/Logging_0360/klagomål/A 40362-2022 FSC-klagomål.docx", "A 40362-2022")</f>
        <v/>
      </c>
      <c r="W66">
        <f>HYPERLINK("https://klasma.github.io/Logging_0360/klagomålsmail/A 40362-2022 FSC-klagomål mail.docx", "A 40362-2022")</f>
        <v/>
      </c>
      <c r="X66">
        <f>HYPERLINK("https://klasma.github.io/Logging_0360/tillsyn/A 40362-2022 tillsynsbegäran.docx", "A 40362-2022")</f>
        <v/>
      </c>
      <c r="Y66">
        <f>HYPERLINK("https://klasma.github.io/Logging_0360/tillsynsmail/A 40362-2022 tillsynsbegäran mail.docx", "A 40362-2022")</f>
        <v/>
      </c>
    </row>
    <row r="67" ht="15" customHeight="1">
      <c r="A67" t="inlineStr">
        <is>
          <t>A 45536-2022</t>
        </is>
      </c>
      <c r="B67" s="1" t="n">
        <v>44845</v>
      </c>
      <c r="C67" s="1" t="n">
        <v>45294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HYPERLINK("https://klasma.github.io/Logging_0360/artfynd/A 45536-2022 artfynd.xlsx", "A 45536-2022")</f>
        <v/>
      </c>
      <c r="T67">
        <f>HYPERLINK("https://klasma.github.io/Logging_0360/kartor/A 45536-2022 karta.png", "A 45536-2022")</f>
        <v/>
      </c>
      <c r="V67">
        <f>HYPERLINK("https://klasma.github.io/Logging_0360/klagomål/A 45536-2022 FSC-klagomål.docx", "A 45536-2022")</f>
        <v/>
      </c>
      <c r="W67">
        <f>HYPERLINK("https://klasma.github.io/Logging_0360/klagomålsmail/A 45536-2022 FSC-klagomål mail.docx", "A 45536-2022")</f>
        <v/>
      </c>
      <c r="X67">
        <f>HYPERLINK("https://klasma.github.io/Logging_0360/tillsyn/A 45536-2022 tillsynsbegäran.docx", "A 45536-2022")</f>
        <v/>
      </c>
      <c r="Y67">
        <f>HYPERLINK("https://klasma.github.io/Logging_0360/tillsynsmail/A 45536-2022 tillsynsbegäran mail.docx", "A 45536-2022")</f>
        <v/>
      </c>
    </row>
    <row r="68" ht="15" customHeight="1">
      <c r="A68" t="inlineStr">
        <is>
          <t>A 47227-2022</t>
        </is>
      </c>
      <c r="B68" s="1" t="n">
        <v>44852</v>
      </c>
      <c r="C68" s="1" t="n">
        <v>45294</v>
      </c>
      <c r="D68" t="inlineStr">
        <is>
          <t>UPPSALA LÄN</t>
        </is>
      </c>
      <c r="E68" t="inlineStr">
        <is>
          <t>TIERP</t>
        </is>
      </c>
      <c r="G68" t="n">
        <v>5.9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Nästrot</t>
        </is>
      </c>
      <c r="S68">
        <f>HYPERLINK("https://klasma.github.io/Logging_0360/artfynd/A 47227-2022 artfynd.xlsx", "A 47227-2022")</f>
        <v/>
      </c>
      <c r="T68">
        <f>HYPERLINK("https://klasma.github.io/Logging_0360/kartor/A 47227-2022 karta.png", "A 47227-2022")</f>
        <v/>
      </c>
      <c r="V68">
        <f>HYPERLINK("https://klasma.github.io/Logging_0360/klagomål/A 47227-2022 FSC-klagomål.docx", "A 47227-2022")</f>
        <v/>
      </c>
      <c r="W68">
        <f>HYPERLINK("https://klasma.github.io/Logging_0360/klagomålsmail/A 47227-2022 FSC-klagomål mail.docx", "A 47227-2022")</f>
        <v/>
      </c>
      <c r="X68">
        <f>HYPERLINK("https://klasma.github.io/Logging_0360/tillsyn/A 47227-2022 tillsynsbegäran.docx", "A 47227-2022")</f>
        <v/>
      </c>
      <c r="Y68">
        <f>HYPERLINK("https://klasma.github.io/Logging_0360/tillsynsmail/A 47227-2022 tillsynsbegäran mail.docx", "A 47227-2022")</f>
        <v/>
      </c>
    </row>
    <row r="69" ht="15" customHeight="1">
      <c r="A69" t="inlineStr">
        <is>
          <t>A 56968-2022</t>
        </is>
      </c>
      <c r="B69" s="1" t="n">
        <v>44894</v>
      </c>
      <c r="C69" s="1" t="n">
        <v>45294</v>
      </c>
      <c r="D69" t="inlineStr">
        <is>
          <t>UPPSALA LÄN</t>
        </is>
      </c>
      <c r="E69" t="inlineStr">
        <is>
          <t>TIERP</t>
        </is>
      </c>
      <c r="G69" t="n">
        <v>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Olivspindling</t>
        </is>
      </c>
      <c r="S69">
        <f>HYPERLINK("https://klasma.github.io/Logging_0360/artfynd/A 56968-2022 artfynd.xlsx", "A 56968-2022")</f>
        <v/>
      </c>
      <c r="T69">
        <f>HYPERLINK("https://klasma.github.io/Logging_0360/kartor/A 56968-2022 karta.png", "A 56968-2022")</f>
        <v/>
      </c>
      <c r="V69">
        <f>HYPERLINK("https://klasma.github.io/Logging_0360/klagomål/A 56968-2022 FSC-klagomål.docx", "A 56968-2022")</f>
        <v/>
      </c>
      <c r="W69">
        <f>HYPERLINK("https://klasma.github.io/Logging_0360/klagomålsmail/A 56968-2022 FSC-klagomål mail.docx", "A 56968-2022")</f>
        <v/>
      </c>
      <c r="X69">
        <f>HYPERLINK("https://klasma.github.io/Logging_0360/tillsyn/A 56968-2022 tillsynsbegäran.docx", "A 56968-2022")</f>
        <v/>
      </c>
      <c r="Y69">
        <f>HYPERLINK("https://klasma.github.io/Logging_0360/tillsynsmail/A 56968-2022 tillsynsbegäran mail.docx", "A 56968-2022")</f>
        <v/>
      </c>
    </row>
    <row r="70" ht="15" customHeight="1">
      <c r="A70" t="inlineStr">
        <is>
          <t>A 60555-2022</t>
        </is>
      </c>
      <c r="B70" s="1" t="n">
        <v>44911</v>
      </c>
      <c r="C70" s="1" t="n">
        <v>45294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HYPERLINK("https://klasma.github.io/Logging_0360/artfynd/A 60555-2022 artfynd.xlsx", "A 60555-2022")</f>
        <v/>
      </c>
      <c r="T70">
        <f>HYPERLINK("https://klasma.github.io/Logging_0360/kartor/A 60555-2022 karta.png", "A 60555-2022")</f>
        <v/>
      </c>
      <c r="V70">
        <f>HYPERLINK("https://klasma.github.io/Logging_0360/klagomål/A 60555-2022 FSC-klagomål.docx", "A 60555-2022")</f>
        <v/>
      </c>
      <c r="W70">
        <f>HYPERLINK("https://klasma.github.io/Logging_0360/klagomålsmail/A 60555-2022 FSC-klagomål mail.docx", "A 60555-2022")</f>
        <v/>
      </c>
      <c r="X70">
        <f>HYPERLINK("https://klasma.github.io/Logging_0360/tillsyn/A 60555-2022 tillsynsbegäran.docx", "A 60555-2022")</f>
        <v/>
      </c>
      <c r="Y70">
        <f>HYPERLINK("https://klasma.github.io/Logging_0360/tillsynsmail/A 60555-2022 tillsynsbegäran mail.docx", "A 60555-2022")</f>
        <v/>
      </c>
    </row>
    <row r="71" ht="15" customHeight="1">
      <c r="A71" t="inlineStr">
        <is>
          <t>A 5472-2023</t>
        </is>
      </c>
      <c r="B71" s="1" t="n">
        <v>44960</v>
      </c>
      <c r="C71" s="1" t="n">
        <v>45294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7.8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5472-2023 artfynd.xlsx", "A 5472-2023")</f>
        <v/>
      </c>
      <c r="T71">
        <f>HYPERLINK("https://klasma.github.io/Logging_0360/kartor/A 5472-2023 karta.png", "A 5472-2023")</f>
        <v/>
      </c>
      <c r="V71">
        <f>HYPERLINK("https://klasma.github.io/Logging_0360/klagomål/A 5472-2023 FSC-klagomål.docx", "A 5472-2023")</f>
        <v/>
      </c>
      <c r="W71">
        <f>HYPERLINK("https://klasma.github.io/Logging_0360/klagomålsmail/A 5472-2023 FSC-klagomål mail.docx", "A 5472-2023")</f>
        <v/>
      </c>
      <c r="X71">
        <f>HYPERLINK("https://klasma.github.io/Logging_0360/tillsyn/A 5472-2023 tillsynsbegäran.docx", "A 5472-2023")</f>
        <v/>
      </c>
      <c r="Y71">
        <f>HYPERLINK("https://klasma.github.io/Logging_0360/tillsynsmail/A 5472-2023 tillsynsbegäran mail.docx", "A 5472-2023")</f>
        <v/>
      </c>
    </row>
    <row r="72" ht="15" customHeight="1">
      <c r="A72" t="inlineStr">
        <is>
          <t>A 13433-2023</t>
        </is>
      </c>
      <c r="B72" s="1" t="n">
        <v>45005</v>
      </c>
      <c r="C72" s="1" t="n">
        <v>45294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13433-2023 artfynd.xlsx", "A 13433-2023")</f>
        <v/>
      </c>
      <c r="T72">
        <f>HYPERLINK("https://klasma.github.io/Logging_0360/kartor/A 13433-2023 karta.png", "A 13433-2023")</f>
        <v/>
      </c>
      <c r="V72">
        <f>HYPERLINK("https://klasma.github.io/Logging_0360/klagomål/A 13433-2023 FSC-klagomål.docx", "A 13433-2023")</f>
        <v/>
      </c>
      <c r="W72">
        <f>HYPERLINK("https://klasma.github.io/Logging_0360/klagomålsmail/A 13433-2023 FSC-klagomål mail.docx", "A 13433-2023")</f>
        <v/>
      </c>
      <c r="X72">
        <f>HYPERLINK("https://klasma.github.io/Logging_0360/tillsyn/A 13433-2023 tillsynsbegäran.docx", "A 13433-2023")</f>
        <v/>
      </c>
      <c r="Y72">
        <f>HYPERLINK("https://klasma.github.io/Logging_0360/tillsynsmail/A 13433-2023 tillsynsbegäran mail.docx", "A 13433-2023")</f>
        <v/>
      </c>
    </row>
    <row r="73" ht="15" customHeight="1">
      <c r="A73" t="inlineStr">
        <is>
          <t>A 38151-2023</t>
        </is>
      </c>
      <c r="B73" s="1" t="n">
        <v>45160</v>
      </c>
      <c r="C73" s="1" t="n">
        <v>45294</v>
      </c>
      <c r="D73" t="inlineStr">
        <is>
          <t>UPPSALA LÄN</t>
        </is>
      </c>
      <c r="E73" t="inlineStr">
        <is>
          <t>TIERP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Tornseglare</t>
        </is>
      </c>
      <c r="S73">
        <f>HYPERLINK("https://klasma.github.io/Logging_0360/artfynd/A 38151-2023 artfynd.xlsx", "A 38151-2023")</f>
        <v/>
      </c>
      <c r="T73">
        <f>HYPERLINK("https://klasma.github.io/Logging_0360/kartor/A 38151-2023 karta.png", "A 38151-2023")</f>
        <v/>
      </c>
      <c r="V73">
        <f>HYPERLINK("https://klasma.github.io/Logging_0360/klagomål/A 38151-2023 FSC-klagomål.docx", "A 38151-2023")</f>
        <v/>
      </c>
      <c r="W73">
        <f>HYPERLINK("https://klasma.github.io/Logging_0360/klagomålsmail/A 38151-2023 FSC-klagomål mail.docx", "A 38151-2023")</f>
        <v/>
      </c>
      <c r="X73">
        <f>HYPERLINK("https://klasma.github.io/Logging_0360/tillsyn/A 38151-2023 tillsynsbegäran.docx", "A 38151-2023")</f>
        <v/>
      </c>
      <c r="Y73">
        <f>HYPERLINK("https://klasma.github.io/Logging_0360/tillsynsmail/A 38151-2023 tillsynsbegäran mail.docx", "A 38151-2023")</f>
        <v/>
      </c>
    </row>
    <row r="74" ht="15" customHeight="1">
      <c r="A74" t="inlineStr">
        <is>
          <t>A 38821-2023</t>
        </is>
      </c>
      <c r="B74" s="1" t="n">
        <v>45163</v>
      </c>
      <c r="C74" s="1" t="n">
        <v>45294</v>
      </c>
      <c r="D74" t="inlineStr">
        <is>
          <t>UPPSALA LÄN</t>
        </is>
      </c>
      <c r="E74" t="inlineStr">
        <is>
          <t>TIERP</t>
        </is>
      </c>
      <c r="G74" t="n">
        <v>20.3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38821-2023 artfynd.xlsx", "A 38821-2023")</f>
        <v/>
      </c>
      <c r="T74">
        <f>HYPERLINK("https://klasma.github.io/Logging_0360/kartor/A 38821-2023 karta.png", "A 38821-2023")</f>
        <v/>
      </c>
      <c r="V74">
        <f>HYPERLINK("https://klasma.github.io/Logging_0360/klagomål/A 38821-2023 FSC-klagomål.docx", "A 38821-2023")</f>
        <v/>
      </c>
      <c r="W74">
        <f>HYPERLINK("https://klasma.github.io/Logging_0360/klagomålsmail/A 38821-2023 FSC-klagomål mail.docx", "A 38821-2023")</f>
        <v/>
      </c>
      <c r="X74">
        <f>HYPERLINK("https://klasma.github.io/Logging_0360/tillsyn/A 38821-2023 tillsynsbegäran.docx", "A 38821-2023")</f>
        <v/>
      </c>
      <c r="Y74">
        <f>HYPERLINK("https://klasma.github.io/Logging_0360/tillsynsmail/A 38821-2023 tillsynsbegäran mail.docx", "A 38821-2023")</f>
        <v/>
      </c>
    </row>
    <row r="75" ht="15" customHeight="1">
      <c r="A75" t="inlineStr">
        <is>
          <t>A 40878-2023</t>
        </is>
      </c>
      <c r="B75" s="1" t="n">
        <v>45173</v>
      </c>
      <c r="C75" s="1" t="n">
        <v>45294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4.7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 sköldmossa</t>
        </is>
      </c>
      <c r="S75">
        <f>HYPERLINK("https://klasma.github.io/Logging_0360/artfynd/A 40878-2023 artfynd.xlsx", "A 40878-2023")</f>
        <v/>
      </c>
      <c r="T75">
        <f>HYPERLINK("https://klasma.github.io/Logging_0360/kartor/A 40878-2023 karta.png", "A 40878-2023")</f>
        <v/>
      </c>
      <c r="V75">
        <f>HYPERLINK("https://klasma.github.io/Logging_0360/klagomål/A 40878-2023 FSC-klagomål.docx", "A 40878-2023")</f>
        <v/>
      </c>
      <c r="W75">
        <f>HYPERLINK("https://klasma.github.io/Logging_0360/klagomålsmail/A 40878-2023 FSC-klagomål mail.docx", "A 40878-2023")</f>
        <v/>
      </c>
      <c r="X75">
        <f>HYPERLINK("https://klasma.github.io/Logging_0360/tillsyn/A 40878-2023 tillsynsbegäran.docx", "A 40878-2023")</f>
        <v/>
      </c>
      <c r="Y75">
        <f>HYPERLINK("https://klasma.github.io/Logging_0360/tillsynsmail/A 40878-2023 tillsynsbegäran mail.docx", "A 40878-2023")</f>
        <v/>
      </c>
    </row>
    <row r="76" ht="15" customHeight="1">
      <c r="A76" t="inlineStr">
        <is>
          <t>A 40940-2023</t>
        </is>
      </c>
      <c r="B76" s="1" t="n">
        <v>45173</v>
      </c>
      <c r="C76" s="1" t="n">
        <v>45294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40940-2023 artfynd.xlsx", "A 40940-2023")</f>
        <v/>
      </c>
      <c r="T76">
        <f>HYPERLINK("https://klasma.github.io/Logging_0360/kartor/A 40940-2023 karta.png", "A 40940-2023")</f>
        <v/>
      </c>
      <c r="V76">
        <f>HYPERLINK("https://klasma.github.io/Logging_0360/klagomål/A 40940-2023 FSC-klagomål.docx", "A 40940-2023")</f>
        <v/>
      </c>
      <c r="W76">
        <f>HYPERLINK("https://klasma.github.io/Logging_0360/klagomålsmail/A 40940-2023 FSC-klagomål mail.docx", "A 40940-2023")</f>
        <v/>
      </c>
      <c r="X76">
        <f>HYPERLINK("https://klasma.github.io/Logging_0360/tillsyn/A 40940-2023 tillsynsbegäran.docx", "A 40940-2023")</f>
        <v/>
      </c>
      <c r="Y76">
        <f>HYPERLINK("https://klasma.github.io/Logging_0360/tillsynsmail/A 40940-2023 tillsynsbegäran mail.docx", "A 40940-2023")</f>
        <v/>
      </c>
    </row>
    <row r="77" ht="15" customHeight="1">
      <c r="A77" t="inlineStr">
        <is>
          <t>A 43162-2023</t>
        </is>
      </c>
      <c r="B77" s="1" t="n">
        <v>45183</v>
      </c>
      <c r="C77" s="1" t="n">
        <v>45294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15.7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Gulsparv</t>
        </is>
      </c>
      <c r="S77">
        <f>HYPERLINK("https://klasma.github.io/Logging_0360/artfynd/A 43162-2023 artfynd.xlsx", "A 43162-2023")</f>
        <v/>
      </c>
      <c r="T77">
        <f>HYPERLINK("https://klasma.github.io/Logging_0360/kartor/A 43162-2023 karta.png", "A 43162-2023")</f>
        <v/>
      </c>
      <c r="V77">
        <f>HYPERLINK("https://klasma.github.io/Logging_0360/klagomål/A 43162-2023 FSC-klagomål.docx", "A 43162-2023")</f>
        <v/>
      </c>
      <c r="W77">
        <f>HYPERLINK("https://klasma.github.io/Logging_0360/klagomålsmail/A 43162-2023 FSC-klagomål mail.docx", "A 43162-2023")</f>
        <v/>
      </c>
      <c r="X77">
        <f>HYPERLINK("https://klasma.github.io/Logging_0360/tillsyn/A 43162-2023 tillsynsbegäran.docx", "A 43162-2023")</f>
        <v/>
      </c>
      <c r="Y77">
        <f>HYPERLINK("https://klasma.github.io/Logging_0360/tillsynsmail/A 43162-2023 tillsynsbegäran mail.docx", "A 43162-2023")</f>
        <v/>
      </c>
    </row>
    <row r="78" ht="15" customHeight="1">
      <c r="A78" t="inlineStr">
        <is>
          <t>A 48687-2023</t>
        </is>
      </c>
      <c r="B78" s="1" t="n">
        <v>45208</v>
      </c>
      <c r="C78" s="1" t="n">
        <v>45294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48687-2023 artfynd.xlsx", "A 48687-2023")</f>
        <v/>
      </c>
      <c r="T78">
        <f>HYPERLINK("https://klasma.github.io/Logging_0360/kartor/A 48687-2023 karta.png", "A 48687-2023")</f>
        <v/>
      </c>
      <c r="V78">
        <f>HYPERLINK("https://klasma.github.io/Logging_0360/klagomål/A 48687-2023 FSC-klagomål.docx", "A 48687-2023")</f>
        <v/>
      </c>
      <c r="W78">
        <f>HYPERLINK("https://klasma.github.io/Logging_0360/klagomålsmail/A 48687-2023 FSC-klagomål mail.docx", "A 48687-2023")</f>
        <v/>
      </c>
      <c r="X78">
        <f>HYPERLINK("https://klasma.github.io/Logging_0360/tillsyn/A 48687-2023 tillsynsbegäran.docx", "A 48687-2023")</f>
        <v/>
      </c>
      <c r="Y78">
        <f>HYPERLINK("https://klasma.github.io/Logging_0360/tillsynsmail/A 48687-2023 tillsynsbegäran mail.docx", "A 48687-2023")</f>
        <v/>
      </c>
    </row>
    <row r="79" ht="15" customHeight="1">
      <c r="A79" t="inlineStr">
        <is>
          <t>A 49794-2023</t>
        </is>
      </c>
      <c r="B79" s="1" t="n">
        <v>45212</v>
      </c>
      <c r="C79" s="1" t="n">
        <v>45294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HYPERLINK("https://klasma.github.io/Logging_0360/artfynd/A 49794-2023 artfynd.xlsx", "A 49794-2023")</f>
        <v/>
      </c>
      <c r="T79">
        <f>HYPERLINK("https://klasma.github.io/Logging_0360/kartor/A 49794-2023 karta.png", "A 49794-2023")</f>
        <v/>
      </c>
      <c r="V79">
        <f>HYPERLINK("https://klasma.github.io/Logging_0360/klagomål/A 49794-2023 FSC-klagomål.docx", "A 49794-2023")</f>
        <v/>
      </c>
      <c r="W79">
        <f>HYPERLINK("https://klasma.github.io/Logging_0360/klagomålsmail/A 49794-2023 FSC-klagomål mail.docx", "A 49794-2023")</f>
        <v/>
      </c>
      <c r="X79">
        <f>HYPERLINK("https://klasma.github.io/Logging_0360/tillsyn/A 49794-2023 tillsynsbegäran.docx", "A 49794-2023")</f>
        <v/>
      </c>
      <c r="Y79">
        <f>HYPERLINK("https://klasma.github.io/Logging_0360/tillsynsmail/A 49794-2023 tillsynsbegäran mail.docx", "A 49794-2023")</f>
        <v/>
      </c>
    </row>
    <row r="80" ht="15" customHeight="1">
      <c r="A80" t="inlineStr">
        <is>
          <t>A 59454-2023</t>
        </is>
      </c>
      <c r="B80" s="1" t="n">
        <v>45253</v>
      </c>
      <c r="C80" s="1" t="n">
        <v>45294</v>
      </c>
      <c r="D80" t="inlineStr">
        <is>
          <t>UPPSALA LÄN</t>
        </is>
      </c>
      <c r="E80" t="inlineStr">
        <is>
          <t>TIERP</t>
        </is>
      </c>
      <c r="G80" t="n">
        <v>8.800000000000001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Jättesvampmal</t>
        </is>
      </c>
      <c r="S80">
        <f>HYPERLINK("https://klasma.github.io/Logging_0360/artfynd/A 59454-2023 artfynd.xlsx", "A 59454-2023")</f>
        <v/>
      </c>
      <c r="T80">
        <f>HYPERLINK("https://klasma.github.io/Logging_0360/kartor/A 59454-2023 karta.png", "A 59454-2023")</f>
        <v/>
      </c>
      <c r="V80">
        <f>HYPERLINK("https://klasma.github.io/Logging_0360/klagomål/A 59454-2023 FSC-klagomål.docx", "A 59454-2023")</f>
        <v/>
      </c>
      <c r="W80">
        <f>HYPERLINK("https://klasma.github.io/Logging_0360/klagomålsmail/A 59454-2023 FSC-klagomål mail.docx", "A 59454-2023")</f>
        <v/>
      </c>
      <c r="X80">
        <f>HYPERLINK("https://klasma.github.io/Logging_0360/tillsyn/A 59454-2023 tillsynsbegäran.docx", "A 59454-2023")</f>
        <v/>
      </c>
      <c r="Y80">
        <f>HYPERLINK("https://klasma.github.io/Logging_0360/tillsynsmail/A 59454-2023 tillsynsbegäran mail.docx", "A 59454-2023")</f>
        <v/>
      </c>
    </row>
    <row r="81" ht="15" customHeight="1">
      <c r="A81" t="inlineStr">
        <is>
          <t>A 38118-2018</t>
        </is>
      </c>
      <c r="B81" s="1" t="n">
        <v>43336</v>
      </c>
      <c r="C81" s="1" t="n">
        <v>45294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38065-2018</t>
        </is>
      </c>
      <c r="B82" s="1" t="n">
        <v>43336</v>
      </c>
      <c r="C82" s="1" t="n">
        <v>45294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40097-2018</t>
        </is>
      </c>
      <c r="B83" s="1" t="n">
        <v>43343</v>
      </c>
      <c r="C83" s="1" t="n">
        <v>45294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44233-2018</t>
        </is>
      </c>
      <c r="B84" s="1" t="n">
        <v>43355</v>
      </c>
      <c r="C84" s="1" t="n">
        <v>45294</v>
      </c>
      <c r="D84" t="inlineStr">
        <is>
          <t>UPPSALA LÄN</t>
        </is>
      </c>
      <c r="E84" t="inlineStr">
        <is>
          <t>TIERP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46078-2018</t>
        </is>
      </c>
      <c r="B85" s="1" t="n">
        <v>43367</v>
      </c>
      <c r="C85" s="1" t="n">
        <v>45294</v>
      </c>
      <c r="D85" t="inlineStr">
        <is>
          <t>UPPSALA LÄN</t>
        </is>
      </c>
      <c r="E85" t="inlineStr">
        <is>
          <t>TIERP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59667-2018</t>
        </is>
      </c>
      <c r="B86" s="1" t="n">
        <v>43371</v>
      </c>
      <c r="C86" s="1" t="n">
        <v>45294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59719-2018</t>
        </is>
      </c>
      <c r="B87" s="1" t="n">
        <v>43378</v>
      </c>
      <c r="C87" s="1" t="n">
        <v>45294</v>
      </c>
      <c r="D87" t="inlineStr">
        <is>
          <t>UPPSALA LÄN</t>
        </is>
      </c>
      <c r="E87" t="inlineStr">
        <is>
          <t>TIERP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60291-2018</t>
        </is>
      </c>
      <c r="B88" s="1" t="n">
        <v>43385</v>
      </c>
      <c r="C88" s="1" t="n">
        <v>45294</v>
      </c>
      <c r="D88" t="inlineStr">
        <is>
          <t>UPPSALA LÄN</t>
        </is>
      </c>
      <c r="E88" t="inlineStr">
        <is>
          <t>TIERP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60035-2018</t>
        </is>
      </c>
      <c r="B89" s="1" t="n">
        <v>43412</v>
      </c>
      <c r="C89" s="1" t="n">
        <v>45294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62436-2018</t>
        </is>
      </c>
      <c r="B90" s="1" t="n">
        <v>43416</v>
      </c>
      <c r="C90" s="1" t="n">
        <v>45294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59700-2018</t>
        </is>
      </c>
      <c r="B91" s="1" t="n">
        <v>43419</v>
      </c>
      <c r="C91" s="1" t="n">
        <v>45294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59440-2018</t>
        </is>
      </c>
      <c r="B92" s="1" t="n">
        <v>43419</v>
      </c>
      <c r="C92" s="1" t="n">
        <v>45294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61548-2018</t>
        </is>
      </c>
      <c r="B93" s="1" t="n">
        <v>43424</v>
      </c>
      <c r="C93" s="1" t="n">
        <v>45294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63525-2018</t>
        </is>
      </c>
      <c r="B94" s="1" t="n">
        <v>43427</v>
      </c>
      <c r="C94" s="1" t="n">
        <v>45294</v>
      </c>
      <c r="D94" t="inlineStr">
        <is>
          <t>UPPSALA LÄN</t>
        </is>
      </c>
      <c r="E94" t="inlineStr">
        <is>
          <t>TIERP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67716-2018</t>
        </is>
      </c>
      <c r="B95" s="1" t="n">
        <v>43434</v>
      </c>
      <c r="C95" s="1" t="n">
        <v>45294</v>
      </c>
      <c r="D95" t="inlineStr">
        <is>
          <t>UPPSALA LÄN</t>
        </is>
      </c>
      <c r="E95" t="inlineStr">
        <is>
          <t>TIERP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66942-2018</t>
        </is>
      </c>
      <c r="B96" s="1" t="n">
        <v>43438</v>
      </c>
      <c r="C96" s="1" t="n">
        <v>45294</v>
      </c>
      <c r="D96" t="inlineStr">
        <is>
          <t>UPPSALA LÄN</t>
        </is>
      </c>
      <c r="E96" t="inlineStr">
        <is>
          <t>TIERP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66869-2018</t>
        </is>
      </c>
      <c r="B97" s="1" t="n">
        <v>43438</v>
      </c>
      <c r="C97" s="1" t="n">
        <v>45294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66868-2018</t>
        </is>
      </c>
      <c r="B98" s="1" t="n">
        <v>43438</v>
      </c>
      <c r="C98" s="1" t="n">
        <v>45294</v>
      </c>
      <c r="D98" t="inlineStr">
        <is>
          <t>UPPSALA LÄN</t>
        </is>
      </c>
      <c r="E98" t="inlineStr">
        <is>
          <t>TIERP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67573-2018</t>
        </is>
      </c>
      <c r="B99" s="1" t="n">
        <v>43439</v>
      </c>
      <c r="C99" s="1" t="n">
        <v>45294</v>
      </c>
      <c r="D99" t="inlineStr">
        <is>
          <t>UPPSALA LÄN</t>
        </is>
      </c>
      <c r="E99" t="inlineStr">
        <is>
          <t>TIERP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67819-2018</t>
        </is>
      </c>
      <c r="B100" s="1" t="n">
        <v>43440</v>
      </c>
      <c r="C100" s="1" t="n">
        <v>45294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69434-2018</t>
        </is>
      </c>
      <c r="B101" s="1" t="n">
        <v>43446</v>
      </c>
      <c r="C101" s="1" t="n">
        <v>45294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69404-2018</t>
        </is>
      </c>
      <c r="B102" s="1" t="n">
        <v>43446</v>
      </c>
      <c r="C102" s="1" t="n">
        <v>45294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69346-2018</t>
        </is>
      </c>
      <c r="B103" s="1" t="n">
        <v>43446</v>
      </c>
      <c r="C103" s="1" t="n">
        <v>45294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69700-2018</t>
        </is>
      </c>
      <c r="B104" s="1" t="n">
        <v>43447</v>
      </c>
      <c r="C104" s="1" t="n">
        <v>45294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69698-2018</t>
        </is>
      </c>
      <c r="B105" s="1" t="n">
        <v>43447</v>
      </c>
      <c r="C105" s="1" t="n">
        <v>45294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70376-2018</t>
        </is>
      </c>
      <c r="B106" s="1" t="n">
        <v>43450</v>
      </c>
      <c r="C106" s="1" t="n">
        <v>45294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70373-2018</t>
        </is>
      </c>
      <c r="B107" s="1" t="n">
        <v>43450</v>
      </c>
      <c r="C107" s="1" t="n">
        <v>45294</v>
      </c>
      <c r="D107" t="inlineStr">
        <is>
          <t>UPPSALA LÄN</t>
        </is>
      </c>
      <c r="E107" t="inlineStr">
        <is>
          <t>TIERP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70375-2018</t>
        </is>
      </c>
      <c r="B108" s="1" t="n">
        <v>43450</v>
      </c>
      <c r="C108" s="1" t="n">
        <v>45294</v>
      </c>
      <c r="D108" t="inlineStr">
        <is>
          <t>UPPSALA LÄN</t>
        </is>
      </c>
      <c r="E108" t="inlineStr">
        <is>
          <t>TIERP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70541-2018</t>
        </is>
      </c>
      <c r="B109" s="1" t="n">
        <v>43451</v>
      </c>
      <c r="C109" s="1" t="n">
        <v>45294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72538-2018</t>
        </is>
      </c>
      <c r="B110" s="1" t="n">
        <v>43462</v>
      </c>
      <c r="C110" s="1" t="n">
        <v>45294</v>
      </c>
      <c r="D110" t="inlineStr">
        <is>
          <t>UPPSALA LÄN</t>
        </is>
      </c>
      <c r="E110" t="inlineStr">
        <is>
          <t>TIERP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2216-2019</t>
        </is>
      </c>
      <c r="B111" s="1" t="n">
        <v>43475</v>
      </c>
      <c r="C111" s="1" t="n">
        <v>45294</v>
      </c>
      <c r="D111" t="inlineStr">
        <is>
          <t>UPPSALA LÄN</t>
        </is>
      </c>
      <c r="E111" t="inlineStr">
        <is>
          <t>TIERP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2462-2019</t>
        </is>
      </c>
      <c r="B112" s="1" t="n">
        <v>43476</v>
      </c>
      <c r="C112" s="1" t="n">
        <v>45294</v>
      </c>
      <c r="D112" t="inlineStr">
        <is>
          <t>UPPSALA LÄN</t>
        </is>
      </c>
      <c r="E112" t="inlineStr">
        <is>
          <t>TIERP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4504-2019</t>
        </is>
      </c>
      <c r="B113" s="1" t="n">
        <v>43486</v>
      </c>
      <c r="C113" s="1" t="n">
        <v>45294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4500-2019</t>
        </is>
      </c>
      <c r="B114" s="1" t="n">
        <v>43486</v>
      </c>
      <c r="C114" s="1" t="n">
        <v>45294</v>
      </c>
      <c r="D114" t="inlineStr">
        <is>
          <t>UPPSALA LÄN</t>
        </is>
      </c>
      <c r="E114" t="inlineStr">
        <is>
          <t>TIERP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5199-2019</t>
        </is>
      </c>
      <c r="B115" s="1" t="n">
        <v>43488</v>
      </c>
      <c r="C115" s="1" t="n">
        <v>45294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5473-2019</t>
        </is>
      </c>
      <c r="B116" s="1" t="n">
        <v>43488</v>
      </c>
      <c r="C116" s="1" t="n">
        <v>45294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5224-2019</t>
        </is>
      </c>
      <c r="B117" s="1" t="n">
        <v>43488</v>
      </c>
      <c r="C117" s="1" t="n">
        <v>45294</v>
      </c>
      <c r="D117" t="inlineStr">
        <is>
          <t>UPPSALA LÄN</t>
        </is>
      </c>
      <c r="E117" t="inlineStr">
        <is>
          <t>TIERP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6898-2019</t>
        </is>
      </c>
      <c r="B118" s="1" t="n">
        <v>43495</v>
      </c>
      <c r="C118" s="1" t="n">
        <v>45294</v>
      </c>
      <c r="D118" t="inlineStr">
        <is>
          <t>UPPSALA LÄN</t>
        </is>
      </c>
      <c r="E118" t="inlineStr">
        <is>
          <t>TIERP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7157-2019</t>
        </is>
      </c>
      <c r="B119" s="1" t="n">
        <v>43496</v>
      </c>
      <c r="C119" s="1" t="n">
        <v>45294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7701-2019</t>
        </is>
      </c>
      <c r="B120" s="1" t="n">
        <v>43500</v>
      </c>
      <c r="C120" s="1" t="n">
        <v>45294</v>
      </c>
      <c r="D120" t="inlineStr">
        <is>
          <t>UPPSALA LÄN</t>
        </is>
      </c>
      <c r="E120" t="inlineStr">
        <is>
          <t>TIERP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10816-2019</t>
        </is>
      </c>
      <c r="B121" s="1" t="n">
        <v>43514</v>
      </c>
      <c r="C121" s="1" t="n">
        <v>45294</v>
      </c>
      <c r="D121" t="inlineStr">
        <is>
          <t>UPPSALA LÄN</t>
        </is>
      </c>
      <c r="E121" t="inlineStr">
        <is>
          <t>TIERP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11499-2019</t>
        </is>
      </c>
      <c r="B122" s="1" t="n">
        <v>43517</v>
      </c>
      <c r="C122" s="1" t="n">
        <v>45294</v>
      </c>
      <c r="D122" t="inlineStr">
        <is>
          <t>UPPSALA LÄN</t>
        </is>
      </c>
      <c r="E122" t="inlineStr">
        <is>
          <t>TIERP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11813-2019</t>
        </is>
      </c>
      <c r="B123" s="1" t="n">
        <v>43521</v>
      </c>
      <c r="C123" s="1" t="n">
        <v>45294</v>
      </c>
      <c r="D123" t="inlineStr">
        <is>
          <t>UPPSALA LÄN</t>
        </is>
      </c>
      <c r="E123" t="inlineStr">
        <is>
          <t>TIERP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12174-2019</t>
        </is>
      </c>
      <c r="B124" s="1" t="n">
        <v>43522</v>
      </c>
      <c r="C124" s="1" t="n">
        <v>45294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13203-2019</t>
        </is>
      </c>
      <c r="B125" s="1" t="n">
        <v>43528</v>
      </c>
      <c r="C125" s="1" t="n">
        <v>45294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13261-2019</t>
        </is>
      </c>
      <c r="B126" s="1" t="n">
        <v>43528</v>
      </c>
      <c r="C126" s="1" t="n">
        <v>45294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13422-2019</t>
        </is>
      </c>
      <c r="B127" s="1" t="n">
        <v>43529</v>
      </c>
      <c r="C127" s="1" t="n">
        <v>45294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14377-2019</t>
        </is>
      </c>
      <c r="B128" s="1" t="n">
        <v>43536</v>
      </c>
      <c r="C128" s="1" t="n">
        <v>45294</v>
      </c>
      <c r="D128" t="inlineStr">
        <is>
          <t>UPPSALA LÄN</t>
        </is>
      </c>
      <c r="E128" t="inlineStr">
        <is>
          <t>TIERP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14703-2019</t>
        </is>
      </c>
      <c r="B129" s="1" t="n">
        <v>43539</v>
      </c>
      <c r="C129" s="1" t="n">
        <v>45294</v>
      </c>
      <c r="D129" t="inlineStr">
        <is>
          <t>UPPSALA LÄN</t>
        </is>
      </c>
      <c r="E129" t="inlineStr">
        <is>
          <t>TIERP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18466-2019</t>
        </is>
      </c>
      <c r="B130" s="1" t="n">
        <v>43559</v>
      </c>
      <c r="C130" s="1" t="n">
        <v>45294</v>
      </c>
      <c r="D130" t="inlineStr">
        <is>
          <t>UPPSALA LÄN</t>
        </is>
      </c>
      <c r="E130" t="inlineStr">
        <is>
          <t>TIERP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19791-2019</t>
        </is>
      </c>
      <c r="B131" s="1" t="n">
        <v>43567</v>
      </c>
      <c r="C131" s="1" t="n">
        <v>45294</v>
      </c>
      <c r="D131" t="inlineStr">
        <is>
          <t>UPPSALA LÄN</t>
        </is>
      </c>
      <c r="E131" t="inlineStr">
        <is>
          <t>TIERP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25498-2019</t>
        </is>
      </c>
      <c r="B132" s="1" t="n">
        <v>43606</v>
      </c>
      <c r="C132" s="1" t="n">
        <v>45294</v>
      </c>
      <c r="D132" t="inlineStr">
        <is>
          <t>UPPSALA LÄN</t>
        </is>
      </c>
      <c r="E132" t="inlineStr">
        <is>
          <t>TIERP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25502-2019</t>
        </is>
      </c>
      <c r="B133" s="1" t="n">
        <v>43606</v>
      </c>
      <c r="C133" s="1" t="n">
        <v>45294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26366-2019</t>
        </is>
      </c>
      <c r="B134" s="1" t="n">
        <v>43612</v>
      </c>
      <c r="C134" s="1" t="n">
        <v>45294</v>
      </c>
      <c r="D134" t="inlineStr">
        <is>
          <t>UPPSALA LÄN</t>
        </is>
      </c>
      <c r="E134" t="inlineStr">
        <is>
          <t>TIERP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26371-2019</t>
        </is>
      </c>
      <c r="B135" s="1" t="n">
        <v>43612</v>
      </c>
      <c r="C135" s="1" t="n">
        <v>45294</v>
      </c>
      <c r="D135" t="inlineStr">
        <is>
          <t>UPPSALA LÄN</t>
        </is>
      </c>
      <c r="E135" t="inlineStr">
        <is>
          <t>TIERP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29792-2019</t>
        </is>
      </c>
      <c r="B136" s="1" t="n">
        <v>43633</v>
      </c>
      <c r="C136" s="1" t="n">
        <v>45294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31319-2019</t>
        </is>
      </c>
      <c r="B137" s="1" t="n">
        <v>43641</v>
      </c>
      <c r="C137" s="1" t="n">
        <v>45294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31884-2019</t>
        </is>
      </c>
      <c r="B138" s="1" t="n">
        <v>43642</v>
      </c>
      <c r="C138" s="1" t="n">
        <v>45294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33670-2019</t>
        </is>
      </c>
      <c r="B139" s="1" t="n">
        <v>43651</v>
      </c>
      <c r="C139" s="1" t="n">
        <v>45294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34386-2019</t>
        </is>
      </c>
      <c r="B140" s="1" t="n">
        <v>43656</v>
      </c>
      <c r="C140" s="1" t="n">
        <v>45294</v>
      </c>
      <c r="D140" t="inlineStr">
        <is>
          <t>UPPSALA LÄN</t>
        </is>
      </c>
      <c r="E140" t="inlineStr">
        <is>
          <t>TIERP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34392-2019</t>
        </is>
      </c>
      <c r="B141" s="1" t="n">
        <v>43656</v>
      </c>
      <c r="C141" s="1" t="n">
        <v>45294</v>
      </c>
      <c r="D141" t="inlineStr">
        <is>
          <t>UPPSALA LÄN</t>
        </is>
      </c>
      <c r="E141" t="inlineStr">
        <is>
          <t>TIERP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36019-2019</t>
        </is>
      </c>
      <c r="B142" s="1" t="n">
        <v>43668</v>
      </c>
      <c r="C142" s="1" t="n">
        <v>45294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37114-2019</t>
        </is>
      </c>
      <c r="B143" s="1" t="n">
        <v>43676</v>
      </c>
      <c r="C143" s="1" t="n">
        <v>45294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39554-2019</t>
        </is>
      </c>
      <c r="B144" s="1" t="n">
        <v>43686</v>
      </c>
      <c r="C144" s="1" t="n">
        <v>45294</v>
      </c>
      <c r="D144" t="inlineStr">
        <is>
          <t>UPPSALA LÄN</t>
        </is>
      </c>
      <c r="E144" t="inlineStr">
        <is>
          <t>TIERP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39911-2019</t>
        </is>
      </c>
      <c r="B145" s="1" t="n">
        <v>43692</v>
      </c>
      <c r="C145" s="1" t="n">
        <v>45294</v>
      </c>
      <c r="D145" t="inlineStr">
        <is>
          <t>UPPSALA LÄN</t>
        </is>
      </c>
      <c r="E145" t="inlineStr">
        <is>
          <t>TIERP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39914-2019</t>
        </is>
      </c>
      <c r="B146" s="1" t="n">
        <v>43692</v>
      </c>
      <c r="C146" s="1" t="n">
        <v>45294</v>
      </c>
      <c r="D146" t="inlineStr">
        <is>
          <t>UPPSALA LÄN</t>
        </is>
      </c>
      <c r="E146" t="inlineStr">
        <is>
          <t>TIERP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43535-2019</t>
        </is>
      </c>
      <c r="B147" s="1" t="n">
        <v>43706</v>
      </c>
      <c r="C147" s="1" t="n">
        <v>45294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43625-2019</t>
        </is>
      </c>
      <c r="B148" s="1" t="n">
        <v>43707</v>
      </c>
      <c r="C148" s="1" t="n">
        <v>45294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44569-2019</t>
        </is>
      </c>
      <c r="B149" s="1" t="n">
        <v>43711</v>
      </c>
      <c r="C149" s="1" t="n">
        <v>45294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49877-2019</t>
        </is>
      </c>
      <c r="B150" s="1" t="n">
        <v>43733</v>
      </c>
      <c r="C150" s="1" t="n">
        <v>45294</v>
      </c>
      <c r="D150" t="inlineStr">
        <is>
          <t>UPPSALA LÄN</t>
        </is>
      </c>
      <c r="E150" t="inlineStr">
        <is>
          <t>TIERP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49900-2019</t>
        </is>
      </c>
      <c r="B151" s="1" t="n">
        <v>43733</v>
      </c>
      <c r="C151" s="1" t="n">
        <v>45294</v>
      </c>
      <c r="D151" t="inlineStr">
        <is>
          <t>UPPSALA LÄN</t>
        </is>
      </c>
      <c r="E151" t="inlineStr">
        <is>
          <t>TIERP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50156-2019</t>
        </is>
      </c>
      <c r="B152" s="1" t="n">
        <v>43734</v>
      </c>
      <c r="C152" s="1" t="n">
        <v>45294</v>
      </c>
      <c r="D152" t="inlineStr">
        <is>
          <t>UPPSALA LÄN</t>
        </is>
      </c>
      <c r="E152" t="inlineStr">
        <is>
          <t>TIERP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50858-2019</t>
        </is>
      </c>
      <c r="B153" s="1" t="n">
        <v>43738</v>
      </c>
      <c r="C153" s="1" t="n">
        <v>45294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51488-2019</t>
        </is>
      </c>
      <c r="B154" s="1" t="n">
        <v>43740</v>
      </c>
      <c r="C154" s="1" t="n">
        <v>45294</v>
      </c>
      <c r="D154" t="inlineStr">
        <is>
          <t>UPPSALA LÄN</t>
        </is>
      </c>
      <c r="E154" t="inlineStr">
        <is>
          <t>TIERP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51796-2019</t>
        </is>
      </c>
      <c r="B155" s="1" t="n">
        <v>43741</v>
      </c>
      <c r="C155" s="1" t="n">
        <v>45294</v>
      </c>
      <c r="D155" t="inlineStr">
        <is>
          <t>UPPSALA LÄN</t>
        </is>
      </c>
      <c r="E155" t="inlineStr">
        <is>
          <t>TIERP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52831-2019</t>
        </is>
      </c>
      <c r="B156" s="1" t="n">
        <v>43746</v>
      </c>
      <c r="C156" s="1" t="n">
        <v>45294</v>
      </c>
      <c r="D156" t="inlineStr">
        <is>
          <t>UPPSALA LÄN</t>
        </is>
      </c>
      <c r="E156" t="inlineStr">
        <is>
          <t>TIERP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52955-2019</t>
        </is>
      </c>
      <c r="B157" s="1" t="n">
        <v>43747</v>
      </c>
      <c r="C157" s="1" t="n">
        <v>45294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56380-2019</t>
        </is>
      </c>
      <c r="B158" s="1" t="n">
        <v>43756</v>
      </c>
      <c r="C158" s="1" t="n">
        <v>45294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55944-2019</t>
        </is>
      </c>
      <c r="B159" s="1" t="n">
        <v>43761</v>
      </c>
      <c r="C159" s="1" t="n">
        <v>45294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59227-2019</t>
        </is>
      </c>
      <c r="B160" s="1" t="n">
        <v>43770</v>
      </c>
      <c r="C160" s="1" t="n">
        <v>45294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58276-2019</t>
        </is>
      </c>
      <c r="B161" s="1" t="n">
        <v>43770</v>
      </c>
      <c r="C161" s="1" t="n">
        <v>45294</v>
      </c>
      <c r="D161" t="inlineStr">
        <is>
          <t>UPPSALA LÄN</t>
        </is>
      </c>
      <c r="E161" t="inlineStr">
        <is>
          <t>TIERP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59058-2019</t>
        </is>
      </c>
      <c r="B162" s="1" t="n">
        <v>43774</v>
      </c>
      <c r="C162" s="1" t="n">
        <v>45294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60230-2019</t>
        </is>
      </c>
      <c r="B163" s="1" t="n">
        <v>43780</v>
      </c>
      <c r="C163" s="1" t="n">
        <v>45294</v>
      </c>
      <c r="D163" t="inlineStr">
        <is>
          <t>UPPSALA LÄN</t>
        </is>
      </c>
      <c r="E163" t="inlineStr">
        <is>
          <t>TIERP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60222-2019</t>
        </is>
      </c>
      <c r="B164" s="1" t="n">
        <v>43780</v>
      </c>
      <c r="C164" s="1" t="n">
        <v>45294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61322-2019</t>
        </is>
      </c>
      <c r="B165" s="1" t="n">
        <v>43780</v>
      </c>
      <c r="C165" s="1" t="n">
        <v>45294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63769-2019</t>
        </is>
      </c>
      <c r="B166" s="1" t="n">
        <v>43795</v>
      </c>
      <c r="C166" s="1" t="n">
        <v>45294</v>
      </c>
      <c r="D166" t="inlineStr">
        <is>
          <t>UPPSALA LÄN</t>
        </is>
      </c>
      <c r="E166" t="inlineStr">
        <is>
          <t>TIERP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63872-2019</t>
        </is>
      </c>
      <c r="B167" s="1" t="n">
        <v>43796</v>
      </c>
      <c r="C167" s="1" t="n">
        <v>45294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64252-2019</t>
        </is>
      </c>
      <c r="B168" s="1" t="n">
        <v>43797</v>
      </c>
      <c r="C168" s="1" t="n">
        <v>45294</v>
      </c>
      <c r="D168" t="inlineStr">
        <is>
          <t>UPPSALA LÄN</t>
        </is>
      </c>
      <c r="E168" t="inlineStr">
        <is>
          <t>TIERP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64271-2019</t>
        </is>
      </c>
      <c r="B169" s="1" t="n">
        <v>43797</v>
      </c>
      <c r="C169" s="1" t="n">
        <v>45294</v>
      </c>
      <c r="D169" t="inlineStr">
        <is>
          <t>UPPSALA LÄN</t>
        </is>
      </c>
      <c r="E169" t="inlineStr">
        <is>
          <t>TIERP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64986-2019</t>
        </is>
      </c>
      <c r="B170" s="1" t="n">
        <v>43801</v>
      </c>
      <c r="C170" s="1" t="n">
        <v>45294</v>
      </c>
      <c r="D170" t="inlineStr">
        <is>
          <t>UPPSALA LÄN</t>
        </is>
      </c>
      <c r="E170" t="inlineStr">
        <is>
          <t>TIERP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64983-2019</t>
        </is>
      </c>
      <c r="B171" s="1" t="n">
        <v>43801</v>
      </c>
      <c r="C171" s="1" t="n">
        <v>45294</v>
      </c>
      <c r="D171" t="inlineStr">
        <is>
          <t>UPPSALA LÄN</t>
        </is>
      </c>
      <c r="E171" t="inlineStr">
        <is>
          <t>TIERP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65087-2019</t>
        </is>
      </c>
      <c r="B172" s="1" t="n">
        <v>43802</v>
      </c>
      <c r="C172" s="1" t="n">
        <v>45294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66641-2019</t>
        </is>
      </c>
      <c r="B173" s="1" t="n">
        <v>43809</v>
      </c>
      <c r="C173" s="1" t="n">
        <v>45294</v>
      </c>
      <c r="D173" t="inlineStr">
        <is>
          <t>UPPSALA LÄN</t>
        </is>
      </c>
      <c r="E173" t="inlineStr">
        <is>
          <t>TIERP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66640-2019</t>
        </is>
      </c>
      <c r="B174" s="1" t="n">
        <v>43809</v>
      </c>
      <c r="C174" s="1" t="n">
        <v>45294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67253-2019</t>
        </is>
      </c>
      <c r="B175" s="1" t="n">
        <v>43812</v>
      </c>
      <c r="C175" s="1" t="n">
        <v>45294</v>
      </c>
      <c r="D175" t="inlineStr">
        <is>
          <t>UPPSALA LÄN</t>
        </is>
      </c>
      <c r="E175" t="inlineStr">
        <is>
          <t>TIERP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69141-2019</t>
        </is>
      </c>
      <c r="B176" s="1" t="n">
        <v>43829</v>
      </c>
      <c r="C176" s="1" t="n">
        <v>45294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962-2020</t>
        </is>
      </c>
      <c r="B177" s="1" t="n">
        <v>43839</v>
      </c>
      <c r="C177" s="1" t="n">
        <v>45294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1432-2020</t>
        </is>
      </c>
      <c r="B178" s="1" t="n">
        <v>43843</v>
      </c>
      <c r="C178" s="1" t="n">
        <v>45294</v>
      </c>
      <c r="D178" t="inlineStr">
        <is>
          <t>UPPSALA LÄN</t>
        </is>
      </c>
      <c r="E178" t="inlineStr">
        <is>
          <t>TIERP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3522-2020</t>
        </is>
      </c>
      <c r="B179" s="1" t="n">
        <v>43853</v>
      </c>
      <c r="C179" s="1" t="n">
        <v>45294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3734-2020</t>
        </is>
      </c>
      <c r="B180" s="1" t="n">
        <v>43853</v>
      </c>
      <c r="C180" s="1" t="n">
        <v>45294</v>
      </c>
      <c r="D180" t="inlineStr">
        <is>
          <t>UPPSALA LÄN</t>
        </is>
      </c>
      <c r="E180" t="inlineStr">
        <is>
          <t>TIERP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4899-2020</t>
        </is>
      </c>
      <c r="B181" s="1" t="n">
        <v>43859</v>
      </c>
      <c r="C181" s="1" t="n">
        <v>45294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5048-2020</t>
        </is>
      </c>
      <c r="B182" s="1" t="n">
        <v>43859</v>
      </c>
      <c r="C182" s="1" t="n">
        <v>45294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8214-2020</t>
        </is>
      </c>
      <c r="B183" s="1" t="n">
        <v>43874</v>
      </c>
      <c r="C183" s="1" t="n">
        <v>45294</v>
      </c>
      <c r="D183" t="inlineStr">
        <is>
          <t>UPPSALA LÄN</t>
        </is>
      </c>
      <c r="E183" t="inlineStr">
        <is>
          <t>TIERP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8703-2020</t>
        </is>
      </c>
      <c r="B184" s="1" t="n">
        <v>43875</v>
      </c>
      <c r="C184" s="1" t="n">
        <v>45294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8757-2020</t>
        </is>
      </c>
      <c r="B185" s="1" t="n">
        <v>43878</v>
      </c>
      <c r="C185" s="1" t="n">
        <v>45294</v>
      </c>
      <c r="D185" t="inlineStr">
        <is>
          <t>UPPSALA LÄN</t>
        </is>
      </c>
      <c r="E185" t="inlineStr">
        <is>
          <t>TIERP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9334-2020</t>
        </is>
      </c>
      <c r="B186" s="1" t="n">
        <v>43880</v>
      </c>
      <c r="C186" s="1" t="n">
        <v>45294</v>
      </c>
      <c r="D186" t="inlineStr">
        <is>
          <t>UPPSALA LÄN</t>
        </is>
      </c>
      <c r="E186" t="inlineStr">
        <is>
          <t>TIERP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10039-2020</t>
        </is>
      </c>
      <c r="B187" s="1" t="n">
        <v>43882</v>
      </c>
      <c r="C187" s="1" t="n">
        <v>45294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11433-2020</t>
        </is>
      </c>
      <c r="B188" s="1" t="n">
        <v>43893</v>
      </c>
      <c r="C188" s="1" t="n">
        <v>45294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12427-2020</t>
        </is>
      </c>
      <c r="B189" s="1" t="n">
        <v>43896</v>
      </c>
      <c r="C189" s="1" t="n">
        <v>45294</v>
      </c>
      <c r="D189" t="inlineStr">
        <is>
          <t>UPPSALA LÄN</t>
        </is>
      </c>
      <c r="E189" t="inlineStr">
        <is>
          <t>TIERP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12912-2020</t>
        </is>
      </c>
      <c r="B190" s="1" t="n">
        <v>43900</v>
      </c>
      <c r="C190" s="1" t="n">
        <v>45294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14627-2020</t>
        </is>
      </c>
      <c r="B191" s="1" t="n">
        <v>43901</v>
      </c>
      <c r="C191" s="1" t="n">
        <v>45294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14017-2020</t>
        </is>
      </c>
      <c r="B192" s="1" t="n">
        <v>43906</v>
      </c>
      <c r="C192" s="1" t="n">
        <v>45294</v>
      </c>
      <c r="D192" t="inlineStr">
        <is>
          <t>UPPSALA LÄN</t>
        </is>
      </c>
      <c r="E192" t="inlineStr">
        <is>
          <t>TIERP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15326-2020</t>
        </is>
      </c>
      <c r="B193" s="1" t="n">
        <v>43913</v>
      </c>
      <c r="C193" s="1" t="n">
        <v>45294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15233-2020</t>
        </is>
      </c>
      <c r="B194" s="1" t="n">
        <v>43913</v>
      </c>
      <c r="C194" s="1" t="n">
        <v>45294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18774-2020</t>
        </is>
      </c>
      <c r="B195" s="1" t="n">
        <v>43930</v>
      </c>
      <c r="C195" s="1" t="n">
        <v>45294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19136-2020</t>
        </is>
      </c>
      <c r="B196" s="1" t="n">
        <v>43936</v>
      </c>
      <c r="C196" s="1" t="n">
        <v>45294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19332-2020</t>
        </is>
      </c>
      <c r="B197" s="1" t="n">
        <v>43938</v>
      </c>
      <c r="C197" s="1" t="n">
        <v>45294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21730-2020</t>
        </is>
      </c>
      <c r="B198" s="1" t="n">
        <v>43957</v>
      </c>
      <c r="C198" s="1" t="n">
        <v>45294</v>
      </c>
      <c r="D198" t="inlineStr">
        <is>
          <t>UPPSALA LÄN</t>
        </is>
      </c>
      <c r="E198" t="inlineStr">
        <is>
          <t>TIERP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21814-2020</t>
        </is>
      </c>
      <c r="B199" s="1" t="n">
        <v>43958</v>
      </c>
      <c r="C199" s="1" t="n">
        <v>45294</v>
      </c>
      <c r="D199" t="inlineStr">
        <is>
          <t>UPPSALA LÄN</t>
        </is>
      </c>
      <c r="E199" t="inlineStr">
        <is>
          <t>TIERP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22763-2020</t>
        </is>
      </c>
      <c r="B200" s="1" t="n">
        <v>43963</v>
      </c>
      <c r="C200" s="1" t="n">
        <v>45294</v>
      </c>
      <c r="D200" t="inlineStr">
        <is>
          <t>UPPSALA LÄN</t>
        </is>
      </c>
      <c r="E200" t="inlineStr">
        <is>
          <t>TIERP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22802-2020</t>
        </is>
      </c>
      <c r="B201" s="1" t="n">
        <v>43964</v>
      </c>
      <c r="C201" s="1" t="n">
        <v>45294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22961-2020</t>
        </is>
      </c>
      <c r="B202" s="1" t="n">
        <v>43965</v>
      </c>
      <c r="C202" s="1" t="n">
        <v>45294</v>
      </c>
      <c r="D202" t="inlineStr">
        <is>
          <t>UPPSALA LÄN</t>
        </is>
      </c>
      <c r="E202" t="inlineStr">
        <is>
          <t>TIERP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25641-2020</t>
        </is>
      </c>
      <c r="B203" s="1" t="n">
        <v>43983</v>
      </c>
      <c r="C203" s="1" t="n">
        <v>45294</v>
      </c>
      <c r="D203" t="inlineStr">
        <is>
          <t>UPPSALA LÄN</t>
        </is>
      </c>
      <c r="E203" t="inlineStr">
        <is>
          <t>TIERP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26090-2020</t>
        </is>
      </c>
      <c r="B204" s="1" t="n">
        <v>43985</v>
      </c>
      <c r="C204" s="1" t="n">
        <v>45294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26101-2020</t>
        </is>
      </c>
      <c r="B205" s="1" t="n">
        <v>43985</v>
      </c>
      <c r="C205" s="1" t="n">
        <v>45294</v>
      </c>
      <c r="D205" t="inlineStr">
        <is>
          <t>UPPSALA LÄN</t>
        </is>
      </c>
      <c r="E205" t="inlineStr">
        <is>
          <t>TIERP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26095-2020</t>
        </is>
      </c>
      <c r="B206" s="1" t="n">
        <v>43985</v>
      </c>
      <c r="C206" s="1" t="n">
        <v>45294</v>
      </c>
      <c r="D206" t="inlineStr">
        <is>
          <t>UPPSALA LÄN</t>
        </is>
      </c>
      <c r="E206" t="inlineStr">
        <is>
          <t>TIERP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27462-2020</t>
        </is>
      </c>
      <c r="B207" s="1" t="n">
        <v>43993</v>
      </c>
      <c r="C207" s="1" t="n">
        <v>45294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29989-2020</t>
        </is>
      </c>
      <c r="B208" s="1" t="n">
        <v>44006</v>
      </c>
      <c r="C208" s="1" t="n">
        <v>45294</v>
      </c>
      <c r="D208" t="inlineStr">
        <is>
          <t>UPPSALA LÄN</t>
        </is>
      </c>
      <c r="E208" t="inlineStr">
        <is>
          <t>TIERP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30245-2020</t>
        </is>
      </c>
      <c r="B209" s="1" t="n">
        <v>44007</v>
      </c>
      <c r="C209" s="1" t="n">
        <v>45294</v>
      </c>
      <c r="D209" t="inlineStr">
        <is>
          <t>UPPSALA LÄN</t>
        </is>
      </c>
      <c r="E209" t="inlineStr">
        <is>
          <t>TIERP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30544-2020</t>
        </is>
      </c>
      <c r="B210" s="1" t="n">
        <v>44008</v>
      </c>
      <c r="C210" s="1" t="n">
        <v>45294</v>
      </c>
      <c r="D210" t="inlineStr">
        <is>
          <t>UPPSALA LÄN</t>
        </is>
      </c>
      <c r="E210" t="inlineStr">
        <is>
          <t>TIERP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31685-2020</t>
        </is>
      </c>
      <c r="B211" s="1" t="n">
        <v>44013</v>
      </c>
      <c r="C211" s="1" t="n">
        <v>45294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33076-2020</t>
        </is>
      </c>
      <c r="B212" s="1" t="n">
        <v>44021</v>
      </c>
      <c r="C212" s="1" t="n">
        <v>45294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33378-2020</t>
        </is>
      </c>
      <c r="B213" s="1" t="n">
        <v>44022</v>
      </c>
      <c r="C213" s="1" t="n">
        <v>45294</v>
      </c>
      <c r="D213" t="inlineStr">
        <is>
          <t>UPPSALA LÄN</t>
        </is>
      </c>
      <c r="E213" t="inlineStr">
        <is>
          <t>TIERP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33873-2020</t>
        </is>
      </c>
      <c r="B214" s="1" t="n">
        <v>44025</v>
      </c>
      <c r="C214" s="1" t="n">
        <v>45294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34494-2020</t>
        </is>
      </c>
      <c r="B215" s="1" t="n">
        <v>44029</v>
      </c>
      <c r="C215" s="1" t="n">
        <v>45294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35573-2020</t>
        </is>
      </c>
      <c r="B216" s="1" t="n">
        <v>44043</v>
      </c>
      <c r="C216" s="1" t="n">
        <v>45294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30.2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36412-2020</t>
        </is>
      </c>
      <c r="B217" s="1" t="n">
        <v>44049</v>
      </c>
      <c r="C217" s="1" t="n">
        <v>45294</v>
      </c>
      <c r="D217" t="inlineStr">
        <is>
          <t>UPPSALA LÄN</t>
        </is>
      </c>
      <c r="E217" t="inlineStr">
        <is>
          <t>TIERP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37596-2020</t>
        </is>
      </c>
      <c r="B218" s="1" t="n">
        <v>44056</v>
      </c>
      <c r="C218" s="1" t="n">
        <v>45294</v>
      </c>
      <c r="D218" t="inlineStr">
        <is>
          <t>UPPSALA LÄN</t>
        </is>
      </c>
      <c r="E218" t="inlineStr">
        <is>
          <t>TIERP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37680-2020</t>
        </is>
      </c>
      <c r="B219" s="1" t="n">
        <v>44056</v>
      </c>
      <c r="C219" s="1" t="n">
        <v>45294</v>
      </c>
      <c r="D219" t="inlineStr">
        <is>
          <t>UPPSALA LÄN</t>
        </is>
      </c>
      <c r="E219" t="inlineStr">
        <is>
          <t>TIERP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37691-2020</t>
        </is>
      </c>
      <c r="B220" s="1" t="n">
        <v>44056</v>
      </c>
      <c r="C220" s="1" t="n">
        <v>45294</v>
      </c>
      <c r="D220" t="inlineStr">
        <is>
          <t>UPPSALA LÄN</t>
        </is>
      </c>
      <c r="E220" t="inlineStr">
        <is>
          <t>TIERP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45513-2020</t>
        </is>
      </c>
      <c r="B221" s="1" t="n">
        <v>44085</v>
      </c>
      <c r="C221" s="1" t="n">
        <v>45294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45938-2020</t>
        </is>
      </c>
      <c r="B222" s="1" t="n">
        <v>44088</v>
      </c>
      <c r="C222" s="1" t="n">
        <v>45294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47234-2020</t>
        </is>
      </c>
      <c r="B223" s="1" t="n">
        <v>44097</v>
      </c>
      <c r="C223" s="1" t="n">
        <v>45294</v>
      </c>
      <c r="D223" t="inlineStr">
        <is>
          <t>UPPSALA LÄN</t>
        </is>
      </c>
      <c r="E223" t="inlineStr">
        <is>
          <t>TIERP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49718-2020</t>
        </is>
      </c>
      <c r="B224" s="1" t="n">
        <v>44106</v>
      </c>
      <c r="C224" s="1" t="n">
        <v>45294</v>
      </c>
      <c r="D224" t="inlineStr">
        <is>
          <t>UPPSALA LÄN</t>
        </is>
      </c>
      <c r="E224" t="inlineStr">
        <is>
          <t>TIERP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50677-2020</t>
        </is>
      </c>
      <c r="B225" s="1" t="n">
        <v>44111</v>
      </c>
      <c r="C225" s="1" t="n">
        <v>45294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50735-2020</t>
        </is>
      </c>
      <c r="B226" s="1" t="n">
        <v>44111</v>
      </c>
      <c r="C226" s="1" t="n">
        <v>45294</v>
      </c>
      <c r="D226" t="inlineStr">
        <is>
          <t>UPPSALA LÄN</t>
        </is>
      </c>
      <c r="E226" t="inlineStr">
        <is>
          <t>TIERP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51808-2020</t>
        </is>
      </c>
      <c r="B227" s="1" t="n">
        <v>44116</v>
      </c>
      <c r="C227" s="1" t="n">
        <v>45294</v>
      </c>
      <c r="D227" t="inlineStr">
        <is>
          <t>UPPSALA LÄN</t>
        </is>
      </c>
      <c r="E227" t="inlineStr">
        <is>
          <t>TIERP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53489-2020</t>
        </is>
      </c>
      <c r="B228" s="1" t="n">
        <v>44123</v>
      </c>
      <c r="C228" s="1" t="n">
        <v>45294</v>
      </c>
      <c r="D228" t="inlineStr">
        <is>
          <t>UPPSALA LÄN</t>
        </is>
      </c>
      <c r="E228" t="inlineStr">
        <is>
          <t>TIERP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58242-2020</t>
        </is>
      </c>
      <c r="B229" s="1" t="n">
        <v>44144</v>
      </c>
      <c r="C229" s="1" t="n">
        <v>45294</v>
      </c>
      <c r="D229" t="inlineStr">
        <is>
          <t>UPPSALA LÄN</t>
        </is>
      </c>
      <c r="E229" t="inlineStr">
        <is>
          <t>TIERP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59625-2020</t>
        </is>
      </c>
      <c r="B230" s="1" t="n">
        <v>44150</v>
      </c>
      <c r="C230" s="1" t="n">
        <v>45294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59865-2020</t>
        </is>
      </c>
      <c r="B231" s="1" t="n">
        <v>44151</v>
      </c>
      <c r="C231" s="1" t="n">
        <v>45294</v>
      </c>
      <c r="D231" t="inlineStr">
        <is>
          <t>UPPSALA LÄN</t>
        </is>
      </c>
      <c r="E231" t="inlineStr">
        <is>
          <t>TIERP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60769-2020</t>
        </is>
      </c>
      <c r="B232" s="1" t="n">
        <v>44154</v>
      </c>
      <c r="C232" s="1" t="n">
        <v>45294</v>
      </c>
      <c r="D232" t="inlineStr">
        <is>
          <t>UPPSALA LÄN</t>
        </is>
      </c>
      <c r="E232" t="inlineStr">
        <is>
          <t>TIERP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61013-2020</t>
        </is>
      </c>
      <c r="B233" s="1" t="n">
        <v>44154</v>
      </c>
      <c r="C233" s="1" t="n">
        <v>45294</v>
      </c>
      <c r="D233" t="inlineStr">
        <is>
          <t>UPPSALA LÄN</t>
        </is>
      </c>
      <c r="E233" t="inlineStr">
        <is>
          <t>TIERP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61034-2020</t>
        </is>
      </c>
      <c r="B234" s="1" t="n">
        <v>44154</v>
      </c>
      <c r="C234" s="1" t="n">
        <v>45294</v>
      </c>
      <c r="D234" t="inlineStr">
        <is>
          <t>UPPSALA LÄN</t>
        </is>
      </c>
      <c r="E234" t="inlineStr">
        <is>
          <t>TIERP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63260-2020</t>
        </is>
      </c>
      <c r="B235" s="1" t="n">
        <v>44164</v>
      </c>
      <c r="C235" s="1" t="n">
        <v>45294</v>
      </c>
      <c r="D235" t="inlineStr">
        <is>
          <t>UPPSALA LÄN</t>
        </is>
      </c>
      <c r="E235" t="inlineStr">
        <is>
          <t>TIERP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63504-2020</t>
        </is>
      </c>
      <c r="B236" s="1" t="n">
        <v>44165</v>
      </c>
      <c r="C236" s="1" t="n">
        <v>45294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50.3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63912-2020</t>
        </is>
      </c>
      <c r="B237" s="1" t="n">
        <v>44166</v>
      </c>
      <c r="C237" s="1" t="n">
        <v>45294</v>
      </c>
      <c r="D237" t="inlineStr">
        <is>
          <t>UPPSALA LÄN</t>
        </is>
      </c>
      <c r="E237" t="inlineStr">
        <is>
          <t>TIERP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65225-2020</t>
        </is>
      </c>
      <c r="B238" s="1" t="n">
        <v>44172</v>
      </c>
      <c r="C238" s="1" t="n">
        <v>45294</v>
      </c>
      <c r="D238" t="inlineStr">
        <is>
          <t>UPPSALA LÄN</t>
        </is>
      </c>
      <c r="E238" t="inlineStr">
        <is>
          <t>TIERP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65226-2020</t>
        </is>
      </c>
      <c r="B239" s="1" t="n">
        <v>44172</v>
      </c>
      <c r="C239" s="1" t="n">
        <v>45294</v>
      </c>
      <c r="D239" t="inlineStr">
        <is>
          <t>UPPSALA LÄN</t>
        </is>
      </c>
      <c r="E239" t="inlineStr">
        <is>
          <t>TIERP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249-2021</t>
        </is>
      </c>
      <c r="B240" s="1" t="n">
        <v>44200</v>
      </c>
      <c r="C240" s="1" t="n">
        <v>45294</v>
      </c>
      <c r="D240" t="inlineStr">
        <is>
          <t>UPPSALA LÄN</t>
        </is>
      </c>
      <c r="E240" t="inlineStr">
        <is>
          <t>TIERP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1233-2021</t>
        </is>
      </c>
      <c r="B241" s="1" t="n">
        <v>44208</v>
      </c>
      <c r="C241" s="1" t="n">
        <v>45294</v>
      </c>
      <c r="D241" t="inlineStr">
        <is>
          <t>UPPSALA LÄN</t>
        </is>
      </c>
      <c r="E241" t="inlineStr">
        <is>
          <t>TIERP</t>
        </is>
      </c>
      <c r="F241" t="inlineStr">
        <is>
          <t>Övriga Aktiebolag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1227-2021</t>
        </is>
      </c>
      <c r="B242" s="1" t="n">
        <v>44208</v>
      </c>
      <c r="C242" s="1" t="n">
        <v>45294</v>
      </c>
      <c r="D242" t="inlineStr">
        <is>
          <t>UPPSALA LÄN</t>
        </is>
      </c>
      <c r="E242" t="inlineStr">
        <is>
          <t>TIERP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2157-2021</t>
        </is>
      </c>
      <c r="B243" s="1" t="n">
        <v>44211</v>
      </c>
      <c r="C243" s="1" t="n">
        <v>45294</v>
      </c>
      <c r="D243" t="inlineStr">
        <is>
          <t>UPPSALA LÄN</t>
        </is>
      </c>
      <c r="E243" t="inlineStr">
        <is>
          <t>TIERP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2559-2021</t>
        </is>
      </c>
      <c r="B244" s="1" t="n">
        <v>44214</v>
      </c>
      <c r="C244" s="1" t="n">
        <v>45294</v>
      </c>
      <c r="D244" t="inlineStr">
        <is>
          <t>UPPSALA LÄN</t>
        </is>
      </c>
      <c r="E244" t="inlineStr">
        <is>
          <t>TIERP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2810-2021</t>
        </is>
      </c>
      <c r="B245" s="1" t="n">
        <v>44215</v>
      </c>
      <c r="C245" s="1" t="n">
        <v>45294</v>
      </c>
      <c r="D245" t="inlineStr">
        <is>
          <t>UPPSALA LÄN</t>
        </is>
      </c>
      <c r="E245" t="inlineStr">
        <is>
          <t>TIERP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3443-2021</t>
        </is>
      </c>
      <c r="B246" s="1" t="n">
        <v>44218</v>
      </c>
      <c r="C246" s="1" t="n">
        <v>45294</v>
      </c>
      <c r="D246" t="inlineStr">
        <is>
          <t>UPPSALA LÄN</t>
        </is>
      </c>
      <c r="E246" t="inlineStr">
        <is>
          <t>TIERP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5857-2021</t>
        </is>
      </c>
      <c r="B247" s="1" t="n">
        <v>44231</v>
      </c>
      <c r="C247" s="1" t="n">
        <v>45294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7036-2021</t>
        </is>
      </c>
      <c r="B248" s="1" t="n">
        <v>44237</v>
      </c>
      <c r="C248" s="1" t="n">
        <v>45294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11937-2021</t>
        </is>
      </c>
      <c r="B249" s="1" t="n">
        <v>44266</v>
      </c>
      <c r="C249" s="1" t="n">
        <v>45294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11932-2021</t>
        </is>
      </c>
      <c r="B250" s="1" t="n">
        <v>44266</v>
      </c>
      <c r="C250" s="1" t="n">
        <v>45294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12591-2021</t>
        </is>
      </c>
      <c r="B251" s="1" t="n">
        <v>44270</v>
      </c>
      <c r="C251" s="1" t="n">
        <v>45294</v>
      </c>
      <c r="D251" t="inlineStr">
        <is>
          <t>UPPSALA LÄN</t>
        </is>
      </c>
      <c r="E251" t="inlineStr">
        <is>
          <t>TIERP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13157-2021</t>
        </is>
      </c>
      <c r="B252" s="1" t="n">
        <v>44272</v>
      </c>
      <c r="C252" s="1" t="n">
        <v>45294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14934-2021</t>
        </is>
      </c>
      <c r="B253" s="1" t="n">
        <v>44281</v>
      </c>
      <c r="C253" s="1" t="n">
        <v>45294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15587-2021</t>
        </is>
      </c>
      <c r="B254" s="1" t="n">
        <v>44285</v>
      </c>
      <c r="C254" s="1" t="n">
        <v>45294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15677-2021</t>
        </is>
      </c>
      <c r="B255" s="1" t="n">
        <v>44286</v>
      </c>
      <c r="C255" s="1" t="n">
        <v>45294</v>
      </c>
      <c r="D255" t="inlineStr">
        <is>
          <t>UPPSALA LÄN</t>
        </is>
      </c>
      <c r="E255" t="inlineStr">
        <is>
          <t>TIERP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15728-2021</t>
        </is>
      </c>
      <c r="B256" s="1" t="n">
        <v>44286</v>
      </c>
      <c r="C256" s="1" t="n">
        <v>45294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16106-2021</t>
        </is>
      </c>
      <c r="B257" s="1" t="n">
        <v>44290</v>
      </c>
      <c r="C257" s="1" t="n">
        <v>45294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16124-2021</t>
        </is>
      </c>
      <c r="B258" s="1" t="n">
        <v>44291</v>
      </c>
      <c r="C258" s="1" t="n">
        <v>45294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18996-2021</t>
        </is>
      </c>
      <c r="B259" s="1" t="n">
        <v>44308</v>
      </c>
      <c r="C259" s="1" t="n">
        <v>45294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19222-2021</t>
        </is>
      </c>
      <c r="B260" s="1" t="n">
        <v>44309</v>
      </c>
      <c r="C260" s="1" t="n">
        <v>45294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21967-2021</t>
        </is>
      </c>
      <c r="B261" s="1" t="n">
        <v>44323</v>
      </c>
      <c r="C261" s="1" t="n">
        <v>45294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23380-2021</t>
        </is>
      </c>
      <c r="B262" s="1" t="n">
        <v>44333</v>
      </c>
      <c r="C262" s="1" t="n">
        <v>45294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23828-2021</t>
        </is>
      </c>
      <c r="B263" s="1" t="n">
        <v>44335</v>
      </c>
      <c r="C263" s="1" t="n">
        <v>45294</v>
      </c>
      <c r="D263" t="inlineStr">
        <is>
          <t>UPPSALA LÄN</t>
        </is>
      </c>
      <c r="E263" t="inlineStr">
        <is>
          <t>TIERP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23835-2021</t>
        </is>
      </c>
      <c r="B264" s="1" t="n">
        <v>44335</v>
      </c>
      <c r="C264" s="1" t="n">
        <v>45294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24278-2021</t>
        </is>
      </c>
      <c r="B265" s="1" t="n">
        <v>44337</v>
      </c>
      <c r="C265" s="1" t="n">
        <v>45294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24276-2021</t>
        </is>
      </c>
      <c r="B266" s="1" t="n">
        <v>44337</v>
      </c>
      <c r="C266" s="1" t="n">
        <v>45294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24431-2021</t>
        </is>
      </c>
      <c r="B267" s="1" t="n">
        <v>44337</v>
      </c>
      <c r="C267" s="1" t="n">
        <v>45294</v>
      </c>
      <c r="D267" t="inlineStr">
        <is>
          <t>UPPSALA LÄN</t>
        </is>
      </c>
      <c r="E267" t="inlineStr">
        <is>
          <t>TIERP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26301-2021</t>
        </is>
      </c>
      <c r="B268" s="1" t="n">
        <v>44347</v>
      </c>
      <c r="C268" s="1" t="n">
        <v>45294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28834-2021</t>
        </is>
      </c>
      <c r="B269" s="1" t="n">
        <v>44357</v>
      </c>
      <c r="C269" s="1" t="n">
        <v>45294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29082-2021</t>
        </is>
      </c>
      <c r="B270" s="1" t="n">
        <v>44358</v>
      </c>
      <c r="C270" s="1" t="n">
        <v>45294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29089-2021</t>
        </is>
      </c>
      <c r="B271" s="1" t="n">
        <v>44358</v>
      </c>
      <c r="C271" s="1" t="n">
        <v>45294</v>
      </c>
      <c r="D271" t="inlineStr">
        <is>
          <t>UPPSALA LÄN</t>
        </is>
      </c>
      <c r="E271" t="inlineStr">
        <is>
          <t>TIERP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30742-2021</t>
        </is>
      </c>
      <c r="B272" s="1" t="n">
        <v>44365</v>
      </c>
      <c r="C272" s="1" t="n">
        <v>45294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31099-2021</t>
        </is>
      </c>
      <c r="B273" s="1" t="n">
        <v>44368</v>
      </c>
      <c r="C273" s="1" t="n">
        <v>45294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32207-2021</t>
        </is>
      </c>
      <c r="B274" s="1" t="n">
        <v>44371</v>
      </c>
      <c r="C274" s="1" t="n">
        <v>45294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32995-2021</t>
        </is>
      </c>
      <c r="B275" s="1" t="n">
        <v>44376</v>
      </c>
      <c r="C275" s="1" t="n">
        <v>45294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34648-2021</t>
        </is>
      </c>
      <c r="B276" s="1" t="n">
        <v>44382</v>
      </c>
      <c r="C276" s="1" t="n">
        <v>45294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36069-2021</t>
        </is>
      </c>
      <c r="B277" s="1" t="n">
        <v>44389</v>
      </c>
      <c r="C277" s="1" t="n">
        <v>45294</v>
      </c>
      <c r="D277" t="inlineStr">
        <is>
          <t>UPPSALA LÄN</t>
        </is>
      </c>
      <c r="E277" t="inlineStr">
        <is>
          <t>TIERP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36150-2021</t>
        </is>
      </c>
      <c r="B278" s="1" t="n">
        <v>44389</v>
      </c>
      <c r="C278" s="1" t="n">
        <v>45294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39838-2021</t>
        </is>
      </c>
      <c r="B279" s="1" t="n">
        <v>44417</v>
      </c>
      <c r="C279" s="1" t="n">
        <v>45294</v>
      </c>
      <c r="D279" t="inlineStr">
        <is>
          <t>UPPSALA LÄN</t>
        </is>
      </c>
      <c r="E279" t="inlineStr">
        <is>
          <t>TIERP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40011-2021</t>
        </is>
      </c>
      <c r="B280" s="1" t="n">
        <v>44418</v>
      </c>
      <c r="C280" s="1" t="n">
        <v>45294</v>
      </c>
      <c r="D280" t="inlineStr">
        <is>
          <t>UPPSALA LÄN</t>
        </is>
      </c>
      <c r="E280" t="inlineStr">
        <is>
          <t>TIERP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40804-2021</t>
        </is>
      </c>
      <c r="B281" s="1" t="n">
        <v>44421</v>
      </c>
      <c r="C281" s="1" t="n">
        <v>45294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40793-2021</t>
        </is>
      </c>
      <c r="B282" s="1" t="n">
        <v>44421</v>
      </c>
      <c r="C282" s="1" t="n">
        <v>45294</v>
      </c>
      <c r="D282" t="inlineStr">
        <is>
          <t>UPPSALA LÄN</t>
        </is>
      </c>
      <c r="E282" t="inlineStr">
        <is>
          <t>TIERP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42262-2021</t>
        </is>
      </c>
      <c r="B283" s="1" t="n">
        <v>44427</v>
      </c>
      <c r="C283" s="1" t="n">
        <v>45294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43020-2021</t>
        </is>
      </c>
      <c r="B284" s="1" t="n">
        <v>44431</v>
      </c>
      <c r="C284" s="1" t="n">
        <v>45294</v>
      </c>
      <c r="D284" t="inlineStr">
        <is>
          <t>UPPSALA LÄN</t>
        </is>
      </c>
      <c r="E284" t="inlineStr">
        <is>
          <t>TIERP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44009-2021</t>
        </is>
      </c>
      <c r="B285" s="1" t="n">
        <v>44434</v>
      </c>
      <c r="C285" s="1" t="n">
        <v>45294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44690-2021</t>
        </is>
      </c>
      <c r="B286" s="1" t="n">
        <v>44438</v>
      </c>
      <c r="C286" s="1" t="n">
        <v>45294</v>
      </c>
      <c r="D286" t="inlineStr">
        <is>
          <t>UPPSALA LÄN</t>
        </is>
      </c>
      <c r="E286" t="inlineStr">
        <is>
          <t>TIERP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45146-2021</t>
        </is>
      </c>
      <c r="B287" s="1" t="n">
        <v>44439</v>
      </c>
      <c r="C287" s="1" t="n">
        <v>45294</v>
      </c>
      <c r="D287" t="inlineStr">
        <is>
          <t>UPPSALA LÄN</t>
        </is>
      </c>
      <c r="E287" t="inlineStr">
        <is>
          <t>TIERP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45217-2021</t>
        </is>
      </c>
      <c r="B288" s="1" t="n">
        <v>44439</v>
      </c>
      <c r="C288" s="1" t="n">
        <v>45294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45225-2021</t>
        </is>
      </c>
      <c r="B289" s="1" t="n">
        <v>44439</v>
      </c>
      <c r="C289" s="1" t="n">
        <v>45294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45579-2021</t>
        </is>
      </c>
      <c r="B290" s="1" t="n">
        <v>44440</v>
      </c>
      <c r="C290" s="1" t="n">
        <v>45294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45993-2021</t>
        </is>
      </c>
      <c r="B291" s="1" t="n">
        <v>44441</v>
      </c>
      <c r="C291" s="1" t="n">
        <v>45294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46976-2021</t>
        </is>
      </c>
      <c r="B292" s="1" t="n">
        <v>44446</v>
      </c>
      <c r="C292" s="1" t="n">
        <v>45294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48455-2021</t>
        </is>
      </c>
      <c r="B293" s="1" t="n">
        <v>44452</v>
      </c>
      <c r="C293" s="1" t="n">
        <v>45294</v>
      </c>
      <c r="D293" t="inlineStr">
        <is>
          <t>UPPSALA LÄN</t>
        </is>
      </c>
      <c r="E293" t="inlineStr">
        <is>
          <t>TIERP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48536-2021</t>
        </is>
      </c>
      <c r="B294" s="1" t="n">
        <v>44452</v>
      </c>
      <c r="C294" s="1" t="n">
        <v>45294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48485-2021</t>
        </is>
      </c>
      <c r="B295" s="1" t="n">
        <v>44452</v>
      </c>
      <c r="C295" s="1" t="n">
        <v>45294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48880-2021</t>
        </is>
      </c>
      <c r="B296" s="1" t="n">
        <v>44452</v>
      </c>
      <c r="C296" s="1" t="n">
        <v>45294</v>
      </c>
      <c r="D296" t="inlineStr">
        <is>
          <t>UPPSALA LÄN</t>
        </is>
      </c>
      <c r="E296" t="inlineStr">
        <is>
          <t>TIERP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48970-2021</t>
        </is>
      </c>
      <c r="B297" s="1" t="n">
        <v>44453</v>
      </c>
      <c r="C297" s="1" t="n">
        <v>45294</v>
      </c>
      <c r="D297" t="inlineStr">
        <is>
          <t>UPPSALA LÄN</t>
        </is>
      </c>
      <c r="E297" t="inlineStr">
        <is>
          <t>TIERP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48982-2021</t>
        </is>
      </c>
      <c r="B298" s="1" t="n">
        <v>44453</v>
      </c>
      <c r="C298" s="1" t="n">
        <v>45294</v>
      </c>
      <c r="D298" t="inlineStr">
        <is>
          <t>UPPSALA LÄN</t>
        </is>
      </c>
      <c r="E298" t="inlineStr">
        <is>
          <t>TIERP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49053-2021</t>
        </is>
      </c>
      <c r="B299" s="1" t="n">
        <v>44453</v>
      </c>
      <c r="C299" s="1" t="n">
        <v>45294</v>
      </c>
      <c r="D299" t="inlineStr">
        <is>
          <t>UPPSALA LÄN</t>
        </is>
      </c>
      <c r="E299" t="inlineStr">
        <is>
          <t>TIERP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49061-2021</t>
        </is>
      </c>
      <c r="B300" s="1" t="n">
        <v>44453</v>
      </c>
      <c r="C300" s="1" t="n">
        <v>45294</v>
      </c>
      <c r="D300" t="inlineStr">
        <is>
          <t>UPPSALA LÄN</t>
        </is>
      </c>
      <c r="E300" t="inlineStr">
        <is>
          <t>TIERP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50442-2021</t>
        </is>
      </c>
      <c r="B301" s="1" t="n">
        <v>44459</v>
      </c>
      <c r="C301" s="1" t="n">
        <v>45294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50429-2021</t>
        </is>
      </c>
      <c r="B302" s="1" t="n">
        <v>44459</v>
      </c>
      <c r="C302" s="1" t="n">
        <v>45294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45294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45294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45294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45294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45294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45294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45294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45294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45294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45294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45294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45294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45294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45294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45294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45294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45294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45294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45294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45294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45294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45294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45294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45294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45294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45294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45294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45294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45294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45294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45294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45294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45294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45294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45294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45294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45294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45294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45294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45294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45294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45294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45294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45294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45294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45294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45294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45294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45294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45294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45294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45294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45294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45294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45294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45294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45294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45294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45294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45294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45294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45294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45294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45294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45294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45294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45294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45294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45294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45294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45294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45294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45294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45294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45294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45294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45294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45294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45294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45294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45294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45294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45294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45294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45294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45294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45294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45294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45294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45294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45294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45294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45294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45294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45294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45294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45294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45294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45294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45294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45294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45294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45294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45294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45294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45294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45294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45294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45294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45294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45294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45294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45294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45294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45294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45294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45294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45294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45294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45294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45294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45294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45294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45294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45294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45294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45294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45294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45294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45294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45294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45294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45294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45294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45294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45294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45294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45294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45294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45294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45294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45294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45294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45294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45294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45294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45294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45294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45294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45294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45294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45294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45294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45294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45294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45294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45294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45294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45294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45294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45294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45294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45294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45294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45294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45294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45294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45294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45294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45294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45294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45294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45294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45294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45294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45294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45294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45294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45294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45294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45294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45294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45294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45294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45294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45294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45294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45294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45294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45294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45294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45294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45294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45294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45294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45294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45294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45294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45294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45294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45294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45294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45294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45294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45294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45294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45294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45294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45294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45294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45294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45294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45294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45294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45294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45294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45294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45294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45294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45294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45294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45294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45294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45294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45294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45294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45294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45294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45294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45294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45294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45294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45294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45294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45294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45294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45294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45294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45294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45294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45294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45294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45294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45294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45294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45294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45294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45294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45294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45294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45294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45294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45294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45294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45294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45294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45294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45294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45294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45294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45294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45294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45294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45294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45294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45294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45294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45294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45294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45294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45294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45294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45294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45294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45294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45294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45294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45294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45294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45294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45294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45294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45294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45294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45294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45294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45294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45294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45294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45294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45294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45294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45294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45294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45294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45294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45294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45294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45294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45294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45294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45294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45294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45294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45294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45294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45294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45294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45294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45294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45294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45294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45294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45294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45294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45294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45294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45294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45294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45294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45294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45294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45294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45294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45294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45294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45294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45294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45294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45294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45294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45294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45294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45294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45294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45294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45294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45294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45294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45294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45294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45294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45294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45294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45294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45294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45294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45294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45294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45294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45294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45294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45294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45294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45294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45294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45294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45294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45294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45294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45294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45294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45294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45294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45294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45294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45294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45294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45294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45294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45294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45294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45294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45294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45294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45294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45294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45294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45294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45294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45294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45294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45294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45294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45294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45294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45294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45294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45294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45294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45294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45294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45294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45294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45294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45294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45294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45294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45294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45294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45294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45294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45294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45294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45294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45294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45294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45294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45294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45294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45294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45294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45294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45294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45294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45294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45294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45294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45294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45294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54436-2023</t>
        </is>
      </c>
      <c r="B723" s="1" t="n">
        <v>45233</v>
      </c>
      <c r="C723" s="1" t="n">
        <v>45294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öst AB</t>
        </is>
      </c>
      <c r="G723" t="n">
        <v>30.2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55252-2023</t>
        </is>
      </c>
      <c r="B724" s="1" t="n">
        <v>45237</v>
      </c>
      <c r="C724" s="1" t="n">
        <v>45294</v>
      </c>
      <c r="D724" t="inlineStr">
        <is>
          <t>UPPSALA LÄN</t>
        </is>
      </c>
      <c r="E724" t="inlineStr">
        <is>
          <t>TIERP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55530-2023</t>
        </is>
      </c>
      <c r="B725" s="1" t="n">
        <v>45238</v>
      </c>
      <c r="C725" s="1" t="n">
        <v>45294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55711-2023</t>
        </is>
      </c>
      <c r="B726" s="1" t="n">
        <v>45239</v>
      </c>
      <c r="C726" s="1" t="n">
        <v>45294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55807-2023</t>
        </is>
      </c>
      <c r="B727" s="1" t="n">
        <v>45239</v>
      </c>
      <c r="C727" s="1" t="n">
        <v>45294</v>
      </c>
      <c r="D727" t="inlineStr">
        <is>
          <t>UPPSALA LÄN</t>
        </is>
      </c>
      <c r="E727" t="inlineStr">
        <is>
          <t>TIERP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57201-2023</t>
        </is>
      </c>
      <c r="B728" s="1" t="n">
        <v>45239</v>
      </c>
      <c r="C728" s="1" t="n">
        <v>45294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55818-2023</t>
        </is>
      </c>
      <c r="B729" s="1" t="n">
        <v>45239</v>
      </c>
      <c r="C729" s="1" t="n">
        <v>45294</v>
      </c>
      <c r="D729" t="inlineStr">
        <is>
          <t>UPPSALA LÄN</t>
        </is>
      </c>
      <c r="E729" t="inlineStr">
        <is>
          <t>TIERP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56292-2023</t>
        </is>
      </c>
      <c r="B730" s="1" t="n">
        <v>45242</v>
      </c>
      <c r="C730" s="1" t="n">
        <v>45294</v>
      </c>
      <c r="D730" t="inlineStr">
        <is>
          <t>UPPSALA LÄN</t>
        </is>
      </c>
      <c r="E730" t="inlineStr">
        <is>
          <t>TIERP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56497-2023</t>
        </is>
      </c>
      <c r="B731" s="1" t="n">
        <v>45243</v>
      </c>
      <c r="C731" s="1" t="n">
        <v>45294</v>
      </c>
      <c r="D731" t="inlineStr">
        <is>
          <t>UPPSALA LÄN</t>
        </is>
      </c>
      <c r="E731" t="inlineStr">
        <is>
          <t>TIERP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56583-2023</t>
        </is>
      </c>
      <c r="B732" s="1" t="n">
        <v>45243</v>
      </c>
      <c r="C732" s="1" t="n">
        <v>45294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56939-2023</t>
        </is>
      </c>
      <c r="B733" s="1" t="n">
        <v>45244</v>
      </c>
      <c r="C733" s="1" t="n">
        <v>45294</v>
      </c>
      <c r="D733" t="inlineStr">
        <is>
          <t>UPPSALA LÄN</t>
        </is>
      </c>
      <c r="E733" t="inlineStr">
        <is>
          <t>TIERP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56946-2023</t>
        </is>
      </c>
      <c r="B734" s="1" t="n">
        <v>45244</v>
      </c>
      <c r="C734" s="1" t="n">
        <v>45294</v>
      </c>
      <c r="D734" t="inlineStr">
        <is>
          <t>UPPSALA LÄN</t>
        </is>
      </c>
      <c r="E734" t="inlineStr">
        <is>
          <t>TIERP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56971-2023</t>
        </is>
      </c>
      <c r="B735" s="1" t="n">
        <v>45244</v>
      </c>
      <c r="C735" s="1" t="n">
        <v>45294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57142-2023</t>
        </is>
      </c>
      <c r="B736" s="1" t="n">
        <v>45245</v>
      </c>
      <c r="C736" s="1" t="n">
        <v>45294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57144-2023</t>
        </is>
      </c>
      <c r="B737" s="1" t="n">
        <v>45245</v>
      </c>
      <c r="C737" s="1" t="n">
        <v>45294</v>
      </c>
      <c r="D737" t="inlineStr">
        <is>
          <t>UPPSALA LÄN</t>
        </is>
      </c>
      <c r="E737" t="inlineStr">
        <is>
          <t>TIERP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57358-2023</t>
        </is>
      </c>
      <c r="B738" s="1" t="n">
        <v>45245</v>
      </c>
      <c r="C738" s="1" t="n">
        <v>45294</v>
      </c>
      <c r="D738" t="inlineStr">
        <is>
          <t>UPPSALA LÄN</t>
        </is>
      </c>
      <c r="E738" t="inlineStr">
        <is>
          <t>TIERP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57502-2023</t>
        </is>
      </c>
      <c r="B739" s="1" t="n">
        <v>45246</v>
      </c>
      <c r="C739" s="1" t="n">
        <v>45294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15.9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57526-2023</t>
        </is>
      </c>
      <c r="B740" s="1" t="n">
        <v>45246</v>
      </c>
      <c r="C740" s="1" t="n">
        <v>45294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57638-2023</t>
        </is>
      </c>
      <c r="B741" s="1" t="n">
        <v>45246</v>
      </c>
      <c r="C741" s="1" t="n">
        <v>45294</v>
      </c>
      <c r="D741" t="inlineStr">
        <is>
          <t>UPPSALA LÄN</t>
        </is>
      </c>
      <c r="E741" t="inlineStr">
        <is>
          <t>TIERP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57959-2023</t>
        </is>
      </c>
      <c r="B742" s="1" t="n">
        <v>45247</v>
      </c>
      <c r="C742" s="1" t="n">
        <v>45294</v>
      </c>
      <c r="D742" t="inlineStr">
        <is>
          <t>UPPSALA LÄN</t>
        </is>
      </c>
      <c r="E742" t="inlineStr">
        <is>
          <t>TIERP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57826-2023</t>
        </is>
      </c>
      <c r="B743" s="1" t="n">
        <v>45247</v>
      </c>
      <c r="C743" s="1" t="n">
        <v>45294</v>
      </c>
      <c r="D743" t="inlineStr">
        <is>
          <t>UPPSALA LÄN</t>
        </is>
      </c>
      <c r="E743" t="inlineStr">
        <is>
          <t>TIERP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57969-2023</t>
        </is>
      </c>
      <c r="B744" s="1" t="n">
        <v>45247</v>
      </c>
      <c r="C744" s="1" t="n">
        <v>45294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58042-2023</t>
        </is>
      </c>
      <c r="B745" s="1" t="n">
        <v>45247</v>
      </c>
      <c r="C745" s="1" t="n">
        <v>45294</v>
      </c>
      <c r="D745" t="inlineStr">
        <is>
          <t>UPPSALA LÄN</t>
        </is>
      </c>
      <c r="E745" t="inlineStr">
        <is>
          <t>TIERP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58034-2023</t>
        </is>
      </c>
      <c r="B746" s="1" t="n">
        <v>45247</v>
      </c>
      <c r="C746" s="1" t="n">
        <v>45294</v>
      </c>
      <c r="D746" t="inlineStr">
        <is>
          <t>UPPSALA LÄN</t>
        </is>
      </c>
      <c r="E746" t="inlineStr">
        <is>
          <t>TIERP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57828-2023</t>
        </is>
      </c>
      <c r="B747" s="1" t="n">
        <v>45247</v>
      </c>
      <c r="C747" s="1" t="n">
        <v>45294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58492-2023</t>
        </is>
      </c>
      <c r="B748" s="1" t="n">
        <v>45251</v>
      </c>
      <c r="C748" s="1" t="n">
        <v>45294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58947-2023</t>
        </is>
      </c>
      <c r="B749" s="1" t="n">
        <v>45252</v>
      </c>
      <c r="C749" s="1" t="n">
        <v>45294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58900-2023</t>
        </is>
      </c>
      <c r="B750" s="1" t="n">
        <v>45252</v>
      </c>
      <c r="C750" s="1" t="n">
        <v>45294</v>
      </c>
      <c r="D750" t="inlineStr">
        <is>
          <t>UPPSALA LÄN</t>
        </is>
      </c>
      <c r="E750" t="inlineStr">
        <is>
          <t>TIERP</t>
        </is>
      </c>
      <c r="G750" t="n">
        <v>25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58931-2023</t>
        </is>
      </c>
      <c r="B751" s="1" t="n">
        <v>45252</v>
      </c>
      <c r="C751" s="1" t="n">
        <v>45294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öst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59473-2023</t>
        </is>
      </c>
      <c r="B752" s="1" t="n">
        <v>45253</v>
      </c>
      <c r="C752" s="1" t="n">
        <v>45294</v>
      </c>
      <c r="D752" t="inlineStr">
        <is>
          <t>UPPSALA LÄN</t>
        </is>
      </c>
      <c r="E752" t="inlineStr">
        <is>
          <t>TIERP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59493-2023</t>
        </is>
      </c>
      <c r="B753" s="1" t="n">
        <v>45253</v>
      </c>
      <c r="C753" s="1" t="n">
        <v>45294</v>
      </c>
      <c r="D753" t="inlineStr">
        <is>
          <t>UPPSALA LÄN</t>
        </is>
      </c>
      <c r="E753" t="inlineStr">
        <is>
          <t>TIERP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59482-2023</t>
        </is>
      </c>
      <c r="B754" s="1" t="n">
        <v>45253</v>
      </c>
      <c r="C754" s="1" t="n">
        <v>45294</v>
      </c>
      <c r="D754" t="inlineStr">
        <is>
          <t>UPPSALA LÄN</t>
        </is>
      </c>
      <c r="E754" t="inlineStr">
        <is>
          <t>TIERP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59923-2023</t>
        </is>
      </c>
      <c r="B755" s="1" t="n">
        <v>45257</v>
      </c>
      <c r="C755" s="1" t="n">
        <v>45294</v>
      </c>
      <c r="D755" t="inlineStr">
        <is>
          <t>UPPSALA LÄN</t>
        </is>
      </c>
      <c r="E755" t="inlineStr">
        <is>
          <t>TIERP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59942-2023</t>
        </is>
      </c>
      <c r="B756" s="1" t="n">
        <v>45257</v>
      </c>
      <c r="C756" s="1" t="n">
        <v>45294</v>
      </c>
      <c r="D756" t="inlineStr">
        <is>
          <t>UPPSALA LÄN</t>
        </is>
      </c>
      <c r="E756" t="inlineStr">
        <is>
          <t>TIERP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59961-2023</t>
        </is>
      </c>
      <c r="B757" s="1" t="n">
        <v>45257</v>
      </c>
      <c r="C757" s="1" t="n">
        <v>45294</v>
      </c>
      <c r="D757" t="inlineStr">
        <is>
          <t>UPPSALA LÄN</t>
        </is>
      </c>
      <c r="E757" t="inlineStr">
        <is>
          <t>TIERP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60079-2023</t>
        </is>
      </c>
      <c r="B758" s="1" t="n">
        <v>45258</v>
      </c>
      <c r="C758" s="1" t="n">
        <v>45294</v>
      </c>
      <c r="D758" t="inlineStr">
        <is>
          <t>UPPSALA LÄN</t>
        </is>
      </c>
      <c r="E758" t="inlineStr">
        <is>
          <t>TIERP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60212-2023</t>
        </is>
      </c>
      <c r="B759" s="1" t="n">
        <v>45258</v>
      </c>
      <c r="C759" s="1" t="n">
        <v>45294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60993-2023</t>
        </is>
      </c>
      <c r="B760" s="1" t="n">
        <v>45259</v>
      </c>
      <c r="C760" s="1" t="n">
        <v>45294</v>
      </c>
      <c r="D760" t="inlineStr">
        <is>
          <t>UPPSALA LÄN</t>
        </is>
      </c>
      <c r="E760" t="inlineStr">
        <is>
          <t>TIERP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60989-2023</t>
        </is>
      </c>
      <c r="B761" s="1" t="n">
        <v>45259</v>
      </c>
      <c r="C761" s="1" t="n">
        <v>45294</v>
      </c>
      <c r="D761" t="inlineStr">
        <is>
          <t>UPPSALA LÄN</t>
        </is>
      </c>
      <c r="E761" t="inlineStr">
        <is>
          <t>TIERP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60924-2023</t>
        </is>
      </c>
      <c r="B762" s="1" t="n">
        <v>45261</v>
      </c>
      <c r="C762" s="1" t="n">
        <v>45294</v>
      </c>
      <c r="D762" t="inlineStr">
        <is>
          <t>UPPSALA LÄN</t>
        </is>
      </c>
      <c r="E762" t="inlineStr">
        <is>
          <t>TIERP</t>
        </is>
      </c>
      <c r="F762" t="inlineStr">
        <is>
          <t>Bergvik skog öst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61612-2023</t>
        </is>
      </c>
      <c r="B763" s="1" t="n">
        <v>45265</v>
      </c>
      <c r="C763" s="1" t="n">
        <v>45294</v>
      </c>
      <c r="D763" t="inlineStr">
        <is>
          <t>UPPSALA LÄN</t>
        </is>
      </c>
      <c r="E763" t="inlineStr">
        <is>
          <t>TIERP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61640-2023</t>
        </is>
      </c>
      <c r="B764" s="1" t="n">
        <v>45265</v>
      </c>
      <c r="C764" s="1" t="n">
        <v>45294</v>
      </c>
      <c r="D764" t="inlineStr">
        <is>
          <t>UPPSALA LÄN</t>
        </is>
      </c>
      <c r="E764" t="inlineStr">
        <is>
          <t>TIERP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61677-2023</t>
        </is>
      </c>
      <c r="B765" s="1" t="n">
        <v>45265</v>
      </c>
      <c r="C765" s="1" t="n">
        <v>45294</v>
      </c>
      <c r="D765" t="inlineStr">
        <is>
          <t>UPPSALA LÄN</t>
        </is>
      </c>
      <c r="E765" t="inlineStr">
        <is>
          <t>TIERP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63646-2023</t>
        </is>
      </c>
      <c r="B766" s="1" t="n">
        <v>45275</v>
      </c>
      <c r="C766" s="1" t="n">
        <v>45294</v>
      </c>
      <c r="D766" t="inlineStr">
        <is>
          <t>UPPSALA LÄN</t>
        </is>
      </c>
      <c r="E766" t="inlineStr">
        <is>
          <t>TIERP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63663-2023</t>
        </is>
      </c>
      <c r="B767" s="1" t="n">
        <v>45275</v>
      </c>
      <c r="C767" s="1" t="n">
        <v>45294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63641-2023</t>
        </is>
      </c>
      <c r="B768" s="1" t="n">
        <v>45275</v>
      </c>
      <c r="C768" s="1" t="n">
        <v>45294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63649-2023</t>
        </is>
      </c>
      <c r="B769" s="1" t="n">
        <v>45275</v>
      </c>
      <c r="C769" s="1" t="n">
        <v>45294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45294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64128-2023</t>
        </is>
      </c>
      <c r="B771" s="1" t="n">
        <v>45279</v>
      </c>
      <c r="C771" s="1" t="n">
        <v>45294</v>
      </c>
      <c r="D771" t="inlineStr">
        <is>
          <t>UPPSALA LÄN</t>
        </is>
      </c>
      <c r="E771" t="inlineStr">
        <is>
          <t>TIERP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64132-2023</t>
        </is>
      </c>
      <c r="B772" s="1" t="n">
        <v>45279</v>
      </c>
      <c r="C772" s="1" t="n">
        <v>45294</v>
      </c>
      <c r="D772" t="inlineStr">
        <is>
          <t>UPPSALA LÄN</t>
        </is>
      </c>
      <c r="E772" t="inlineStr">
        <is>
          <t>TIERP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64135-2023</t>
        </is>
      </c>
      <c r="B773" s="1" t="n">
        <v>45279</v>
      </c>
      <c r="C773" s="1" t="n">
        <v>45294</v>
      </c>
      <c r="D773" t="inlineStr">
        <is>
          <t>UPPSALA LÄN</t>
        </is>
      </c>
      <c r="E773" t="inlineStr">
        <is>
          <t>TIERP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64180-2023</t>
        </is>
      </c>
      <c r="B774" s="1" t="n">
        <v>45279</v>
      </c>
      <c r="C774" s="1" t="n">
        <v>45294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64557-2023</t>
        </is>
      </c>
      <c r="B775" s="1" t="n">
        <v>45281</v>
      </c>
      <c r="C775" s="1" t="n">
        <v>45294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64624-2023</t>
        </is>
      </c>
      <c r="B776" s="1" t="n">
        <v>45281</v>
      </c>
      <c r="C776" s="1" t="n">
        <v>45294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64628-2023</t>
        </is>
      </c>
      <c r="B777" s="1" t="n">
        <v>45281</v>
      </c>
      <c r="C777" s="1" t="n">
        <v>45294</v>
      </c>
      <c r="D777" t="inlineStr">
        <is>
          <t>UPPSALA LÄN</t>
        </is>
      </c>
      <c r="E777" t="inlineStr">
        <is>
          <t>TIERP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64540-2023</t>
        </is>
      </c>
      <c r="B778" s="1" t="n">
        <v>45281</v>
      </c>
      <c r="C778" s="1" t="n">
        <v>45294</v>
      </c>
      <c r="D778" t="inlineStr">
        <is>
          <t>UPPSALA LÄN</t>
        </is>
      </c>
      <c r="E778" t="inlineStr">
        <is>
          <t>TIERP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64782-2023</t>
        </is>
      </c>
      <c r="B779" s="1" t="n">
        <v>45282</v>
      </c>
      <c r="C779" s="1" t="n">
        <v>45294</v>
      </c>
      <c r="D779" t="inlineStr">
        <is>
          <t>UPPSALA LÄN</t>
        </is>
      </c>
      <c r="E779" t="inlineStr">
        <is>
          <t>TIERP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64911-2023</t>
        </is>
      </c>
      <c r="B780" s="1" t="n">
        <v>45282</v>
      </c>
      <c r="C780" s="1" t="n">
        <v>45294</v>
      </c>
      <c r="D780" t="inlineStr">
        <is>
          <t>UPPSALA LÄN</t>
        </is>
      </c>
      <c r="E780" t="inlineStr">
        <is>
          <t>TIERP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64914-2023</t>
        </is>
      </c>
      <c r="B781" s="1" t="n">
        <v>45282</v>
      </c>
      <c r="C781" s="1" t="n">
        <v>45294</v>
      </c>
      <c r="D781" t="inlineStr">
        <is>
          <t>UPPSALA LÄN</t>
        </is>
      </c>
      <c r="E781" t="inlineStr">
        <is>
          <t>TIERP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2024-01-03T10:03:31Z</dcterms:created>
  <dcterms:modified xmlns:dcterms="http://purl.org/dc/terms/" xmlns:xsi="http://www.w3.org/2001/XMLSchema-instance" xsi:type="dcterms:W3CDTF">2024-01-03T10:03:31Z</dcterms:modified>
</cp:coreProperties>
</file>