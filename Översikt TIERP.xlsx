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45796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45796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45796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45796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45796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45796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45796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45796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45796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45796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45796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45796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45796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45796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45796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45796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45796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45796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45796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45796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45796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45796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45796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45796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45796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45796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45796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45796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45796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45796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45796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45796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45796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45796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45796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45796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57665-2019</t>
        </is>
      </c>
      <c r="B38" s="1" t="n">
        <v>43768</v>
      </c>
      <c r="C38" s="1" t="n">
        <v>45796</v>
      </c>
      <c r="D38" t="inlineStr">
        <is>
          <t>UPPSALA LÄN</t>
        </is>
      </c>
      <c r="E38" t="inlineStr">
        <is>
          <t>TIERP</t>
        </is>
      </c>
      <c r="G38" t="n">
        <v>4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Bombmurkla
Rynkskinn
Stor aspticka</t>
        </is>
      </c>
      <c r="S38">
        <f>HYPERLINK("https://klasma.github.io/Logging_0360/artfynd/A 57665-2019 artfynd.xlsx", "A 57665-2019")</f>
        <v/>
      </c>
      <c r="T38">
        <f>HYPERLINK("https://klasma.github.io/Logging_0360/kartor/A 57665-2019 karta.png", "A 57665-2019")</f>
        <v/>
      </c>
      <c r="V38">
        <f>HYPERLINK("https://klasma.github.io/Logging_0360/klagomål/A 57665-2019 FSC-klagomål.docx", "A 57665-2019")</f>
        <v/>
      </c>
      <c r="W38">
        <f>HYPERLINK("https://klasma.github.io/Logging_0360/klagomålsmail/A 57665-2019 FSC-klagomål mail.docx", "A 57665-2019")</f>
        <v/>
      </c>
      <c r="X38">
        <f>HYPERLINK("https://klasma.github.io/Logging_0360/tillsyn/A 57665-2019 tillsynsbegäran.docx", "A 57665-2019")</f>
        <v/>
      </c>
      <c r="Y38">
        <f>HYPERLINK("https://klasma.github.io/Logging_0360/tillsynsmail/A 57665-2019 tillsynsbegäran mail.docx", "A 57665-2019")</f>
        <v/>
      </c>
    </row>
    <row r="39" ht="15" customHeight="1">
      <c r="A39" t="inlineStr">
        <is>
          <t>A 73005-2021</t>
        </is>
      </c>
      <c r="B39" s="1" t="n">
        <v>44550</v>
      </c>
      <c r="C39" s="1" t="n">
        <v>45796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väst AB</t>
        </is>
      </c>
      <c r="G39" t="n">
        <v>5.7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Ekticka
Dvärghäxört
Jättesvampmal</t>
        </is>
      </c>
      <c r="S39">
        <f>HYPERLINK("https://klasma.github.io/Logging_0360/artfynd/A 73005-2021 artfynd.xlsx", "A 73005-2021")</f>
        <v/>
      </c>
      <c r="T39">
        <f>HYPERLINK("https://klasma.github.io/Logging_0360/kartor/A 73005-2021 karta.png", "A 73005-2021")</f>
        <v/>
      </c>
      <c r="V39">
        <f>HYPERLINK("https://klasma.github.io/Logging_0360/klagomål/A 73005-2021 FSC-klagomål.docx", "A 73005-2021")</f>
        <v/>
      </c>
      <c r="W39">
        <f>HYPERLINK("https://klasma.github.io/Logging_0360/klagomålsmail/A 73005-2021 FSC-klagomål mail.docx", "A 73005-2021")</f>
        <v/>
      </c>
      <c r="X39">
        <f>HYPERLINK("https://klasma.github.io/Logging_0360/tillsyn/A 73005-2021 tillsynsbegäran.docx", "A 73005-2021")</f>
        <v/>
      </c>
      <c r="Y39">
        <f>HYPERLINK("https://klasma.github.io/Logging_0360/tillsynsmail/A 73005-2021 tillsynsbegäran mail.docx", "A 73005-2021")</f>
        <v/>
      </c>
    </row>
    <row r="40" ht="15" customHeight="1">
      <c r="A40" t="inlineStr">
        <is>
          <t>A 73325-2021</t>
        </is>
      </c>
      <c r="B40" s="1" t="n">
        <v>44551</v>
      </c>
      <c r="C40" s="1" t="n">
        <v>45796</v>
      </c>
      <c r="D40" t="inlineStr">
        <is>
          <t>UPPSALA LÄN</t>
        </is>
      </c>
      <c r="E40" t="inlineStr">
        <is>
          <t>TIERP</t>
        </is>
      </c>
      <c r="G40" t="n">
        <v>3.7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Taggfingersvamp
Äggspindling
Rödgul trumpetsvamp</t>
        </is>
      </c>
      <c r="S40">
        <f>HYPERLINK("https://klasma.github.io/Logging_0360/artfynd/A 73325-2021 artfynd.xlsx", "A 73325-2021")</f>
        <v/>
      </c>
      <c r="T40">
        <f>HYPERLINK("https://klasma.github.io/Logging_0360/kartor/A 73325-2021 karta.png", "A 73325-2021")</f>
        <v/>
      </c>
      <c r="V40">
        <f>HYPERLINK("https://klasma.github.io/Logging_0360/klagomål/A 73325-2021 FSC-klagomål.docx", "A 73325-2021")</f>
        <v/>
      </c>
      <c r="W40">
        <f>HYPERLINK("https://klasma.github.io/Logging_0360/klagomålsmail/A 73325-2021 FSC-klagomål mail.docx", "A 73325-2021")</f>
        <v/>
      </c>
      <c r="X40">
        <f>HYPERLINK("https://klasma.github.io/Logging_0360/tillsyn/A 73325-2021 tillsynsbegäran.docx", "A 73325-2021")</f>
        <v/>
      </c>
      <c r="Y40">
        <f>HYPERLINK("https://klasma.github.io/Logging_0360/tillsynsmail/A 73325-2021 tillsynsbegäran mail.docx", "A 73325-2021")</f>
        <v/>
      </c>
    </row>
    <row r="41" ht="15" customHeight="1">
      <c r="A41" t="inlineStr">
        <is>
          <t>A 15592-2022</t>
        </is>
      </c>
      <c r="B41" s="1" t="n">
        <v>44662</v>
      </c>
      <c r="C41" s="1" t="n">
        <v>45796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1.7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Tibast
Blåsippa</t>
        </is>
      </c>
      <c r="S41">
        <f>HYPERLINK("https://klasma.github.io/Logging_0360/artfynd/A 15592-2022 artfynd.xlsx", "A 15592-2022")</f>
        <v/>
      </c>
      <c r="T41">
        <f>HYPERLINK("https://klasma.github.io/Logging_0360/kartor/A 15592-2022 karta.png", "A 15592-2022")</f>
        <v/>
      </c>
      <c r="V41">
        <f>HYPERLINK("https://klasma.github.io/Logging_0360/klagomål/A 15592-2022 FSC-klagomål.docx", "A 15592-2022")</f>
        <v/>
      </c>
      <c r="W41">
        <f>HYPERLINK("https://klasma.github.io/Logging_0360/klagomålsmail/A 15592-2022 FSC-klagomål mail.docx", "A 15592-2022")</f>
        <v/>
      </c>
      <c r="X41">
        <f>HYPERLINK("https://klasma.github.io/Logging_0360/tillsyn/A 15592-2022 tillsynsbegäran.docx", "A 15592-2022")</f>
        <v/>
      </c>
      <c r="Y41">
        <f>HYPERLINK("https://klasma.github.io/Logging_0360/tillsynsmail/A 15592-2022 tillsynsbegäran mail.docx", "A 15592-2022")</f>
        <v/>
      </c>
    </row>
    <row r="42" ht="15" customHeight="1">
      <c r="A42" t="inlineStr">
        <is>
          <t>A 52951-2022</t>
        </is>
      </c>
      <c r="B42" s="1" t="n">
        <v>44875</v>
      </c>
      <c r="C42" s="1" t="n">
        <v>45796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13.5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Myskmadra
Rödgul trumpetsvamp
Sårläka</t>
        </is>
      </c>
      <c r="S42">
        <f>HYPERLINK("https://klasma.github.io/Logging_0360/artfynd/A 52951-2022 artfynd.xlsx", "A 52951-2022")</f>
        <v/>
      </c>
      <c r="T42">
        <f>HYPERLINK("https://klasma.github.io/Logging_0360/kartor/A 52951-2022 karta.png", "A 52951-2022")</f>
        <v/>
      </c>
      <c r="V42">
        <f>HYPERLINK("https://klasma.github.io/Logging_0360/klagomål/A 52951-2022 FSC-klagomål.docx", "A 52951-2022")</f>
        <v/>
      </c>
      <c r="W42">
        <f>HYPERLINK("https://klasma.github.io/Logging_0360/klagomålsmail/A 52951-2022 FSC-klagomål mail.docx", "A 52951-2022")</f>
        <v/>
      </c>
      <c r="X42">
        <f>HYPERLINK("https://klasma.github.io/Logging_0360/tillsyn/A 52951-2022 tillsynsbegäran.docx", "A 52951-2022")</f>
        <v/>
      </c>
      <c r="Y42">
        <f>HYPERLINK("https://klasma.github.io/Logging_0360/tillsynsmail/A 52951-2022 tillsynsbegäran mail.docx", "A 52951-2022")</f>
        <v/>
      </c>
    </row>
    <row r="43" ht="15" customHeight="1">
      <c r="A43" t="inlineStr">
        <is>
          <t>A 7366-2023</t>
        </is>
      </c>
      <c r="B43" s="1" t="n">
        <v>44966</v>
      </c>
      <c r="C43" s="1" t="n">
        <v>45796</v>
      </c>
      <c r="D43" t="inlineStr">
        <is>
          <t>UPPSALA LÄN</t>
        </is>
      </c>
      <c r="E43" t="inlineStr">
        <is>
          <t>TIERP</t>
        </is>
      </c>
      <c r="G43" t="n">
        <v>10.3</v>
      </c>
      <c r="H43" t="n">
        <v>2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Grönpyrola
Revlummer</t>
        </is>
      </c>
      <c r="S43">
        <f>HYPERLINK("https://klasma.github.io/Logging_0360/artfynd/A 7366-2023 artfynd.xlsx", "A 7366-2023")</f>
        <v/>
      </c>
      <c r="T43">
        <f>HYPERLINK("https://klasma.github.io/Logging_0360/kartor/A 7366-2023 karta.png", "A 7366-2023")</f>
        <v/>
      </c>
      <c r="U43">
        <f>HYPERLINK("https://klasma.github.io/Logging_0360/knärot/A 7366-2023 karta knärot.png", "A 7366-2023")</f>
        <v/>
      </c>
      <c r="V43">
        <f>HYPERLINK("https://klasma.github.io/Logging_0360/klagomål/A 7366-2023 FSC-klagomål.docx", "A 7366-2023")</f>
        <v/>
      </c>
      <c r="W43">
        <f>HYPERLINK("https://klasma.github.io/Logging_0360/klagomålsmail/A 7366-2023 FSC-klagomål mail.docx", "A 7366-2023")</f>
        <v/>
      </c>
      <c r="X43">
        <f>HYPERLINK("https://klasma.github.io/Logging_0360/tillsyn/A 7366-2023 tillsynsbegäran.docx", "A 7366-2023")</f>
        <v/>
      </c>
      <c r="Y43">
        <f>HYPERLINK("https://klasma.github.io/Logging_0360/tillsynsmail/A 7366-2023 tillsynsbegäran mail.docx", "A 7366-2023")</f>
        <v/>
      </c>
    </row>
    <row r="44" ht="15" customHeight="1">
      <c r="A44" t="inlineStr">
        <is>
          <t>A 7309-2023</t>
        </is>
      </c>
      <c r="B44" s="1" t="n">
        <v>44970</v>
      </c>
      <c r="C44" s="1" t="n">
        <v>45796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13.7</v>
      </c>
      <c r="H44" t="n">
        <v>3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Skogsknipprot
Blåsippa
Revlummer</t>
        </is>
      </c>
      <c r="S44">
        <f>HYPERLINK("https://klasma.github.io/Logging_0360/artfynd/A 7309-2023 artfynd.xlsx", "A 7309-2023")</f>
        <v/>
      </c>
      <c r="T44">
        <f>HYPERLINK("https://klasma.github.io/Logging_0360/kartor/A 7309-2023 karta.png", "A 7309-2023")</f>
        <v/>
      </c>
      <c r="V44">
        <f>HYPERLINK("https://klasma.github.io/Logging_0360/klagomål/A 7309-2023 FSC-klagomål.docx", "A 7309-2023")</f>
        <v/>
      </c>
      <c r="W44">
        <f>HYPERLINK("https://klasma.github.io/Logging_0360/klagomålsmail/A 7309-2023 FSC-klagomål mail.docx", "A 7309-2023")</f>
        <v/>
      </c>
      <c r="X44">
        <f>HYPERLINK("https://klasma.github.io/Logging_0360/tillsyn/A 7309-2023 tillsynsbegäran.docx", "A 7309-2023")</f>
        <v/>
      </c>
      <c r="Y44">
        <f>HYPERLINK("https://klasma.github.io/Logging_0360/tillsynsmail/A 7309-2023 tillsynsbegäran mail.docx", "A 7309-2023")</f>
        <v/>
      </c>
    </row>
    <row r="45" ht="15" customHeight="1">
      <c r="A45" t="inlineStr">
        <is>
          <t>A 9706-2023</t>
        </is>
      </c>
      <c r="B45" s="1" t="n">
        <v>44984</v>
      </c>
      <c r="C45" s="1" t="n">
        <v>45796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12.2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Klasefibbla
Rödgul trumpetsvamp
Skogsknipprot</t>
        </is>
      </c>
      <c r="S45">
        <f>HYPERLINK("https://klasma.github.io/Logging_0360/artfynd/A 9706-2023 artfynd.xlsx", "A 9706-2023")</f>
        <v/>
      </c>
      <c r="T45">
        <f>HYPERLINK("https://klasma.github.io/Logging_0360/kartor/A 9706-2023 karta.png", "A 9706-2023")</f>
        <v/>
      </c>
      <c r="V45">
        <f>HYPERLINK("https://klasma.github.io/Logging_0360/klagomål/A 9706-2023 FSC-klagomål.docx", "A 9706-2023")</f>
        <v/>
      </c>
      <c r="W45">
        <f>HYPERLINK("https://klasma.github.io/Logging_0360/klagomålsmail/A 9706-2023 FSC-klagomål mail.docx", "A 9706-2023")</f>
        <v/>
      </c>
      <c r="X45">
        <f>HYPERLINK("https://klasma.github.io/Logging_0360/tillsyn/A 9706-2023 tillsynsbegäran.docx", "A 9706-2023")</f>
        <v/>
      </c>
      <c r="Y45">
        <f>HYPERLINK("https://klasma.github.io/Logging_0360/tillsynsmail/A 9706-2023 tillsynsbegäran mail.docx", "A 9706-2023")</f>
        <v/>
      </c>
    </row>
    <row r="46" ht="15" customHeight="1">
      <c r="A46" t="inlineStr">
        <is>
          <t>A 8224-2025</t>
        </is>
      </c>
      <c r="B46" s="1" t="n">
        <v>45708</v>
      </c>
      <c r="C46" s="1" t="n">
        <v>45796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2.1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Stor låsbräken
Sårläka
Blåsippa</t>
        </is>
      </c>
      <c r="S46">
        <f>HYPERLINK("https://klasma.github.io/Logging_0360/artfynd/A 8224-2025 artfynd.xlsx", "A 8224-2025")</f>
        <v/>
      </c>
      <c r="T46">
        <f>HYPERLINK("https://klasma.github.io/Logging_0360/kartor/A 8224-2025 karta.png", "A 8224-2025")</f>
        <v/>
      </c>
      <c r="V46">
        <f>HYPERLINK("https://klasma.github.io/Logging_0360/klagomål/A 8224-2025 FSC-klagomål.docx", "A 8224-2025")</f>
        <v/>
      </c>
      <c r="W46">
        <f>HYPERLINK("https://klasma.github.io/Logging_0360/klagomålsmail/A 8224-2025 FSC-klagomål mail.docx", "A 8224-2025")</f>
        <v/>
      </c>
      <c r="X46">
        <f>HYPERLINK("https://klasma.github.io/Logging_0360/tillsyn/A 8224-2025 tillsynsbegäran.docx", "A 8224-2025")</f>
        <v/>
      </c>
      <c r="Y46">
        <f>HYPERLINK("https://klasma.github.io/Logging_0360/tillsynsmail/A 8224-2025 tillsynsbegäran mail.docx", "A 8224-2025")</f>
        <v/>
      </c>
    </row>
    <row r="47" ht="15" customHeight="1">
      <c r="A47" t="inlineStr">
        <is>
          <t>A 10846-2025</t>
        </is>
      </c>
      <c r="B47" s="1" t="n">
        <v>45722</v>
      </c>
      <c r="C47" s="1" t="n">
        <v>45796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1.8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Rödgul trumpetsvamp
Tibast
Blåsippa</t>
        </is>
      </c>
      <c r="S47">
        <f>HYPERLINK("https://klasma.github.io/Logging_030360/artfynd/A 10846-2025 artfynd.xlsx", "A 10846-2025")</f>
        <v/>
      </c>
      <c r="T47">
        <f>HYPERLINK("https://klasma.github.io/Logging_030360/kartor/A 10846-2025 karta.png", "A 10846-2025")</f>
        <v/>
      </c>
      <c r="V47">
        <f>HYPERLINK("https://klasma.github.io/Logging_030360/klagomål/A 10846-2025 FSC-klagomål.docx", "A 10846-2025")</f>
        <v/>
      </c>
      <c r="W47">
        <f>HYPERLINK("https://klasma.github.io/Logging_030360/klagomålsmail/A 10846-2025 FSC-klagomål mail.docx", "A 10846-2025")</f>
        <v/>
      </c>
      <c r="X47">
        <f>HYPERLINK("https://klasma.github.io/Logging_030360/tillsyn/A 10846-2025 tillsynsbegäran.docx", "A 10846-2025")</f>
        <v/>
      </c>
      <c r="Y47">
        <f>HYPERLINK("https://klasma.github.io/Logging_030360/tillsynsmail/A 10846-2025 tillsynsbegäran mail.docx", "A 10846-2025")</f>
        <v/>
      </c>
    </row>
    <row r="48" ht="15" customHeight="1">
      <c r="A48" t="inlineStr">
        <is>
          <t>A 35563-2019</t>
        </is>
      </c>
      <c r="B48" s="1" t="n">
        <v>43664</v>
      </c>
      <c r="C48" s="1" t="n">
        <v>45796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4.6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Nästrot
Tibast</t>
        </is>
      </c>
      <c r="S48">
        <f>HYPERLINK("https://klasma.github.io/Logging_0360/artfynd/A 35563-2019 artfynd.xlsx", "A 35563-2019")</f>
        <v/>
      </c>
      <c r="T48">
        <f>HYPERLINK("https://klasma.github.io/Logging_0360/kartor/A 35563-2019 karta.png", "A 35563-2019")</f>
        <v/>
      </c>
      <c r="V48">
        <f>HYPERLINK("https://klasma.github.io/Logging_0360/klagomål/A 35563-2019 FSC-klagomål.docx", "A 35563-2019")</f>
        <v/>
      </c>
      <c r="W48">
        <f>HYPERLINK("https://klasma.github.io/Logging_0360/klagomålsmail/A 35563-2019 FSC-klagomål mail.docx", "A 35563-2019")</f>
        <v/>
      </c>
      <c r="X48">
        <f>HYPERLINK("https://klasma.github.io/Logging_0360/tillsyn/A 35563-2019 tillsynsbegäran.docx", "A 35563-2019")</f>
        <v/>
      </c>
      <c r="Y48">
        <f>HYPERLINK("https://klasma.github.io/Logging_0360/tillsynsmail/A 35563-2019 tillsynsbegäran mail.docx", "A 35563-2019")</f>
        <v/>
      </c>
    </row>
    <row r="49" ht="15" customHeight="1">
      <c r="A49" t="inlineStr">
        <is>
          <t>A 60083-2019</t>
        </is>
      </c>
      <c r="B49" s="1" t="n">
        <v>43777</v>
      </c>
      <c r="C49" s="1" t="n">
        <v>45796</v>
      </c>
      <c r="D49" t="inlineStr">
        <is>
          <t>UPPSALA LÄN</t>
        </is>
      </c>
      <c r="E49" t="inlineStr">
        <is>
          <t>TIERP</t>
        </is>
      </c>
      <c r="G49" t="n">
        <v>2.7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Granbarkgnagare
Skarp dropptaggsvamp</t>
        </is>
      </c>
      <c r="S49">
        <f>HYPERLINK("https://klasma.github.io/Logging_0360/artfynd/A 60083-2019 artfynd.xlsx", "A 60083-2019")</f>
        <v/>
      </c>
      <c r="T49">
        <f>HYPERLINK("https://klasma.github.io/Logging_0360/kartor/A 60083-2019 karta.png", "A 60083-2019")</f>
        <v/>
      </c>
      <c r="V49">
        <f>HYPERLINK("https://klasma.github.io/Logging_0360/klagomål/A 60083-2019 FSC-klagomål.docx", "A 60083-2019")</f>
        <v/>
      </c>
      <c r="W49">
        <f>HYPERLINK("https://klasma.github.io/Logging_0360/klagomålsmail/A 60083-2019 FSC-klagomål mail.docx", "A 60083-2019")</f>
        <v/>
      </c>
      <c r="X49">
        <f>HYPERLINK("https://klasma.github.io/Logging_0360/tillsyn/A 60083-2019 tillsynsbegäran.docx", "A 60083-2019")</f>
        <v/>
      </c>
      <c r="Y49">
        <f>HYPERLINK("https://klasma.github.io/Logging_0360/tillsynsmail/A 60083-2019 tillsynsbegäran mail.docx", "A 60083-2019")</f>
        <v/>
      </c>
    </row>
    <row r="50" ht="15" customHeight="1">
      <c r="A50" t="inlineStr">
        <is>
          <t>A 18788-2020</t>
        </is>
      </c>
      <c r="B50" s="1" t="n">
        <v>43931</v>
      </c>
      <c r="C50" s="1" t="n">
        <v>45796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2.4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Rödbrun blekspik</t>
        </is>
      </c>
      <c r="S50">
        <f>HYPERLINK("https://klasma.github.io/Logging_0360/artfynd/A 18788-2020 artfynd.xlsx", "A 18788-2020")</f>
        <v/>
      </c>
      <c r="T50">
        <f>HYPERLINK("https://klasma.github.io/Logging_0360/kartor/A 18788-2020 karta.png", "A 18788-2020")</f>
        <v/>
      </c>
      <c r="V50">
        <f>HYPERLINK("https://klasma.github.io/Logging_0360/klagomål/A 18788-2020 FSC-klagomål.docx", "A 18788-2020")</f>
        <v/>
      </c>
      <c r="W50">
        <f>HYPERLINK("https://klasma.github.io/Logging_0360/klagomålsmail/A 18788-2020 FSC-klagomål mail.docx", "A 18788-2020")</f>
        <v/>
      </c>
      <c r="X50">
        <f>HYPERLINK("https://klasma.github.io/Logging_0360/tillsyn/A 18788-2020 tillsynsbegäran.docx", "A 18788-2020")</f>
        <v/>
      </c>
      <c r="Y50">
        <f>HYPERLINK("https://klasma.github.io/Logging_0360/tillsynsmail/A 18788-2020 tillsynsbegäran mail.docx", "A 18788-2020")</f>
        <v/>
      </c>
    </row>
    <row r="51" ht="15" customHeight="1">
      <c r="A51" t="inlineStr">
        <is>
          <t>A 53324-2021</t>
        </is>
      </c>
      <c r="B51" s="1" t="n">
        <v>44468</v>
      </c>
      <c r="C51" s="1" t="n">
        <v>45796</v>
      </c>
      <c r="D51" t="inlineStr">
        <is>
          <t>UPPSALA LÄN</t>
        </is>
      </c>
      <c r="E51" t="inlineStr">
        <is>
          <t>TIERP</t>
        </is>
      </c>
      <c r="G51" t="n">
        <v>0.8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Stor aspticka</t>
        </is>
      </c>
      <c r="S51">
        <f>HYPERLINK("https://klasma.github.io/Logging_0360/artfynd/A 53324-2021 artfynd.xlsx", "A 53324-2021")</f>
        <v/>
      </c>
      <c r="T51">
        <f>HYPERLINK("https://klasma.github.io/Logging_0360/kartor/A 53324-2021 karta.png", "A 53324-2021")</f>
        <v/>
      </c>
      <c r="V51">
        <f>HYPERLINK("https://klasma.github.io/Logging_0360/klagomål/A 53324-2021 FSC-klagomål.docx", "A 53324-2021")</f>
        <v/>
      </c>
      <c r="W51">
        <f>HYPERLINK("https://klasma.github.io/Logging_0360/klagomålsmail/A 53324-2021 FSC-klagomål mail.docx", "A 53324-2021")</f>
        <v/>
      </c>
      <c r="X51">
        <f>HYPERLINK("https://klasma.github.io/Logging_0360/tillsyn/A 53324-2021 tillsynsbegäran.docx", "A 53324-2021")</f>
        <v/>
      </c>
      <c r="Y51">
        <f>HYPERLINK("https://klasma.github.io/Logging_0360/tillsynsmail/A 53324-2021 tillsynsbegäran mail.docx", "A 53324-2021")</f>
        <v/>
      </c>
    </row>
    <row r="52" ht="15" customHeight="1">
      <c r="A52" t="inlineStr">
        <is>
          <t>A 12186-2022</t>
        </is>
      </c>
      <c r="B52" s="1" t="n">
        <v>44636</v>
      </c>
      <c r="C52" s="1" t="n">
        <v>45796</v>
      </c>
      <c r="D52" t="inlineStr">
        <is>
          <t>UPPSALA LÄN</t>
        </is>
      </c>
      <c r="E52" t="inlineStr">
        <is>
          <t>TIERP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Flattoppad klubbsvamp
Äggspindling</t>
        </is>
      </c>
      <c r="S52">
        <f>HYPERLINK("https://klasma.github.io/Logging_0360/artfynd/A 12186-2022 artfynd.xlsx", "A 12186-2022")</f>
        <v/>
      </c>
      <c r="T52">
        <f>HYPERLINK("https://klasma.github.io/Logging_0360/kartor/A 12186-2022 karta.png", "A 12186-2022")</f>
        <v/>
      </c>
      <c r="V52">
        <f>HYPERLINK("https://klasma.github.io/Logging_0360/klagomål/A 12186-2022 FSC-klagomål.docx", "A 12186-2022")</f>
        <v/>
      </c>
      <c r="W52">
        <f>HYPERLINK("https://klasma.github.io/Logging_0360/klagomålsmail/A 12186-2022 FSC-klagomål mail.docx", "A 12186-2022")</f>
        <v/>
      </c>
      <c r="X52">
        <f>HYPERLINK("https://klasma.github.io/Logging_0360/tillsyn/A 12186-2022 tillsynsbegäran.docx", "A 12186-2022")</f>
        <v/>
      </c>
      <c r="Y52">
        <f>HYPERLINK("https://klasma.github.io/Logging_0360/tillsynsmail/A 12186-2022 tillsynsbegäran mail.docx", "A 12186-2022")</f>
        <v/>
      </c>
    </row>
    <row r="53" ht="15" customHeight="1">
      <c r="A53" t="inlineStr">
        <is>
          <t>A 14093-2022</t>
        </is>
      </c>
      <c r="B53" s="1" t="n">
        <v>44651</v>
      </c>
      <c r="C53" s="1" t="n">
        <v>45796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Björksplintborre
Jättesvampmal</t>
        </is>
      </c>
      <c r="S53">
        <f>HYPERLINK("https://klasma.github.io/Logging_0360/artfynd/A 14093-2022 artfynd.xlsx", "A 14093-2022")</f>
        <v/>
      </c>
      <c r="T53">
        <f>HYPERLINK("https://klasma.github.io/Logging_0360/kartor/A 14093-2022 karta.png", "A 14093-2022")</f>
        <v/>
      </c>
      <c r="V53">
        <f>HYPERLINK("https://klasma.github.io/Logging_0360/klagomål/A 14093-2022 FSC-klagomål.docx", "A 14093-2022")</f>
        <v/>
      </c>
      <c r="W53">
        <f>HYPERLINK("https://klasma.github.io/Logging_0360/klagomålsmail/A 14093-2022 FSC-klagomål mail.docx", "A 14093-2022")</f>
        <v/>
      </c>
      <c r="X53">
        <f>HYPERLINK("https://klasma.github.io/Logging_0360/tillsyn/A 14093-2022 tillsynsbegäran.docx", "A 14093-2022")</f>
        <v/>
      </c>
      <c r="Y53">
        <f>HYPERLINK("https://klasma.github.io/Logging_0360/tillsynsmail/A 14093-2022 tillsynsbegäran mail.docx", "A 14093-2022")</f>
        <v/>
      </c>
    </row>
    <row r="54" ht="15" customHeight="1">
      <c r="A54" t="inlineStr">
        <is>
          <t>A 45851-2022</t>
        </is>
      </c>
      <c r="B54" s="1" t="n">
        <v>44846</v>
      </c>
      <c r="C54" s="1" t="n">
        <v>45796</v>
      </c>
      <c r="D54" t="inlineStr">
        <is>
          <t>UPPSALA LÄN</t>
        </is>
      </c>
      <c r="E54" t="inlineStr">
        <is>
          <t>TIERP</t>
        </is>
      </c>
      <c r="G54" t="n">
        <v>2.6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Olivspindling
Rödgul trumpetsvamp</t>
        </is>
      </c>
      <c r="S54">
        <f>HYPERLINK("https://klasma.github.io/Logging_0360/artfynd/A 45851-2022 artfynd.xlsx", "A 45851-2022")</f>
        <v/>
      </c>
      <c r="T54">
        <f>HYPERLINK("https://klasma.github.io/Logging_0360/kartor/A 45851-2022 karta.png", "A 45851-2022")</f>
        <v/>
      </c>
      <c r="V54">
        <f>HYPERLINK("https://klasma.github.io/Logging_0360/klagomål/A 45851-2022 FSC-klagomål.docx", "A 45851-2022")</f>
        <v/>
      </c>
      <c r="W54">
        <f>HYPERLINK("https://klasma.github.io/Logging_0360/klagomålsmail/A 45851-2022 FSC-klagomål mail.docx", "A 45851-2022")</f>
        <v/>
      </c>
      <c r="X54">
        <f>HYPERLINK("https://klasma.github.io/Logging_0360/tillsyn/A 45851-2022 tillsynsbegäran.docx", "A 45851-2022")</f>
        <v/>
      </c>
      <c r="Y54">
        <f>HYPERLINK("https://klasma.github.io/Logging_0360/tillsynsmail/A 45851-2022 tillsynsbegäran mail.docx", "A 45851-2022")</f>
        <v/>
      </c>
    </row>
    <row r="55" ht="15" customHeight="1">
      <c r="A55" t="inlineStr">
        <is>
          <t>A 56531-2022</t>
        </is>
      </c>
      <c r="B55" s="1" t="n">
        <v>44887</v>
      </c>
      <c r="C55" s="1" t="n">
        <v>45796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väst AB</t>
        </is>
      </c>
      <c r="G55" t="n">
        <v>14.2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Talltita</t>
        </is>
      </c>
      <c r="S55">
        <f>HYPERLINK("https://klasma.github.io/Logging_0360/artfynd/A 56531-2022 artfynd.xlsx", "A 56531-2022")</f>
        <v/>
      </c>
      <c r="T55">
        <f>HYPERLINK("https://klasma.github.io/Logging_0360/kartor/A 56531-2022 karta.png", "A 56531-2022")</f>
        <v/>
      </c>
      <c r="V55">
        <f>HYPERLINK("https://klasma.github.io/Logging_0360/klagomål/A 56531-2022 FSC-klagomål.docx", "A 56531-2022")</f>
        <v/>
      </c>
      <c r="W55">
        <f>HYPERLINK("https://klasma.github.io/Logging_0360/klagomålsmail/A 56531-2022 FSC-klagomål mail.docx", "A 56531-2022")</f>
        <v/>
      </c>
      <c r="X55">
        <f>HYPERLINK("https://klasma.github.io/Logging_0360/tillsyn/A 56531-2022 tillsynsbegäran.docx", "A 56531-2022")</f>
        <v/>
      </c>
      <c r="Y55">
        <f>HYPERLINK("https://klasma.github.io/Logging_0360/tillsynsmail/A 56531-2022 tillsynsbegäran mail.docx", "A 56531-2022")</f>
        <v/>
      </c>
      <c r="Z55">
        <f>HYPERLINK("https://klasma.github.io/Logging_0360/fåglar/A 56531-2022 prioriterade fågelarter.docx", "A 56531-2022")</f>
        <v/>
      </c>
    </row>
    <row r="56" ht="15" customHeight="1">
      <c r="A56" t="inlineStr">
        <is>
          <t>A 3510-2023</t>
        </is>
      </c>
      <c r="B56" s="1" t="n">
        <v>44950</v>
      </c>
      <c r="C56" s="1" t="n">
        <v>45796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2.4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HYPERLINK("https://klasma.github.io/Logging_0360/artfynd/A 3510-2023 artfynd.xlsx", "A 3510-2023")</f>
        <v/>
      </c>
      <c r="T56">
        <f>HYPERLINK("https://klasma.github.io/Logging_0360/kartor/A 3510-2023 karta.png", "A 3510-2023")</f>
        <v/>
      </c>
      <c r="V56">
        <f>HYPERLINK("https://klasma.github.io/Logging_0360/klagomål/A 3510-2023 FSC-klagomål.docx", "A 3510-2023")</f>
        <v/>
      </c>
      <c r="W56">
        <f>HYPERLINK("https://klasma.github.io/Logging_0360/klagomålsmail/A 3510-2023 FSC-klagomål mail.docx", "A 3510-2023")</f>
        <v/>
      </c>
      <c r="X56">
        <f>HYPERLINK("https://klasma.github.io/Logging_0360/tillsyn/A 3510-2023 tillsynsbegäran.docx", "A 3510-2023")</f>
        <v/>
      </c>
      <c r="Y56">
        <f>HYPERLINK("https://klasma.github.io/Logging_0360/tillsynsmail/A 3510-2023 tillsynsbegäran mail.docx", "A 3510-2023")</f>
        <v/>
      </c>
    </row>
    <row r="57" ht="15" customHeight="1">
      <c r="A57" t="inlineStr">
        <is>
          <t>A 14191-2023</t>
        </is>
      </c>
      <c r="B57" s="1" t="n">
        <v>45009</v>
      </c>
      <c r="C57" s="1" t="n">
        <v>45796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7.3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HYPERLINK("https://klasma.github.io/Logging_0360/artfynd/A 14191-2023 artfynd.xlsx", "A 14191-2023")</f>
        <v/>
      </c>
      <c r="T57">
        <f>HYPERLINK("https://klasma.github.io/Logging_0360/kartor/A 14191-2023 karta.png", "A 14191-2023")</f>
        <v/>
      </c>
      <c r="V57">
        <f>HYPERLINK("https://klasma.github.io/Logging_0360/klagomål/A 14191-2023 FSC-klagomål.docx", "A 14191-2023")</f>
        <v/>
      </c>
      <c r="W57">
        <f>HYPERLINK("https://klasma.github.io/Logging_0360/klagomålsmail/A 14191-2023 FSC-klagomål mail.docx", "A 14191-2023")</f>
        <v/>
      </c>
      <c r="X57">
        <f>HYPERLINK("https://klasma.github.io/Logging_0360/tillsyn/A 14191-2023 tillsynsbegäran.docx", "A 14191-2023")</f>
        <v/>
      </c>
      <c r="Y57">
        <f>HYPERLINK("https://klasma.github.io/Logging_0360/tillsynsmail/A 14191-2023 tillsynsbegäran mail.docx", "A 14191-2023")</f>
        <v/>
      </c>
      <c r="Z57">
        <f>HYPERLINK("https://klasma.github.io/Logging_0360/fåglar/A 14191-2023 prioriterade fågelarter.docx", "A 14191-2023")</f>
        <v/>
      </c>
    </row>
    <row r="58" ht="15" customHeight="1">
      <c r="A58" t="inlineStr">
        <is>
          <t>A 29226-2023</t>
        </is>
      </c>
      <c r="B58" s="1" t="n">
        <v>45105</v>
      </c>
      <c r="C58" s="1" t="n">
        <v>45796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4.1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Bronshjon
Blåsippa</t>
        </is>
      </c>
      <c r="S58">
        <f>HYPERLINK("https://klasma.github.io/Logging_0360/artfynd/A 29226-2023 artfynd.xlsx", "A 29226-2023")</f>
        <v/>
      </c>
      <c r="T58">
        <f>HYPERLINK("https://klasma.github.io/Logging_0360/kartor/A 29226-2023 karta.png", "A 29226-2023")</f>
        <v/>
      </c>
      <c r="V58">
        <f>HYPERLINK("https://klasma.github.io/Logging_0360/klagomål/A 29226-2023 FSC-klagomål.docx", "A 29226-2023")</f>
        <v/>
      </c>
      <c r="W58">
        <f>HYPERLINK("https://klasma.github.io/Logging_0360/klagomålsmail/A 29226-2023 FSC-klagomål mail.docx", "A 29226-2023")</f>
        <v/>
      </c>
      <c r="X58">
        <f>HYPERLINK("https://klasma.github.io/Logging_0360/tillsyn/A 29226-2023 tillsynsbegäran.docx", "A 29226-2023")</f>
        <v/>
      </c>
      <c r="Y58">
        <f>HYPERLINK("https://klasma.github.io/Logging_0360/tillsynsmail/A 29226-2023 tillsynsbegäran mail.docx", "A 29226-2023")</f>
        <v/>
      </c>
    </row>
    <row r="59" ht="15" customHeight="1">
      <c r="A59" t="inlineStr">
        <is>
          <t>A 34027-2023</t>
        </is>
      </c>
      <c r="B59" s="1" t="n">
        <v>45135</v>
      </c>
      <c r="C59" s="1" t="n">
        <v>45796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18.1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Järpe
Tjäder</t>
        </is>
      </c>
      <c r="S59">
        <f>HYPERLINK("https://klasma.github.io/Logging_0360/artfynd/A 34027-2023 artfynd.xlsx", "A 34027-2023")</f>
        <v/>
      </c>
      <c r="T59">
        <f>HYPERLINK("https://klasma.github.io/Logging_0360/kartor/A 34027-2023 karta.png", "A 34027-2023")</f>
        <v/>
      </c>
      <c r="V59">
        <f>HYPERLINK("https://klasma.github.io/Logging_0360/klagomål/A 34027-2023 FSC-klagomål.docx", "A 34027-2023")</f>
        <v/>
      </c>
      <c r="W59">
        <f>HYPERLINK("https://klasma.github.io/Logging_0360/klagomålsmail/A 34027-2023 FSC-klagomål mail.docx", "A 34027-2023")</f>
        <v/>
      </c>
      <c r="X59">
        <f>HYPERLINK("https://klasma.github.io/Logging_0360/tillsyn/A 34027-2023 tillsynsbegäran.docx", "A 34027-2023")</f>
        <v/>
      </c>
      <c r="Y59">
        <f>HYPERLINK("https://klasma.github.io/Logging_0360/tillsynsmail/A 34027-2023 tillsynsbegäran mail.docx", "A 34027-2023")</f>
        <v/>
      </c>
      <c r="Z59">
        <f>HYPERLINK("https://klasma.github.io/Logging_0360/fåglar/A 34027-2023 prioriterade fågelarter.docx", "A 34027-2023")</f>
        <v/>
      </c>
    </row>
    <row r="60" ht="15" customHeight="1">
      <c r="A60" t="inlineStr">
        <is>
          <t>A 34979-2023</t>
        </is>
      </c>
      <c r="B60" s="1" t="n">
        <v>45142</v>
      </c>
      <c r="C60" s="1" t="n">
        <v>45796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1.2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Vedticka</t>
        </is>
      </c>
      <c r="S60">
        <f>HYPERLINK("https://klasma.github.io/Logging_0360/artfynd/A 34979-2023 artfynd.xlsx", "A 34979-2023")</f>
        <v/>
      </c>
      <c r="T60">
        <f>HYPERLINK("https://klasma.github.io/Logging_0360/kartor/A 34979-2023 karta.png", "A 34979-2023")</f>
        <v/>
      </c>
      <c r="V60">
        <f>HYPERLINK("https://klasma.github.io/Logging_0360/klagomål/A 34979-2023 FSC-klagomål.docx", "A 34979-2023")</f>
        <v/>
      </c>
      <c r="W60">
        <f>HYPERLINK("https://klasma.github.io/Logging_0360/klagomålsmail/A 34979-2023 FSC-klagomål mail.docx", "A 34979-2023")</f>
        <v/>
      </c>
      <c r="X60">
        <f>HYPERLINK("https://klasma.github.io/Logging_0360/tillsyn/A 34979-2023 tillsynsbegäran.docx", "A 34979-2023")</f>
        <v/>
      </c>
      <c r="Y60">
        <f>HYPERLINK("https://klasma.github.io/Logging_0360/tillsynsmail/A 34979-2023 tillsynsbegäran mail.docx", "A 34979-2023")</f>
        <v/>
      </c>
    </row>
    <row r="61" ht="15" customHeight="1">
      <c r="A61" t="inlineStr">
        <is>
          <t>A 47948-2023</t>
        </is>
      </c>
      <c r="B61" s="1" t="n">
        <v>45204</v>
      </c>
      <c r="C61" s="1" t="n">
        <v>45796</v>
      </c>
      <c r="D61" t="inlineStr">
        <is>
          <t>UPPSALA LÄN</t>
        </is>
      </c>
      <c r="E61" t="inlineStr">
        <is>
          <t>TIERP</t>
        </is>
      </c>
      <c r="G61" t="n">
        <v>0.7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Gulvit blekspik
Liten blekspik</t>
        </is>
      </c>
      <c r="S61">
        <f>HYPERLINK("https://klasma.github.io/Logging_0360/artfynd/A 47948-2023 artfynd.xlsx", "A 47948-2023")</f>
        <v/>
      </c>
      <c r="T61">
        <f>HYPERLINK("https://klasma.github.io/Logging_0360/kartor/A 47948-2023 karta.png", "A 47948-2023")</f>
        <v/>
      </c>
      <c r="V61">
        <f>HYPERLINK("https://klasma.github.io/Logging_0360/klagomål/A 47948-2023 FSC-klagomål.docx", "A 47948-2023")</f>
        <v/>
      </c>
      <c r="W61">
        <f>HYPERLINK("https://klasma.github.io/Logging_0360/klagomålsmail/A 47948-2023 FSC-klagomål mail.docx", "A 47948-2023")</f>
        <v/>
      </c>
      <c r="X61">
        <f>HYPERLINK("https://klasma.github.io/Logging_0360/tillsyn/A 47948-2023 tillsynsbegäran.docx", "A 47948-2023")</f>
        <v/>
      </c>
      <c r="Y61">
        <f>HYPERLINK("https://klasma.github.io/Logging_0360/tillsynsmail/A 47948-2023 tillsynsbegäran mail.docx", "A 47948-2023")</f>
        <v/>
      </c>
    </row>
    <row r="62" ht="15" customHeight="1">
      <c r="A62" t="inlineStr">
        <is>
          <t>A 48917-2023</t>
        </is>
      </c>
      <c r="B62" s="1" t="n">
        <v>45209</v>
      </c>
      <c r="C62" s="1" t="n">
        <v>45796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3.4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Talltita</t>
        </is>
      </c>
      <c r="S62">
        <f>HYPERLINK("https://klasma.github.io/Logging_0360/artfynd/A 48917-2023 artfynd.xlsx", "A 48917-2023")</f>
        <v/>
      </c>
      <c r="T62">
        <f>HYPERLINK("https://klasma.github.io/Logging_0360/kartor/A 48917-2023 karta.png", "A 48917-2023")</f>
        <v/>
      </c>
      <c r="V62">
        <f>HYPERLINK("https://klasma.github.io/Logging_0360/klagomål/A 48917-2023 FSC-klagomål.docx", "A 48917-2023")</f>
        <v/>
      </c>
      <c r="W62">
        <f>HYPERLINK("https://klasma.github.io/Logging_0360/klagomålsmail/A 48917-2023 FSC-klagomål mail.docx", "A 48917-2023")</f>
        <v/>
      </c>
      <c r="X62">
        <f>HYPERLINK("https://klasma.github.io/Logging_0360/tillsyn/A 48917-2023 tillsynsbegäran.docx", "A 48917-2023")</f>
        <v/>
      </c>
      <c r="Y62">
        <f>HYPERLINK("https://klasma.github.io/Logging_0360/tillsynsmail/A 48917-2023 tillsynsbegäran mail.docx", "A 48917-2023")</f>
        <v/>
      </c>
      <c r="Z62">
        <f>HYPERLINK("https://klasma.github.io/Logging_0360/fåglar/A 48917-2023 prioriterade fågelarter.docx", "A 48917-2023")</f>
        <v/>
      </c>
    </row>
    <row r="63" ht="15" customHeight="1">
      <c r="A63" t="inlineStr">
        <is>
          <t>A 54436-2023</t>
        </is>
      </c>
      <c r="B63" s="1" t="n">
        <v>45233</v>
      </c>
      <c r="C63" s="1" t="n">
        <v>45796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30.2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Slåtterfibbla
Tvåblad</t>
        </is>
      </c>
      <c r="S63">
        <f>HYPERLINK("https://klasma.github.io/Logging_0360/artfynd/A 54436-2023 artfynd.xlsx", "A 54436-2023")</f>
        <v/>
      </c>
      <c r="T63">
        <f>HYPERLINK("https://klasma.github.io/Logging_0360/kartor/A 54436-2023 karta.png", "A 54436-2023")</f>
        <v/>
      </c>
      <c r="V63">
        <f>HYPERLINK("https://klasma.github.io/Logging_0360/klagomål/A 54436-2023 FSC-klagomål.docx", "A 54436-2023")</f>
        <v/>
      </c>
      <c r="W63">
        <f>HYPERLINK("https://klasma.github.io/Logging_0360/klagomålsmail/A 54436-2023 FSC-klagomål mail.docx", "A 54436-2023")</f>
        <v/>
      </c>
      <c r="X63">
        <f>HYPERLINK("https://klasma.github.io/Logging_0360/tillsyn/A 54436-2023 tillsynsbegäran.docx", "A 54436-2023")</f>
        <v/>
      </c>
      <c r="Y63">
        <f>HYPERLINK("https://klasma.github.io/Logging_0360/tillsynsmail/A 54436-2023 tillsynsbegäran mail.docx", "A 54436-2023")</f>
        <v/>
      </c>
    </row>
    <row r="64" ht="15" customHeight="1">
      <c r="A64" t="inlineStr">
        <is>
          <t>A 59949-2023</t>
        </is>
      </c>
      <c r="B64" s="1" t="n">
        <v>45257</v>
      </c>
      <c r="C64" s="1" t="n">
        <v>45796</v>
      </c>
      <c r="D64" t="inlineStr">
        <is>
          <t>UPPSALA LÄN</t>
        </is>
      </c>
      <c r="E64" t="inlineStr">
        <is>
          <t>TIERP</t>
        </is>
      </c>
      <c r="G64" t="n">
        <v>1.3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Svavelriska</t>
        </is>
      </c>
      <c r="S64">
        <f>HYPERLINK("https://klasma.github.io/Logging_0360/artfynd/A 59949-2023 artfynd.xlsx", "A 59949-2023")</f>
        <v/>
      </c>
      <c r="T64">
        <f>HYPERLINK("https://klasma.github.io/Logging_0360/kartor/A 59949-2023 karta.png", "A 59949-2023")</f>
        <v/>
      </c>
      <c r="V64">
        <f>HYPERLINK("https://klasma.github.io/Logging_0360/klagomål/A 59949-2023 FSC-klagomål.docx", "A 59949-2023")</f>
        <v/>
      </c>
      <c r="W64">
        <f>HYPERLINK("https://klasma.github.io/Logging_0360/klagomålsmail/A 59949-2023 FSC-klagomål mail.docx", "A 59949-2023")</f>
        <v/>
      </c>
      <c r="X64">
        <f>HYPERLINK("https://klasma.github.io/Logging_0360/tillsyn/A 59949-2023 tillsynsbegäran.docx", "A 59949-2023")</f>
        <v/>
      </c>
      <c r="Y64">
        <f>HYPERLINK("https://klasma.github.io/Logging_0360/tillsynsmail/A 59949-2023 tillsynsbegäran mail.docx", "A 59949-2023")</f>
        <v/>
      </c>
    </row>
    <row r="65" ht="15" customHeight="1">
      <c r="A65" t="inlineStr">
        <is>
          <t>A 140-2024</t>
        </is>
      </c>
      <c r="B65" s="1" t="n">
        <v>45294</v>
      </c>
      <c r="C65" s="1" t="n">
        <v>45796</v>
      </c>
      <c r="D65" t="inlineStr">
        <is>
          <t>UPPSALA LÄN</t>
        </is>
      </c>
      <c r="E65" t="inlineStr">
        <is>
          <t>TIERP</t>
        </is>
      </c>
      <c r="G65" t="n">
        <v>2.9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Ärtsångare</t>
        </is>
      </c>
      <c r="S65">
        <f>HYPERLINK("https://klasma.github.io/Logging_0360/artfynd/A 140-2024 artfynd.xlsx", "A 140-2024")</f>
        <v/>
      </c>
      <c r="T65">
        <f>HYPERLINK("https://klasma.github.io/Logging_0360/kartor/A 140-2024 karta.png", "A 140-2024")</f>
        <v/>
      </c>
      <c r="V65">
        <f>HYPERLINK("https://klasma.github.io/Logging_0360/klagomål/A 140-2024 FSC-klagomål.docx", "A 140-2024")</f>
        <v/>
      </c>
      <c r="W65">
        <f>HYPERLINK("https://klasma.github.io/Logging_0360/klagomålsmail/A 140-2024 FSC-klagomål mail.docx", "A 140-2024")</f>
        <v/>
      </c>
      <c r="X65">
        <f>HYPERLINK("https://klasma.github.io/Logging_0360/tillsyn/A 140-2024 tillsynsbegäran.docx", "A 140-2024")</f>
        <v/>
      </c>
      <c r="Y65">
        <f>HYPERLINK("https://klasma.github.io/Logging_0360/tillsynsmail/A 140-2024 tillsynsbegäran mail.docx", "A 140-2024")</f>
        <v/>
      </c>
      <c r="Z65">
        <f>HYPERLINK("https://klasma.github.io/Logging_0360/fåglar/A 140-2024 prioriterade fågelarter.docx", "A 140-2024")</f>
        <v/>
      </c>
    </row>
    <row r="66" ht="15" customHeight="1">
      <c r="A66" t="inlineStr">
        <is>
          <t>A 11449-2024</t>
        </is>
      </c>
      <c r="B66" s="1" t="n">
        <v>45372</v>
      </c>
      <c r="C66" s="1" t="n">
        <v>45796</v>
      </c>
      <c r="D66" t="inlineStr">
        <is>
          <t>UPPSALA LÄN</t>
        </is>
      </c>
      <c r="E66" t="inlineStr">
        <is>
          <t>TIERP</t>
        </is>
      </c>
      <c r="G66" t="n">
        <v>1.9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Blek fingersvamp
Rödgul trumpetsvamp</t>
        </is>
      </c>
      <c r="S66">
        <f>HYPERLINK("https://klasma.github.io/Logging_0360/artfynd/A 11449-2024 artfynd.xlsx", "A 11449-2024")</f>
        <v/>
      </c>
      <c r="T66">
        <f>HYPERLINK("https://klasma.github.io/Logging_0360/kartor/A 11449-2024 karta.png", "A 11449-2024")</f>
        <v/>
      </c>
      <c r="V66">
        <f>HYPERLINK("https://klasma.github.io/Logging_0360/klagomål/A 11449-2024 FSC-klagomål.docx", "A 11449-2024")</f>
        <v/>
      </c>
      <c r="W66">
        <f>HYPERLINK("https://klasma.github.io/Logging_0360/klagomålsmail/A 11449-2024 FSC-klagomål mail.docx", "A 11449-2024")</f>
        <v/>
      </c>
      <c r="X66">
        <f>HYPERLINK("https://klasma.github.io/Logging_0360/tillsyn/A 11449-2024 tillsynsbegäran.docx", "A 11449-2024")</f>
        <v/>
      </c>
      <c r="Y66">
        <f>HYPERLINK("https://klasma.github.io/Logging_0360/tillsynsmail/A 11449-2024 tillsynsbegäran mail.docx", "A 11449-2024")</f>
        <v/>
      </c>
    </row>
    <row r="67" ht="15" customHeight="1">
      <c r="A67" t="inlineStr">
        <is>
          <t>A 12971-2024</t>
        </is>
      </c>
      <c r="B67" s="1" t="n">
        <v>45385</v>
      </c>
      <c r="C67" s="1" t="n">
        <v>45796</v>
      </c>
      <c r="D67" t="inlineStr">
        <is>
          <t>UPPSALA LÄN</t>
        </is>
      </c>
      <c r="E67" t="inlineStr">
        <is>
          <t>TIERP</t>
        </is>
      </c>
      <c r="G67" t="n">
        <v>21.4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Entita
Rödvingetrast</t>
        </is>
      </c>
      <c r="S67">
        <f>HYPERLINK("https://klasma.github.io/Logging_0360/artfynd/A 12971-2024 artfynd.xlsx", "A 12971-2024")</f>
        <v/>
      </c>
      <c r="T67">
        <f>HYPERLINK("https://klasma.github.io/Logging_0360/kartor/A 12971-2024 karta.png", "A 12971-2024")</f>
        <v/>
      </c>
      <c r="V67">
        <f>HYPERLINK("https://klasma.github.io/Logging_0360/klagomål/A 12971-2024 FSC-klagomål.docx", "A 12971-2024")</f>
        <v/>
      </c>
      <c r="W67">
        <f>HYPERLINK("https://klasma.github.io/Logging_0360/klagomålsmail/A 12971-2024 FSC-klagomål mail.docx", "A 12971-2024")</f>
        <v/>
      </c>
      <c r="X67">
        <f>HYPERLINK("https://klasma.github.io/Logging_0360/tillsyn/A 12971-2024 tillsynsbegäran.docx", "A 12971-2024")</f>
        <v/>
      </c>
      <c r="Y67">
        <f>HYPERLINK("https://klasma.github.io/Logging_0360/tillsynsmail/A 12971-2024 tillsynsbegäran mail.docx", "A 12971-2024")</f>
        <v/>
      </c>
      <c r="Z67">
        <f>HYPERLINK("https://klasma.github.io/Logging_0360/fåglar/A 12971-2024 prioriterade fågelarter.docx", "A 12971-2024")</f>
        <v/>
      </c>
    </row>
    <row r="68" ht="15" customHeight="1">
      <c r="A68" t="inlineStr">
        <is>
          <t>A 15040-2024</t>
        </is>
      </c>
      <c r="B68" s="1" t="n">
        <v>45399</v>
      </c>
      <c r="C68" s="1" t="n">
        <v>45796</v>
      </c>
      <c r="D68" t="inlineStr">
        <is>
          <t>UPPSALA LÄN</t>
        </is>
      </c>
      <c r="E68" t="inlineStr">
        <is>
          <t>TIERP</t>
        </is>
      </c>
      <c r="G68" t="n">
        <v>7.2</v>
      </c>
      <c r="H68" t="n">
        <v>1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Granbräken
Grönkulla</t>
        </is>
      </c>
      <c r="S68">
        <f>HYPERLINK("https://klasma.github.io/Logging_0360/artfynd/A 15040-2024 artfynd.xlsx", "A 15040-2024")</f>
        <v/>
      </c>
      <c r="T68">
        <f>HYPERLINK("https://klasma.github.io/Logging_0360/kartor/A 15040-2024 karta.png", "A 15040-2024")</f>
        <v/>
      </c>
      <c r="V68">
        <f>HYPERLINK("https://klasma.github.io/Logging_0360/klagomål/A 15040-2024 FSC-klagomål.docx", "A 15040-2024")</f>
        <v/>
      </c>
      <c r="W68">
        <f>HYPERLINK("https://klasma.github.io/Logging_0360/klagomålsmail/A 15040-2024 FSC-klagomål mail.docx", "A 15040-2024")</f>
        <v/>
      </c>
      <c r="X68">
        <f>HYPERLINK("https://klasma.github.io/Logging_0360/tillsyn/A 15040-2024 tillsynsbegäran.docx", "A 15040-2024")</f>
        <v/>
      </c>
      <c r="Y68">
        <f>HYPERLINK("https://klasma.github.io/Logging_0360/tillsynsmail/A 15040-2024 tillsynsbegäran mail.docx", "A 15040-2024")</f>
        <v/>
      </c>
    </row>
    <row r="69" ht="15" customHeight="1">
      <c r="A69" t="inlineStr">
        <is>
          <t>A 20710-2024</t>
        </is>
      </c>
      <c r="B69" s="1" t="n">
        <v>45436</v>
      </c>
      <c r="C69" s="1" t="n">
        <v>45796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21.4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Underviol
Gullviva</t>
        </is>
      </c>
      <c r="S69">
        <f>HYPERLINK("https://klasma.github.io/Logging_0360/artfynd/A 20710-2024 artfynd.xlsx", "A 20710-2024")</f>
        <v/>
      </c>
      <c r="T69">
        <f>HYPERLINK("https://klasma.github.io/Logging_0360/kartor/A 20710-2024 karta.png", "A 20710-2024")</f>
        <v/>
      </c>
      <c r="V69">
        <f>HYPERLINK("https://klasma.github.io/Logging_0360/klagomål/A 20710-2024 FSC-klagomål.docx", "A 20710-2024")</f>
        <v/>
      </c>
      <c r="W69">
        <f>HYPERLINK("https://klasma.github.io/Logging_0360/klagomålsmail/A 20710-2024 FSC-klagomål mail.docx", "A 20710-2024")</f>
        <v/>
      </c>
      <c r="X69">
        <f>HYPERLINK("https://klasma.github.io/Logging_0360/tillsyn/A 20710-2024 tillsynsbegäran.docx", "A 20710-2024")</f>
        <v/>
      </c>
      <c r="Y69">
        <f>HYPERLINK("https://klasma.github.io/Logging_0360/tillsynsmail/A 20710-2024 tillsynsbegäran mail.docx", "A 20710-2024")</f>
        <v/>
      </c>
    </row>
    <row r="70" ht="15" customHeight="1">
      <c r="A70" t="inlineStr">
        <is>
          <t>A 39018-2024</t>
        </is>
      </c>
      <c r="B70" s="1" t="n">
        <v>45548</v>
      </c>
      <c r="C70" s="1" t="n">
        <v>45796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19.1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Rödvingetrast
Talltita</t>
        </is>
      </c>
      <c r="S70">
        <f>HYPERLINK("https://klasma.github.io/Logging_0360/artfynd/A 39018-2024 artfynd.xlsx", "A 39018-2024")</f>
        <v/>
      </c>
      <c r="T70">
        <f>HYPERLINK("https://klasma.github.io/Logging_0360/kartor/A 39018-2024 karta.png", "A 39018-2024")</f>
        <v/>
      </c>
      <c r="V70">
        <f>HYPERLINK("https://klasma.github.io/Logging_0360/klagomål/A 39018-2024 FSC-klagomål.docx", "A 39018-2024")</f>
        <v/>
      </c>
      <c r="W70">
        <f>HYPERLINK("https://klasma.github.io/Logging_0360/klagomålsmail/A 39018-2024 FSC-klagomål mail.docx", "A 39018-2024")</f>
        <v/>
      </c>
      <c r="X70">
        <f>HYPERLINK("https://klasma.github.io/Logging_0360/tillsyn/A 39018-2024 tillsynsbegäran.docx", "A 39018-2024")</f>
        <v/>
      </c>
      <c r="Y70">
        <f>HYPERLINK("https://klasma.github.io/Logging_0360/tillsynsmail/A 39018-2024 tillsynsbegäran mail.docx", "A 39018-2024")</f>
        <v/>
      </c>
      <c r="Z70">
        <f>HYPERLINK("https://klasma.github.io/Logging_0360/fåglar/A 39018-2024 prioriterade fågelarter.docx", "A 39018-2024")</f>
        <v/>
      </c>
    </row>
    <row r="71" ht="15" customHeight="1">
      <c r="A71" t="inlineStr">
        <is>
          <t>A 43643-2024</t>
        </is>
      </c>
      <c r="B71" s="1" t="n">
        <v>45569</v>
      </c>
      <c r="C71" s="1" t="n">
        <v>45796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16.3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Gulsparv
Järpe</t>
        </is>
      </c>
      <c r="S71">
        <f>HYPERLINK("https://klasma.github.io/Logging_0360/artfynd/A 43643-2024 artfynd.xlsx", "A 43643-2024")</f>
        <v/>
      </c>
      <c r="T71">
        <f>HYPERLINK("https://klasma.github.io/Logging_0360/kartor/A 43643-2024 karta.png", "A 43643-2024")</f>
        <v/>
      </c>
      <c r="V71">
        <f>HYPERLINK("https://klasma.github.io/Logging_0360/klagomål/A 43643-2024 FSC-klagomål.docx", "A 43643-2024")</f>
        <v/>
      </c>
      <c r="W71">
        <f>HYPERLINK("https://klasma.github.io/Logging_0360/klagomålsmail/A 43643-2024 FSC-klagomål mail.docx", "A 43643-2024")</f>
        <v/>
      </c>
      <c r="X71">
        <f>HYPERLINK("https://klasma.github.io/Logging_0360/tillsyn/A 43643-2024 tillsynsbegäran.docx", "A 43643-2024")</f>
        <v/>
      </c>
      <c r="Y71">
        <f>HYPERLINK("https://klasma.github.io/Logging_0360/tillsynsmail/A 43643-2024 tillsynsbegäran mail.docx", "A 43643-2024")</f>
        <v/>
      </c>
      <c r="Z71">
        <f>HYPERLINK("https://klasma.github.io/Logging_0360/fåglar/A 43643-2024 prioriterade fågelarter.docx", "A 43643-2024")</f>
        <v/>
      </c>
    </row>
    <row r="72" ht="15" customHeight="1">
      <c r="A72" t="inlineStr">
        <is>
          <t>A 43645-2024</t>
        </is>
      </c>
      <c r="B72" s="1" t="n">
        <v>45569</v>
      </c>
      <c r="C72" s="1" t="n">
        <v>45796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16.3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Gulsparv
Järpe</t>
        </is>
      </c>
      <c r="S72">
        <f>HYPERLINK("https://klasma.github.io/Logging_0360/artfynd/A 43645-2024 artfynd.xlsx", "A 43645-2024")</f>
        <v/>
      </c>
      <c r="T72">
        <f>HYPERLINK("https://klasma.github.io/Logging_0360/kartor/A 43645-2024 karta.png", "A 43645-2024")</f>
        <v/>
      </c>
      <c r="V72">
        <f>HYPERLINK("https://klasma.github.io/Logging_0360/klagomål/A 43645-2024 FSC-klagomål.docx", "A 43645-2024")</f>
        <v/>
      </c>
      <c r="W72">
        <f>HYPERLINK("https://klasma.github.io/Logging_0360/klagomålsmail/A 43645-2024 FSC-klagomål mail.docx", "A 43645-2024")</f>
        <v/>
      </c>
      <c r="X72">
        <f>HYPERLINK("https://klasma.github.io/Logging_0360/tillsyn/A 43645-2024 tillsynsbegäran.docx", "A 43645-2024")</f>
        <v/>
      </c>
      <c r="Y72">
        <f>HYPERLINK("https://klasma.github.io/Logging_0360/tillsynsmail/A 43645-2024 tillsynsbegäran mail.docx", "A 43645-2024")</f>
        <v/>
      </c>
      <c r="Z72">
        <f>HYPERLINK("https://klasma.github.io/Logging_0360/fåglar/A 43645-2024 prioriterade fågelarter.docx", "A 43645-2024")</f>
        <v/>
      </c>
    </row>
    <row r="73" ht="15" customHeight="1">
      <c r="A73" t="inlineStr">
        <is>
          <t>A 43642-2024</t>
        </is>
      </c>
      <c r="B73" s="1" t="n">
        <v>45569</v>
      </c>
      <c r="C73" s="1" t="n">
        <v>45796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43642-2024 artfynd.xlsx", "A 43642-2024")</f>
        <v/>
      </c>
      <c r="T73">
        <f>HYPERLINK("https://klasma.github.io/Logging_0360/kartor/A 43642-2024 karta.png", "A 43642-2024")</f>
        <v/>
      </c>
      <c r="V73">
        <f>HYPERLINK("https://klasma.github.io/Logging_0360/klagomål/A 43642-2024 FSC-klagomål.docx", "A 43642-2024")</f>
        <v/>
      </c>
      <c r="W73">
        <f>HYPERLINK("https://klasma.github.io/Logging_0360/klagomålsmail/A 43642-2024 FSC-klagomål mail.docx", "A 43642-2024")</f>
        <v/>
      </c>
      <c r="X73">
        <f>HYPERLINK("https://klasma.github.io/Logging_0360/tillsyn/A 43642-2024 tillsynsbegäran.docx", "A 43642-2024")</f>
        <v/>
      </c>
      <c r="Y73">
        <f>HYPERLINK("https://klasma.github.io/Logging_0360/tillsynsmail/A 43642-2024 tillsynsbegäran mail.docx", "A 43642-2024")</f>
        <v/>
      </c>
      <c r="Z73">
        <f>HYPERLINK("https://klasma.github.io/Logging_0360/fåglar/A 43642-2024 prioriterade fågelarter.docx", "A 43642-2024")</f>
        <v/>
      </c>
    </row>
    <row r="74" ht="15" customHeight="1">
      <c r="A74" t="inlineStr">
        <is>
          <t>A 58146-2024</t>
        </is>
      </c>
      <c r="B74" s="1" t="n">
        <v>45632</v>
      </c>
      <c r="C74" s="1" t="n">
        <v>45796</v>
      </c>
      <c r="D74" t="inlineStr">
        <is>
          <t>UPPSALA LÄN</t>
        </is>
      </c>
      <c r="E74" t="inlineStr">
        <is>
          <t>TIERP</t>
        </is>
      </c>
      <c r="G74" t="n">
        <v>11.8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Vårärt
Blåsippa</t>
        </is>
      </c>
      <c r="S74">
        <f>HYPERLINK("https://klasma.github.io/Logging_0360/artfynd/A 58146-2024 artfynd.xlsx", "A 58146-2024")</f>
        <v/>
      </c>
      <c r="T74">
        <f>HYPERLINK("https://klasma.github.io/Logging_0360/kartor/A 58146-2024 karta.png", "A 58146-2024")</f>
        <v/>
      </c>
      <c r="V74">
        <f>HYPERLINK("https://klasma.github.io/Logging_0360/klagomål/A 58146-2024 FSC-klagomål.docx", "A 58146-2024")</f>
        <v/>
      </c>
      <c r="W74">
        <f>HYPERLINK("https://klasma.github.io/Logging_0360/klagomålsmail/A 58146-2024 FSC-klagomål mail.docx", "A 58146-2024")</f>
        <v/>
      </c>
      <c r="X74">
        <f>HYPERLINK("https://klasma.github.io/Logging_0360/tillsyn/A 58146-2024 tillsynsbegäran.docx", "A 58146-2024")</f>
        <v/>
      </c>
      <c r="Y74">
        <f>HYPERLINK("https://klasma.github.io/Logging_0360/tillsynsmail/A 58146-2024 tillsynsbegäran mail.docx", "A 58146-2024")</f>
        <v/>
      </c>
    </row>
    <row r="75" ht="15" customHeight="1">
      <c r="A75" t="inlineStr">
        <is>
          <t>A 6831-2025</t>
        </is>
      </c>
      <c r="B75" s="1" t="n">
        <v>45700</v>
      </c>
      <c r="C75" s="1" t="n">
        <v>45796</v>
      </c>
      <c r="D75" t="inlineStr">
        <is>
          <t>UPPSALA LÄN</t>
        </is>
      </c>
      <c r="E75" t="inlineStr">
        <is>
          <t>TIERP</t>
        </is>
      </c>
      <c r="G75" t="n">
        <v>11.7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Tibast
Revlummer</t>
        </is>
      </c>
      <c r="S75">
        <f>HYPERLINK("https://klasma.github.io/Logging_0360/artfynd/A 6831-2025 artfynd.xlsx", "A 6831-2025")</f>
        <v/>
      </c>
      <c r="T75">
        <f>HYPERLINK("https://klasma.github.io/Logging_0360/kartor/A 6831-2025 karta.png", "A 6831-2025")</f>
        <v/>
      </c>
      <c r="V75">
        <f>HYPERLINK("https://klasma.github.io/Logging_0360/klagomål/A 6831-2025 FSC-klagomål.docx", "A 6831-2025")</f>
        <v/>
      </c>
      <c r="W75">
        <f>HYPERLINK("https://klasma.github.io/Logging_0360/klagomålsmail/A 6831-2025 FSC-klagomål mail.docx", "A 6831-2025")</f>
        <v/>
      </c>
      <c r="X75">
        <f>HYPERLINK("https://klasma.github.io/Logging_0360/tillsyn/A 6831-2025 tillsynsbegäran.docx", "A 6831-2025")</f>
        <v/>
      </c>
      <c r="Y75">
        <f>HYPERLINK("https://klasma.github.io/Logging_0360/tillsynsmail/A 6831-2025 tillsynsbegäran mail.docx", "A 6831-2025")</f>
        <v/>
      </c>
    </row>
    <row r="76" ht="15" customHeight="1">
      <c r="A76" t="inlineStr">
        <is>
          <t>A 17748-2025</t>
        </is>
      </c>
      <c r="B76" s="1" t="n">
        <v>45758</v>
      </c>
      <c r="C76" s="1" t="n">
        <v>45796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öst AB</t>
        </is>
      </c>
      <c r="G76" t="n">
        <v>9.800000000000001</v>
      </c>
      <c r="H76" t="n">
        <v>1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Opalfingersvamp
Skogsknipprot</t>
        </is>
      </c>
      <c r="S76">
        <f>HYPERLINK("https://klasma.github.io/Logging_030360/artfynd/A 17748-2025 artfynd.xlsx", "A 17748-2025")</f>
        <v/>
      </c>
      <c r="T76">
        <f>HYPERLINK("https://klasma.github.io/Logging_030360/kartor/A 17748-2025 karta.png", "A 17748-2025")</f>
        <v/>
      </c>
      <c r="V76">
        <f>HYPERLINK("https://klasma.github.io/Logging_030360/klagomål/A 17748-2025 FSC-klagomål.docx", "A 17748-2025")</f>
        <v/>
      </c>
      <c r="W76">
        <f>HYPERLINK("https://klasma.github.io/Logging_030360/klagomålsmail/A 17748-2025 FSC-klagomål mail.docx", "A 17748-2025")</f>
        <v/>
      </c>
      <c r="X76">
        <f>HYPERLINK("https://klasma.github.io/Logging_030360/tillsyn/A 17748-2025 tillsynsbegäran.docx", "A 17748-2025")</f>
        <v/>
      </c>
      <c r="Y76">
        <f>HYPERLINK("https://klasma.github.io/Logging_030360/tillsynsmail/A 17748-2025 tillsynsbegäran mail.docx", "A 17748-2025")</f>
        <v/>
      </c>
    </row>
    <row r="77" ht="15" customHeight="1">
      <c r="A77" t="inlineStr">
        <is>
          <t>A 21607-2025</t>
        </is>
      </c>
      <c r="B77" s="1" t="n">
        <v>45783</v>
      </c>
      <c r="C77" s="1" t="n">
        <v>45796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6.8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Vanlig rörsvepemossa
Revlummer</t>
        </is>
      </c>
      <c r="S77">
        <f>HYPERLINK("https://klasma.github.io/Logging_030360/artfynd/A 21607-2025 artfynd.xlsx", "A 21607-2025")</f>
        <v/>
      </c>
      <c r="T77">
        <f>HYPERLINK("https://klasma.github.io/Logging_030360/kartor/A 21607-2025 karta.png", "A 21607-2025")</f>
        <v/>
      </c>
      <c r="V77">
        <f>HYPERLINK("https://klasma.github.io/Logging_030360/klagomål/A 21607-2025 FSC-klagomål.docx", "A 21607-2025")</f>
        <v/>
      </c>
      <c r="W77">
        <f>HYPERLINK("https://klasma.github.io/Logging_030360/klagomålsmail/A 21607-2025 FSC-klagomål mail.docx", "A 21607-2025")</f>
        <v/>
      </c>
      <c r="X77">
        <f>HYPERLINK("https://klasma.github.io/Logging_030360/tillsyn/A 21607-2025 tillsynsbegäran.docx", "A 21607-2025")</f>
        <v/>
      </c>
      <c r="Y77">
        <f>HYPERLINK("https://klasma.github.io/Logging_030360/tillsynsmail/A 21607-2025 tillsynsbegäran mail.docx", "A 21607-2025")</f>
        <v/>
      </c>
    </row>
    <row r="78" ht="15" customHeight="1">
      <c r="A78" t="inlineStr">
        <is>
          <t>A 30583-2019</t>
        </is>
      </c>
      <c r="B78" s="1" t="n">
        <v>43635</v>
      </c>
      <c r="C78" s="1" t="n">
        <v>45796</v>
      </c>
      <c r="D78" t="inlineStr">
        <is>
          <t>UPPSALA LÄN</t>
        </is>
      </c>
      <c r="E78" t="inlineStr">
        <is>
          <t>TIERP</t>
        </is>
      </c>
      <c r="G78" t="n">
        <v>1.9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Guckusko</t>
        </is>
      </c>
      <c r="S78">
        <f>HYPERLINK("https://klasma.github.io/Logging_0360/artfynd/A 30583-2019 artfynd.xlsx", "A 30583-2019")</f>
        <v/>
      </c>
      <c r="T78">
        <f>HYPERLINK("https://klasma.github.io/Logging_0360/kartor/A 30583-2019 karta.png", "A 30583-2019")</f>
        <v/>
      </c>
      <c r="V78">
        <f>HYPERLINK("https://klasma.github.io/Logging_0360/klagomål/A 30583-2019 FSC-klagomål.docx", "A 30583-2019")</f>
        <v/>
      </c>
      <c r="W78">
        <f>HYPERLINK("https://klasma.github.io/Logging_0360/klagomålsmail/A 30583-2019 FSC-klagomål mail.docx", "A 30583-2019")</f>
        <v/>
      </c>
      <c r="X78">
        <f>HYPERLINK("https://klasma.github.io/Logging_0360/tillsyn/A 30583-2019 tillsynsbegäran.docx", "A 30583-2019")</f>
        <v/>
      </c>
      <c r="Y78">
        <f>HYPERLINK("https://klasma.github.io/Logging_0360/tillsynsmail/A 30583-2019 tillsynsbegäran mail.docx", "A 30583-2019")</f>
        <v/>
      </c>
    </row>
    <row r="79" ht="15" customHeight="1">
      <c r="A79" t="inlineStr">
        <is>
          <t>A 33753-2019</t>
        </is>
      </c>
      <c r="B79" s="1" t="n">
        <v>43651</v>
      </c>
      <c r="C79" s="1" t="n">
        <v>45796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HYPERLINK("https://klasma.github.io/Logging_0360/artfynd/A 33753-2019 artfynd.xlsx", "A 33753-2019")</f>
        <v/>
      </c>
      <c r="T79">
        <f>HYPERLINK("https://klasma.github.io/Logging_0360/kartor/A 33753-2019 karta.png", "A 33753-2019")</f>
        <v/>
      </c>
      <c r="V79">
        <f>HYPERLINK("https://klasma.github.io/Logging_0360/klagomål/A 33753-2019 FSC-klagomål.docx", "A 33753-2019")</f>
        <v/>
      </c>
      <c r="W79">
        <f>HYPERLINK("https://klasma.github.io/Logging_0360/klagomålsmail/A 33753-2019 FSC-klagomål mail.docx", "A 33753-2019")</f>
        <v/>
      </c>
      <c r="X79">
        <f>HYPERLINK("https://klasma.github.io/Logging_0360/tillsyn/A 33753-2019 tillsynsbegäran.docx", "A 33753-2019")</f>
        <v/>
      </c>
      <c r="Y79">
        <f>HYPERLINK("https://klasma.github.io/Logging_0360/tillsynsmail/A 33753-2019 tillsynsbegäran mail.docx", "A 33753-2019")</f>
        <v/>
      </c>
    </row>
    <row r="80" ht="15" customHeight="1">
      <c r="A80" t="inlineStr">
        <is>
          <t>A 2391-2020</t>
        </is>
      </c>
      <c r="B80" s="1" t="n">
        <v>43847</v>
      </c>
      <c r="C80" s="1" t="n">
        <v>45796</v>
      </c>
      <c r="D80" t="inlineStr">
        <is>
          <t>UPPSALA LÄN</t>
        </is>
      </c>
      <c r="E80" t="inlineStr">
        <is>
          <t>TIERP</t>
        </is>
      </c>
      <c r="G80" t="n">
        <v>1.7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Äggspindling</t>
        </is>
      </c>
      <c r="S80">
        <f>HYPERLINK("https://klasma.github.io/Logging_0360/artfynd/A 2391-2020 artfynd.xlsx", "A 2391-2020")</f>
        <v/>
      </c>
      <c r="T80">
        <f>HYPERLINK("https://klasma.github.io/Logging_0360/kartor/A 2391-2020 karta.png", "A 2391-2020")</f>
        <v/>
      </c>
      <c r="V80">
        <f>HYPERLINK("https://klasma.github.io/Logging_0360/klagomål/A 2391-2020 FSC-klagomål.docx", "A 2391-2020")</f>
        <v/>
      </c>
      <c r="W80">
        <f>HYPERLINK("https://klasma.github.io/Logging_0360/klagomålsmail/A 2391-2020 FSC-klagomål mail.docx", "A 2391-2020")</f>
        <v/>
      </c>
      <c r="X80">
        <f>HYPERLINK("https://klasma.github.io/Logging_0360/tillsyn/A 2391-2020 tillsynsbegäran.docx", "A 2391-2020")</f>
        <v/>
      </c>
      <c r="Y80">
        <f>HYPERLINK("https://klasma.github.io/Logging_0360/tillsynsmail/A 2391-2020 tillsynsbegäran mail.docx", "A 2391-2020")</f>
        <v/>
      </c>
    </row>
    <row r="81" ht="15" customHeight="1">
      <c r="A81" t="inlineStr">
        <is>
          <t>A 2835-2020</t>
        </is>
      </c>
      <c r="B81" s="1" t="n">
        <v>43850</v>
      </c>
      <c r="C81" s="1" t="n">
        <v>45796</v>
      </c>
      <c r="D81" t="inlineStr">
        <is>
          <t>UPPSALA LÄN</t>
        </is>
      </c>
      <c r="E81" t="inlineStr">
        <is>
          <t>TIERP</t>
        </is>
      </c>
      <c r="G81" t="n">
        <v>7.6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Kamjordstjärna</t>
        </is>
      </c>
      <c r="S81">
        <f>HYPERLINK("https://klasma.github.io/Logging_0360/artfynd/A 2835-2020 artfynd.xlsx", "A 2835-2020")</f>
        <v/>
      </c>
      <c r="T81">
        <f>HYPERLINK("https://klasma.github.io/Logging_0360/kartor/A 2835-2020 karta.png", "A 2835-2020")</f>
        <v/>
      </c>
      <c r="V81">
        <f>HYPERLINK("https://klasma.github.io/Logging_0360/klagomål/A 2835-2020 FSC-klagomål.docx", "A 2835-2020")</f>
        <v/>
      </c>
      <c r="W81">
        <f>HYPERLINK("https://klasma.github.io/Logging_0360/klagomålsmail/A 2835-2020 FSC-klagomål mail.docx", "A 2835-2020")</f>
        <v/>
      </c>
      <c r="X81">
        <f>HYPERLINK("https://klasma.github.io/Logging_0360/tillsyn/A 2835-2020 tillsynsbegäran.docx", "A 2835-2020")</f>
        <v/>
      </c>
      <c r="Y81">
        <f>HYPERLINK("https://klasma.github.io/Logging_0360/tillsynsmail/A 2835-2020 tillsynsbegäran mail.docx", "A 2835-2020")</f>
        <v/>
      </c>
    </row>
    <row r="82" ht="15" customHeight="1">
      <c r="A82" t="inlineStr">
        <is>
          <t>A 5316-2020</t>
        </is>
      </c>
      <c r="B82" s="1" t="n">
        <v>43860</v>
      </c>
      <c r="C82" s="1" t="n">
        <v>45796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väst AB</t>
        </is>
      </c>
      <c r="G82" t="n">
        <v>18.2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HYPERLINK("https://klasma.github.io/Logging_0360/artfynd/A 5316-2020 artfynd.xlsx", "A 5316-2020")</f>
        <v/>
      </c>
      <c r="T82">
        <f>HYPERLINK("https://klasma.github.io/Logging_0360/kartor/A 5316-2020 karta.png", "A 5316-2020")</f>
        <v/>
      </c>
      <c r="V82">
        <f>HYPERLINK("https://klasma.github.io/Logging_0360/klagomål/A 5316-2020 FSC-klagomål.docx", "A 5316-2020")</f>
        <v/>
      </c>
      <c r="W82">
        <f>HYPERLINK("https://klasma.github.io/Logging_0360/klagomålsmail/A 5316-2020 FSC-klagomål mail.docx", "A 5316-2020")</f>
        <v/>
      </c>
      <c r="X82">
        <f>HYPERLINK("https://klasma.github.io/Logging_0360/tillsyn/A 5316-2020 tillsynsbegäran.docx", "A 5316-2020")</f>
        <v/>
      </c>
      <c r="Y82">
        <f>HYPERLINK("https://klasma.github.io/Logging_0360/tillsynsmail/A 5316-2020 tillsynsbegäran mail.docx", "A 5316-2020")</f>
        <v/>
      </c>
      <c r="Z82">
        <f>HYPERLINK("https://klasma.github.io/Logging_0360/fåglar/A 5316-2020 prioriterade fågelarter.docx", "A 5316-2020")</f>
        <v/>
      </c>
    </row>
    <row r="83" ht="15" customHeight="1">
      <c r="A83" t="inlineStr">
        <is>
          <t>A 14008-2020</t>
        </is>
      </c>
      <c r="B83" s="1" t="n">
        <v>43906</v>
      </c>
      <c r="C83" s="1" t="n">
        <v>45796</v>
      </c>
      <c r="D83" t="inlineStr">
        <is>
          <t>UPPSALA LÄN</t>
        </is>
      </c>
      <c r="E83" t="inlineStr">
        <is>
          <t>TIERP</t>
        </is>
      </c>
      <c r="G83" t="n">
        <v>22.3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HYPERLINK("https://klasma.github.io/Logging_0360/artfynd/A 14008-2020 artfynd.xlsx", "A 14008-2020")</f>
        <v/>
      </c>
      <c r="T83">
        <f>HYPERLINK("https://klasma.github.io/Logging_0360/kartor/A 14008-2020 karta.png", "A 14008-2020")</f>
        <v/>
      </c>
      <c r="V83">
        <f>HYPERLINK("https://klasma.github.io/Logging_0360/klagomål/A 14008-2020 FSC-klagomål.docx", "A 14008-2020")</f>
        <v/>
      </c>
      <c r="W83">
        <f>HYPERLINK("https://klasma.github.io/Logging_0360/klagomålsmail/A 14008-2020 FSC-klagomål mail.docx", "A 14008-2020")</f>
        <v/>
      </c>
      <c r="X83">
        <f>HYPERLINK("https://klasma.github.io/Logging_0360/tillsyn/A 14008-2020 tillsynsbegäran.docx", "A 14008-2020")</f>
        <v/>
      </c>
      <c r="Y83">
        <f>HYPERLINK("https://klasma.github.io/Logging_0360/tillsynsmail/A 14008-2020 tillsynsbegäran mail.docx", "A 14008-2020")</f>
        <v/>
      </c>
    </row>
    <row r="84" ht="15" customHeight="1">
      <c r="A84" t="inlineStr">
        <is>
          <t>A 18773-2020</t>
        </is>
      </c>
      <c r="B84" s="1" t="n">
        <v>43930</v>
      </c>
      <c r="C84" s="1" t="n">
        <v>45796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2.4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Skogsknipprot</t>
        </is>
      </c>
      <c r="S84">
        <f>HYPERLINK("https://klasma.github.io/Logging_0360/artfynd/A 18773-2020 artfynd.xlsx", "A 18773-2020")</f>
        <v/>
      </c>
      <c r="T84">
        <f>HYPERLINK("https://klasma.github.io/Logging_0360/kartor/A 18773-2020 karta.png", "A 18773-2020")</f>
        <v/>
      </c>
      <c r="V84">
        <f>HYPERLINK("https://klasma.github.io/Logging_0360/klagomål/A 18773-2020 FSC-klagomål.docx", "A 18773-2020")</f>
        <v/>
      </c>
      <c r="W84">
        <f>HYPERLINK("https://klasma.github.io/Logging_0360/klagomålsmail/A 18773-2020 FSC-klagomål mail.docx", "A 18773-2020")</f>
        <v/>
      </c>
      <c r="X84">
        <f>HYPERLINK("https://klasma.github.io/Logging_0360/tillsyn/A 18773-2020 tillsynsbegäran.docx", "A 18773-2020")</f>
        <v/>
      </c>
      <c r="Y84">
        <f>HYPERLINK("https://klasma.github.io/Logging_0360/tillsynsmail/A 18773-2020 tillsynsbegäran mail.docx", "A 18773-2020")</f>
        <v/>
      </c>
    </row>
    <row r="85" ht="15" customHeight="1">
      <c r="A85" t="inlineStr">
        <is>
          <t>A 3444-2021</t>
        </is>
      </c>
      <c r="B85" s="1" t="n">
        <v>44218</v>
      </c>
      <c r="C85" s="1" t="n">
        <v>45796</v>
      </c>
      <c r="D85" t="inlineStr">
        <is>
          <t>UPPSALA LÄN</t>
        </is>
      </c>
      <c r="E85" t="inlineStr">
        <is>
          <t>TIERP</t>
        </is>
      </c>
      <c r="G85" t="n">
        <v>5.6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Fyrflikig jordstjärna</t>
        </is>
      </c>
      <c r="S85">
        <f>HYPERLINK("https://klasma.github.io/Logging_0360/artfynd/A 3444-2021 artfynd.xlsx", "A 3444-2021")</f>
        <v/>
      </c>
      <c r="T85">
        <f>HYPERLINK("https://klasma.github.io/Logging_0360/kartor/A 3444-2021 karta.png", "A 3444-2021")</f>
        <v/>
      </c>
      <c r="V85">
        <f>HYPERLINK("https://klasma.github.io/Logging_0360/klagomål/A 3444-2021 FSC-klagomål.docx", "A 3444-2021")</f>
        <v/>
      </c>
      <c r="W85">
        <f>HYPERLINK("https://klasma.github.io/Logging_0360/klagomålsmail/A 3444-2021 FSC-klagomål mail.docx", "A 3444-2021")</f>
        <v/>
      </c>
      <c r="X85">
        <f>HYPERLINK("https://klasma.github.io/Logging_0360/tillsyn/A 3444-2021 tillsynsbegäran.docx", "A 3444-2021")</f>
        <v/>
      </c>
      <c r="Y85">
        <f>HYPERLINK("https://klasma.github.io/Logging_0360/tillsynsmail/A 3444-2021 tillsynsbegäran mail.docx", "A 3444-2021")</f>
        <v/>
      </c>
    </row>
    <row r="86" ht="15" customHeight="1">
      <c r="A86" t="inlineStr">
        <is>
          <t>A 19222-2021</t>
        </is>
      </c>
      <c r="B86" s="1" t="n">
        <v>44309</v>
      </c>
      <c r="C86" s="1" t="n">
        <v>45796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väst AB</t>
        </is>
      </c>
      <c r="G86" t="n">
        <v>11.1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Orre</t>
        </is>
      </c>
      <c r="S86">
        <f>HYPERLINK("https://klasma.github.io/Logging_0360/artfynd/A 19222-2021 artfynd.xlsx", "A 19222-2021")</f>
        <v/>
      </c>
      <c r="T86">
        <f>HYPERLINK("https://klasma.github.io/Logging_0360/kartor/A 19222-2021 karta.png", "A 19222-2021")</f>
        <v/>
      </c>
      <c r="V86">
        <f>HYPERLINK("https://klasma.github.io/Logging_0360/klagomål/A 19222-2021 FSC-klagomål.docx", "A 19222-2021")</f>
        <v/>
      </c>
      <c r="W86">
        <f>HYPERLINK("https://klasma.github.io/Logging_0360/klagomålsmail/A 19222-2021 FSC-klagomål mail.docx", "A 19222-2021")</f>
        <v/>
      </c>
      <c r="X86">
        <f>HYPERLINK("https://klasma.github.io/Logging_0360/tillsyn/A 19222-2021 tillsynsbegäran.docx", "A 19222-2021")</f>
        <v/>
      </c>
      <c r="Y86">
        <f>HYPERLINK("https://klasma.github.io/Logging_0360/tillsynsmail/A 19222-2021 tillsynsbegäran mail.docx", "A 19222-2021")</f>
        <v/>
      </c>
      <c r="Z86">
        <f>HYPERLINK("https://klasma.github.io/Logging_0360/fåglar/A 19222-2021 prioriterade fågelarter.docx", "A 19222-2021")</f>
        <v/>
      </c>
    </row>
    <row r="87" ht="15" customHeight="1">
      <c r="A87" t="inlineStr">
        <is>
          <t>A 50442-2021</t>
        </is>
      </c>
      <c r="B87" s="1" t="n">
        <v>44459</v>
      </c>
      <c r="C87" s="1" t="n">
        <v>45796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öst AB</t>
        </is>
      </c>
      <c r="G87" t="n">
        <v>5.8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HYPERLINK("https://klasma.github.io/Logging_0360/artfynd/A 50442-2021 artfynd.xlsx", "A 50442-2021")</f>
        <v/>
      </c>
      <c r="T87">
        <f>HYPERLINK("https://klasma.github.io/Logging_0360/kartor/A 50442-2021 karta.png", "A 50442-2021")</f>
        <v/>
      </c>
      <c r="V87">
        <f>HYPERLINK("https://klasma.github.io/Logging_0360/klagomål/A 50442-2021 FSC-klagomål.docx", "A 50442-2021")</f>
        <v/>
      </c>
      <c r="W87">
        <f>HYPERLINK("https://klasma.github.io/Logging_0360/klagomålsmail/A 50442-2021 FSC-klagomål mail.docx", "A 50442-2021")</f>
        <v/>
      </c>
      <c r="X87">
        <f>HYPERLINK("https://klasma.github.io/Logging_0360/tillsyn/A 50442-2021 tillsynsbegäran.docx", "A 50442-2021")</f>
        <v/>
      </c>
      <c r="Y87">
        <f>HYPERLINK("https://klasma.github.io/Logging_0360/tillsynsmail/A 50442-2021 tillsynsbegäran mail.docx", "A 50442-2021")</f>
        <v/>
      </c>
      <c r="Z87">
        <f>HYPERLINK("https://klasma.github.io/Logging_0360/fåglar/A 50442-2021 prioriterade fågelarter.docx", "A 50442-2021")</f>
        <v/>
      </c>
    </row>
    <row r="88" ht="15" customHeight="1">
      <c r="A88" t="inlineStr">
        <is>
          <t>A 50429-2021</t>
        </is>
      </c>
      <c r="B88" s="1" t="n">
        <v>44459</v>
      </c>
      <c r="C88" s="1" t="n">
        <v>45796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11.4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HYPERLINK("https://klasma.github.io/Logging_0360/artfynd/A 50429-2021 artfynd.xlsx", "A 50429-2021")</f>
        <v/>
      </c>
      <c r="T88">
        <f>HYPERLINK("https://klasma.github.io/Logging_0360/kartor/A 50429-2021 karta.png", "A 50429-2021")</f>
        <v/>
      </c>
      <c r="V88">
        <f>HYPERLINK("https://klasma.github.io/Logging_0360/klagomål/A 50429-2021 FSC-klagomål.docx", "A 50429-2021")</f>
        <v/>
      </c>
      <c r="W88">
        <f>HYPERLINK("https://klasma.github.io/Logging_0360/klagomålsmail/A 50429-2021 FSC-klagomål mail.docx", "A 50429-2021")</f>
        <v/>
      </c>
      <c r="X88">
        <f>HYPERLINK("https://klasma.github.io/Logging_0360/tillsyn/A 50429-2021 tillsynsbegäran.docx", "A 50429-2021")</f>
        <v/>
      </c>
      <c r="Y88">
        <f>HYPERLINK("https://klasma.github.io/Logging_0360/tillsynsmail/A 50429-2021 tillsynsbegäran mail.docx", "A 50429-2021")</f>
        <v/>
      </c>
      <c r="Z88">
        <f>HYPERLINK("https://klasma.github.io/Logging_0360/fåglar/A 50429-2021 prioriterade fågelarter.docx", "A 50429-2021")</f>
        <v/>
      </c>
    </row>
    <row r="89" ht="15" customHeight="1">
      <c r="A89" t="inlineStr">
        <is>
          <t>A 73320-2021</t>
        </is>
      </c>
      <c r="B89" s="1" t="n">
        <v>44551</v>
      </c>
      <c r="C89" s="1" t="n">
        <v>45796</v>
      </c>
      <c r="D89" t="inlineStr">
        <is>
          <t>UPPSALA LÄN</t>
        </is>
      </c>
      <c r="E89" t="inlineStr">
        <is>
          <t>TIERP</t>
        </is>
      </c>
      <c r="G89" t="n">
        <v>8.699999999999999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Rödgul trumpetsvamp</t>
        </is>
      </c>
      <c r="S89">
        <f>HYPERLINK("https://klasma.github.io/Logging_0360/artfynd/A 73320-2021 artfynd.xlsx", "A 73320-2021")</f>
        <v/>
      </c>
      <c r="T89">
        <f>HYPERLINK("https://klasma.github.io/Logging_0360/kartor/A 73320-2021 karta.png", "A 73320-2021")</f>
        <v/>
      </c>
      <c r="V89">
        <f>HYPERLINK("https://klasma.github.io/Logging_0360/klagomål/A 73320-2021 FSC-klagomål.docx", "A 73320-2021")</f>
        <v/>
      </c>
      <c r="W89">
        <f>HYPERLINK("https://klasma.github.io/Logging_0360/klagomålsmail/A 73320-2021 FSC-klagomål mail.docx", "A 73320-2021")</f>
        <v/>
      </c>
      <c r="X89">
        <f>HYPERLINK("https://klasma.github.io/Logging_0360/tillsyn/A 73320-2021 tillsynsbegäran.docx", "A 73320-2021")</f>
        <v/>
      </c>
      <c r="Y89">
        <f>HYPERLINK("https://klasma.github.io/Logging_0360/tillsynsmail/A 73320-2021 tillsynsbegäran mail.docx", "A 73320-2021")</f>
        <v/>
      </c>
    </row>
    <row r="90" ht="15" customHeight="1">
      <c r="A90" t="inlineStr">
        <is>
          <t>A 74472-2021</t>
        </is>
      </c>
      <c r="B90" s="1" t="n">
        <v>44560</v>
      </c>
      <c r="C90" s="1" t="n">
        <v>45796</v>
      </c>
      <c r="D90" t="inlineStr">
        <is>
          <t>UPPSALA LÄN</t>
        </is>
      </c>
      <c r="E90" t="inlineStr">
        <is>
          <t>TIERP</t>
        </is>
      </c>
      <c r="G90" t="n">
        <v>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Underviol</t>
        </is>
      </c>
      <c r="S90">
        <f>HYPERLINK("https://klasma.github.io/Logging_0360/artfynd/A 74472-2021 artfynd.xlsx", "A 74472-2021")</f>
        <v/>
      </c>
      <c r="T90">
        <f>HYPERLINK("https://klasma.github.io/Logging_0360/kartor/A 74472-2021 karta.png", "A 74472-2021")</f>
        <v/>
      </c>
      <c r="V90">
        <f>HYPERLINK("https://klasma.github.io/Logging_0360/klagomål/A 74472-2021 FSC-klagomål.docx", "A 74472-2021")</f>
        <v/>
      </c>
      <c r="W90">
        <f>HYPERLINK("https://klasma.github.io/Logging_0360/klagomålsmail/A 74472-2021 FSC-klagomål mail.docx", "A 74472-2021")</f>
        <v/>
      </c>
      <c r="X90">
        <f>HYPERLINK("https://klasma.github.io/Logging_0360/tillsyn/A 74472-2021 tillsynsbegäran.docx", "A 74472-2021")</f>
        <v/>
      </c>
      <c r="Y90">
        <f>HYPERLINK("https://klasma.github.io/Logging_0360/tillsynsmail/A 74472-2021 tillsynsbegäran mail.docx", "A 74472-2021")</f>
        <v/>
      </c>
    </row>
    <row r="91" ht="15" customHeight="1">
      <c r="A91" t="inlineStr">
        <is>
          <t>A 5454-2022</t>
        </is>
      </c>
      <c r="B91" s="1" t="n">
        <v>44595</v>
      </c>
      <c r="C91" s="1" t="n">
        <v>45796</v>
      </c>
      <c r="D91" t="inlineStr">
        <is>
          <t>UPPSALA LÄN</t>
        </is>
      </c>
      <c r="E91" t="inlineStr">
        <is>
          <t>TIERP</t>
        </is>
      </c>
      <c r="G91" t="n">
        <v>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Anisspindling</t>
        </is>
      </c>
      <c r="S91">
        <f>HYPERLINK("https://klasma.github.io/Logging_0360/artfynd/A 5454-2022 artfynd.xlsx", "A 5454-2022")</f>
        <v/>
      </c>
      <c r="T91">
        <f>HYPERLINK("https://klasma.github.io/Logging_0360/kartor/A 5454-2022 karta.png", "A 5454-2022")</f>
        <v/>
      </c>
      <c r="U91">
        <f>HYPERLINK("https://klasma.github.io/Logging_0360/knärot/A 5454-2022 karta knärot.png", "A 5454-2022")</f>
        <v/>
      </c>
      <c r="V91">
        <f>HYPERLINK("https://klasma.github.io/Logging_0360/klagomål/A 5454-2022 FSC-klagomål.docx", "A 5454-2022")</f>
        <v/>
      </c>
      <c r="W91">
        <f>HYPERLINK("https://klasma.github.io/Logging_0360/klagomålsmail/A 5454-2022 FSC-klagomål mail.docx", "A 5454-2022")</f>
        <v/>
      </c>
      <c r="X91">
        <f>HYPERLINK("https://klasma.github.io/Logging_0360/tillsyn/A 5454-2022 tillsynsbegäran.docx", "A 5454-2022")</f>
        <v/>
      </c>
      <c r="Y91">
        <f>HYPERLINK("https://klasma.github.io/Logging_0360/tillsynsmail/A 5454-2022 tillsynsbegäran mail.docx", "A 5454-2022")</f>
        <v/>
      </c>
    </row>
    <row r="92" ht="15" customHeight="1">
      <c r="A92" t="inlineStr">
        <is>
          <t>A 7505-2022</t>
        </is>
      </c>
      <c r="B92" s="1" t="n">
        <v>44607</v>
      </c>
      <c r="C92" s="1" t="n">
        <v>45796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Grentaggsvamp</t>
        </is>
      </c>
      <c r="S92">
        <f>HYPERLINK("https://klasma.github.io/Logging_0360/artfynd/A 7505-2022 artfynd.xlsx", "A 7505-2022")</f>
        <v/>
      </c>
      <c r="T92">
        <f>HYPERLINK("https://klasma.github.io/Logging_0360/kartor/A 7505-2022 karta.png", "A 7505-2022")</f>
        <v/>
      </c>
      <c r="V92">
        <f>HYPERLINK("https://klasma.github.io/Logging_0360/klagomål/A 7505-2022 FSC-klagomål.docx", "A 7505-2022")</f>
        <v/>
      </c>
      <c r="W92">
        <f>HYPERLINK("https://klasma.github.io/Logging_0360/klagomålsmail/A 7505-2022 FSC-klagomål mail.docx", "A 7505-2022")</f>
        <v/>
      </c>
      <c r="X92">
        <f>HYPERLINK("https://klasma.github.io/Logging_0360/tillsyn/A 7505-2022 tillsynsbegäran.docx", "A 7505-2022")</f>
        <v/>
      </c>
      <c r="Y92">
        <f>HYPERLINK("https://klasma.github.io/Logging_0360/tillsynsmail/A 7505-2022 tillsynsbegäran mail.docx", "A 7505-2022")</f>
        <v/>
      </c>
    </row>
    <row r="93" ht="15" customHeight="1">
      <c r="A93" t="inlineStr">
        <is>
          <t>A 33375-2022</t>
        </is>
      </c>
      <c r="B93" s="1" t="n">
        <v>44788</v>
      </c>
      <c r="C93" s="1" t="n">
        <v>45796</v>
      </c>
      <c r="D93" t="inlineStr">
        <is>
          <t>UPPSALA LÄN</t>
        </is>
      </c>
      <c r="E93" t="inlineStr">
        <is>
          <t>TIERP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Fältgentiana</t>
        </is>
      </c>
      <c r="S93">
        <f>HYPERLINK("https://klasma.github.io/Logging_0360/artfynd/A 33375-2022 artfynd.xlsx", "A 33375-2022")</f>
        <v/>
      </c>
      <c r="T93">
        <f>HYPERLINK("https://klasma.github.io/Logging_0360/kartor/A 33375-2022 karta.png", "A 33375-2022")</f>
        <v/>
      </c>
      <c r="V93">
        <f>HYPERLINK("https://klasma.github.io/Logging_0360/klagomål/A 33375-2022 FSC-klagomål.docx", "A 33375-2022")</f>
        <v/>
      </c>
      <c r="W93">
        <f>HYPERLINK("https://klasma.github.io/Logging_0360/klagomålsmail/A 33375-2022 FSC-klagomål mail.docx", "A 33375-2022")</f>
        <v/>
      </c>
      <c r="X93">
        <f>HYPERLINK("https://klasma.github.io/Logging_0360/tillsyn/A 33375-2022 tillsynsbegäran.docx", "A 33375-2022")</f>
        <v/>
      </c>
      <c r="Y93">
        <f>HYPERLINK("https://klasma.github.io/Logging_0360/tillsynsmail/A 33375-2022 tillsynsbegäran mail.docx", "A 33375-2022")</f>
        <v/>
      </c>
    </row>
    <row r="94" ht="15" customHeight="1">
      <c r="A94" t="inlineStr">
        <is>
          <t>A 40362-2022</t>
        </is>
      </c>
      <c r="B94" s="1" t="n">
        <v>44823</v>
      </c>
      <c r="C94" s="1" t="n">
        <v>45796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väst AB</t>
        </is>
      </c>
      <c r="G94" t="n">
        <v>18.5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HYPERLINK("https://klasma.github.io/Logging_0360/artfynd/A 40362-2022 artfynd.xlsx", "A 40362-2022")</f>
        <v/>
      </c>
      <c r="T94">
        <f>HYPERLINK("https://klasma.github.io/Logging_0360/kartor/A 40362-2022 karta.png", "A 40362-2022")</f>
        <v/>
      </c>
      <c r="V94">
        <f>HYPERLINK("https://klasma.github.io/Logging_0360/klagomål/A 40362-2022 FSC-klagomål.docx", "A 40362-2022")</f>
        <v/>
      </c>
      <c r="W94">
        <f>HYPERLINK("https://klasma.github.io/Logging_0360/klagomålsmail/A 40362-2022 FSC-klagomål mail.docx", "A 40362-2022")</f>
        <v/>
      </c>
      <c r="X94">
        <f>HYPERLINK("https://klasma.github.io/Logging_0360/tillsyn/A 40362-2022 tillsynsbegäran.docx", "A 40362-2022")</f>
        <v/>
      </c>
      <c r="Y94">
        <f>HYPERLINK("https://klasma.github.io/Logging_0360/tillsynsmail/A 40362-2022 tillsynsbegäran mail.docx", "A 40362-2022")</f>
        <v/>
      </c>
    </row>
    <row r="95" ht="15" customHeight="1">
      <c r="A95" t="inlineStr">
        <is>
          <t>A 45536-2022</t>
        </is>
      </c>
      <c r="B95" s="1" t="n">
        <v>44845</v>
      </c>
      <c r="C95" s="1" t="n">
        <v>45796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0.5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Ögonpyrola</t>
        </is>
      </c>
      <c r="S95">
        <f>HYPERLINK("https://klasma.github.io/Logging_0360/artfynd/A 45536-2022 artfynd.xlsx", "A 45536-2022")</f>
        <v/>
      </c>
      <c r="T95">
        <f>HYPERLINK("https://klasma.github.io/Logging_0360/kartor/A 45536-2022 karta.png", "A 45536-2022")</f>
        <v/>
      </c>
      <c r="V95">
        <f>HYPERLINK("https://klasma.github.io/Logging_0360/klagomål/A 45536-2022 FSC-klagomål.docx", "A 45536-2022")</f>
        <v/>
      </c>
      <c r="W95">
        <f>HYPERLINK("https://klasma.github.io/Logging_0360/klagomålsmail/A 45536-2022 FSC-klagomål mail.docx", "A 45536-2022")</f>
        <v/>
      </c>
      <c r="X95">
        <f>HYPERLINK("https://klasma.github.io/Logging_0360/tillsyn/A 45536-2022 tillsynsbegäran.docx", "A 45536-2022")</f>
        <v/>
      </c>
      <c r="Y95">
        <f>HYPERLINK("https://klasma.github.io/Logging_0360/tillsynsmail/A 45536-2022 tillsynsbegäran mail.docx", "A 45536-2022")</f>
        <v/>
      </c>
    </row>
    <row r="96" ht="15" customHeight="1">
      <c r="A96" t="inlineStr">
        <is>
          <t>A 47227-2022</t>
        </is>
      </c>
      <c r="B96" s="1" t="n">
        <v>44852</v>
      </c>
      <c r="C96" s="1" t="n">
        <v>45796</v>
      </c>
      <c r="D96" t="inlineStr">
        <is>
          <t>UPPSALA LÄN</t>
        </is>
      </c>
      <c r="E96" t="inlineStr">
        <is>
          <t>TIERP</t>
        </is>
      </c>
      <c r="G96" t="n">
        <v>5.9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Nästrot</t>
        </is>
      </c>
      <c r="S96">
        <f>HYPERLINK("https://klasma.github.io/Logging_0360/artfynd/A 47227-2022 artfynd.xlsx", "A 47227-2022")</f>
        <v/>
      </c>
      <c r="T96">
        <f>HYPERLINK("https://klasma.github.io/Logging_0360/kartor/A 47227-2022 karta.png", "A 47227-2022")</f>
        <v/>
      </c>
      <c r="V96">
        <f>HYPERLINK("https://klasma.github.io/Logging_0360/klagomål/A 47227-2022 FSC-klagomål.docx", "A 47227-2022")</f>
        <v/>
      </c>
      <c r="W96">
        <f>HYPERLINK("https://klasma.github.io/Logging_0360/klagomålsmail/A 47227-2022 FSC-klagomål mail.docx", "A 47227-2022")</f>
        <v/>
      </c>
      <c r="X96">
        <f>HYPERLINK("https://klasma.github.io/Logging_0360/tillsyn/A 47227-2022 tillsynsbegäran.docx", "A 47227-2022")</f>
        <v/>
      </c>
      <c r="Y96">
        <f>HYPERLINK("https://klasma.github.io/Logging_0360/tillsynsmail/A 47227-2022 tillsynsbegäran mail.docx", "A 47227-2022")</f>
        <v/>
      </c>
    </row>
    <row r="97" ht="15" customHeight="1">
      <c r="A97" t="inlineStr">
        <is>
          <t>A 56968-2022</t>
        </is>
      </c>
      <c r="B97" s="1" t="n">
        <v>44894</v>
      </c>
      <c r="C97" s="1" t="n">
        <v>45796</v>
      </c>
      <c r="D97" t="inlineStr">
        <is>
          <t>UPPSALA LÄN</t>
        </is>
      </c>
      <c r="E97" t="inlineStr">
        <is>
          <t>TIERP</t>
        </is>
      </c>
      <c r="G97" t="n">
        <v>2.8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Olivspindling</t>
        </is>
      </c>
      <c r="S97">
        <f>HYPERLINK("https://klasma.github.io/Logging_0360/artfynd/A 56968-2022 artfynd.xlsx", "A 56968-2022")</f>
        <v/>
      </c>
      <c r="T97">
        <f>HYPERLINK("https://klasma.github.io/Logging_0360/kartor/A 56968-2022 karta.png", "A 56968-2022")</f>
        <v/>
      </c>
      <c r="V97">
        <f>HYPERLINK("https://klasma.github.io/Logging_0360/klagomål/A 56968-2022 FSC-klagomål.docx", "A 56968-2022")</f>
        <v/>
      </c>
      <c r="W97">
        <f>HYPERLINK("https://klasma.github.io/Logging_0360/klagomålsmail/A 56968-2022 FSC-klagomål mail.docx", "A 56968-2022")</f>
        <v/>
      </c>
      <c r="X97">
        <f>HYPERLINK("https://klasma.github.io/Logging_0360/tillsyn/A 56968-2022 tillsynsbegäran.docx", "A 56968-2022")</f>
        <v/>
      </c>
      <c r="Y97">
        <f>HYPERLINK("https://klasma.github.io/Logging_0360/tillsynsmail/A 56968-2022 tillsynsbegäran mail.docx", "A 56968-2022")</f>
        <v/>
      </c>
    </row>
    <row r="98" ht="15" customHeight="1">
      <c r="A98" t="inlineStr">
        <is>
          <t>A 60555-2022</t>
        </is>
      </c>
      <c r="B98" s="1" t="n">
        <v>44911</v>
      </c>
      <c r="C98" s="1" t="n">
        <v>45796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väst AB</t>
        </is>
      </c>
      <c r="G98" t="n">
        <v>4.5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Skogsklocka</t>
        </is>
      </c>
      <c r="S98">
        <f>HYPERLINK("https://klasma.github.io/Logging_0360/artfynd/A 60555-2022 artfynd.xlsx", "A 60555-2022")</f>
        <v/>
      </c>
      <c r="T98">
        <f>HYPERLINK("https://klasma.github.io/Logging_0360/kartor/A 60555-2022 karta.png", "A 60555-2022")</f>
        <v/>
      </c>
      <c r="V98">
        <f>HYPERLINK("https://klasma.github.io/Logging_0360/klagomål/A 60555-2022 FSC-klagomål.docx", "A 60555-2022")</f>
        <v/>
      </c>
      <c r="W98">
        <f>HYPERLINK("https://klasma.github.io/Logging_0360/klagomålsmail/A 60555-2022 FSC-klagomål mail.docx", "A 60555-2022")</f>
        <v/>
      </c>
      <c r="X98">
        <f>HYPERLINK("https://klasma.github.io/Logging_0360/tillsyn/A 60555-2022 tillsynsbegäran.docx", "A 60555-2022")</f>
        <v/>
      </c>
      <c r="Y98">
        <f>HYPERLINK("https://klasma.github.io/Logging_0360/tillsynsmail/A 60555-2022 tillsynsbegäran mail.docx", "A 60555-2022")</f>
        <v/>
      </c>
    </row>
    <row r="99" ht="15" customHeight="1">
      <c r="A99" t="inlineStr">
        <is>
          <t>A 4544-2023</t>
        </is>
      </c>
      <c r="B99" s="1" t="n">
        <v>44956</v>
      </c>
      <c r="C99" s="1" t="n">
        <v>45796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11.5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HYPERLINK("https://klasma.github.io/Logging_0360/artfynd/A 4544-2023 artfynd.xlsx", "A 4544-2023")</f>
        <v/>
      </c>
      <c r="T99">
        <f>HYPERLINK("https://klasma.github.io/Logging_0360/kartor/A 4544-2023 karta.png", "A 4544-2023")</f>
        <v/>
      </c>
      <c r="V99">
        <f>HYPERLINK("https://klasma.github.io/Logging_0360/klagomål/A 4544-2023 FSC-klagomål.docx", "A 4544-2023")</f>
        <v/>
      </c>
      <c r="W99">
        <f>HYPERLINK("https://klasma.github.io/Logging_0360/klagomålsmail/A 4544-2023 FSC-klagomål mail.docx", "A 4544-2023")</f>
        <v/>
      </c>
      <c r="X99">
        <f>HYPERLINK("https://klasma.github.io/Logging_0360/tillsyn/A 4544-2023 tillsynsbegäran.docx", "A 4544-2023")</f>
        <v/>
      </c>
      <c r="Y99">
        <f>HYPERLINK("https://klasma.github.io/Logging_0360/tillsynsmail/A 4544-2023 tillsynsbegäran mail.docx", "A 4544-2023")</f>
        <v/>
      </c>
    </row>
    <row r="100" ht="15" customHeight="1">
      <c r="A100" t="inlineStr">
        <is>
          <t>A 5472-2023</t>
        </is>
      </c>
      <c r="B100" s="1" t="n">
        <v>44960</v>
      </c>
      <c r="C100" s="1" t="n">
        <v>45796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7.8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HYPERLINK("https://klasma.github.io/Logging_0360/artfynd/A 5472-2023 artfynd.xlsx", "A 5472-2023")</f>
        <v/>
      </c>
      <c r="T100">
        <f>HYPERLINK("https://klasma.github.io/Logging_0360/kartor/A 5472-2023 karta.png", "A 5472-2023")</f>
        <v/>
      </c>
      <c r="V100">
        <f>HYPERLINK("https://klasma.github.io/Logging_0360/klagomål/A 5472-2023 FSC-klagomål.docx", "A 5472-2023")</f>
        <v/>
      </c>
      <c r="W100">
        <f>HYPERLINK("https://klasma.github.io/Logging_0360/klagomålsmail/A 5472-2023 FSC-klagomål mail.docx", "A 5472-2023")</f>
        <v/>
      </c>
      <c r="X100">
        <f>HYPERLINK("https://klasma.github.io/Logging_0360/tillsyn/A 5472-2023 tillsynsbegäran.docx", "A 5472-2023")</f>
        <v/>
      </c>
      <c r="Y100">
        <f>HYPERLINK("https://klasma.github.io/Logging_0360/tillsynsmail/A 5472-2023 tillsynsbegäran mail.docx", "A 5472-2023")</f>
        <v/>
      </c>
    </row>
    <row r="101" ht="15" customHeight="1">
      <c r="A101" t="inlineStr">
        <is>
          <t>A 13433-2023</t>
        </is>
      </c>
      <c r="B101" s="1" t="n">
        <v>45005</v>
      </c>
      <c r="C101" s="1" t="n">
        <v>45796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2.6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Skogsknipprot</t>
        </is>
      </c>
      <c r="S101">
        <f>HYPERLINK("https://klasma.github.io/Logging_0360/artfynd/A 13433-2023 artfynd.xlsx", "A 13433-2023")</f>
        <v/>
      </c>
      <c r="T101">
        <f>HYPERLINK("https://klasma.github.io/Logging_0360/kartor/A 13433-2023 karta.png", "A 13433-2023")</f>
        <v/>
      </c>
      <c r="V101">
        <f>HYPERLINK("https://klasma.github.io/Logging_0360/klagomål/A 13433-2023 FSC-klagomål.docx", "A 13433-2023")</f>
        <v/>
      </c>
      <c r="W101">
        <f>HYPERLINK("https://klasma.github.io/Logging_0360/klagomålsmail/A 13433-2023 FSC-klagomål mail.docx", "A 13433-2023")</f>
        <v/>
      </c>
      <c r="X101">
        <f>HYPERLINK("https://klasma.github.io/Logging_0360/tillsyn/A 13433-2023 tillsynsbegäran.docx", "A 13433-2023")</f>
        <v/>
      </c>
      <c r="Y101">
        <f>HYPERLINK("https://klasma.github.io/Logging_0360/tillsynsmail/A 13433-2023 tillsynsbegäran mail.docx", "A 13433-2023")</f>
        <v/>
      </c>
    </row>
    <row r="102" ht="15" customHeight="1">
      <c r="A102" t="inlineStr">
        <is>
          <t>A 38151-2023</t>
        </is>
      </c>
      <c r="B102" s="1" t="n">
        <v>45160</v>
      </c>
      <c r="C102" s="1" t="n">
        <v>45796</v>
      </c>
      <c r="D102" t="inlineStr">
        <is>
          <t>UPPSALA LÄN</t>
        </is>
      </c>
      <c r="E102" t="inlineStr">
        <is>
          <t>TIERP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Tornseglare</t>
        </is>
      </c>
      <c r="S102">
        <f>HYPERLINK("https://klasma.github.io/Logging_0360/artfynd/A 38151-2023 artfynd.xlsx", "A 38151-2023")</f>
        <v/>
      </c>
      <c r="T102">
        <f>HYPERLINK("https://klasma.github.io/Logging_0360/kartor/A 38151-2023 karta.png", "A 38151-2023")</f>
        <v/>
      </c>
      <c r="V102">
        <f>HYPERLINK("https://klasma.github.io/Logging_0360/klagomål/A 38151-2023 FSC-klagomål.docx", "A 38151-2023")</f>
        <v/>
      </c>
      <c r="W102">
        <f>HYPERLINK("https://klasma.github.io/Logging_0360/klagomålsmail/A 38151-2023 FSC-klagomål mail.docx", "A 38151-2023")</f>
        <v/>
      </c>
      <c r="X102">
        <f>HYPERLINK("https://klasma.github.io/Logging_0360/tillsyn/A 38151-2023 tillsynsbegäran.docx", "A 38151-2023")</f>
        <v/>
      </c>
      <c r="Y102">
        <f>HYPERLINK("https://klasma.github.io/Logging_0360/tillsynsmail/A 38151-2023 tillsynsbegäran mail.docx", "A 38151-2023")</f>
        <v/>
      </c>
      <c r="Z102">
        <f>HYPERLINK("https://klasma.github.io/Logging_0360/fåglar/A 38151-2023 prioriterade fågelarter.docx", "A 38151-2023")</f>
        <v/>
      </c>
    </row>
    <row r="103" ht="15" customHeight="1">
      <c r="A103" t="inlineStr">
        <is>
          <t>A 38821-2023</t>
        </is>
      </c>
      <c r="B103" s="1" t="n">
        <v>45163</v>
      </c>
      <c r="C103" s="1" t="n">
        <v>45796</v>
      </c>
      <c r="D103" t="inlineStr">
        <is>
          <t>UPPSALA LÄN</t>
        </is>
      </c>
      <c r="E103" t="inlineStr">
        <is>
          <t>TIERP</t>
        </is>
      </c>
      <c r="G103" t="n">
        <v>20.3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HYPERLINK("https://klasma.github.io/Logging_0360/artfynd/A 38821-2023 artfynd.xlsx", "A 38821-2023")</f>
        <v/>
      </c>
      <c r="T103">
        <f>HYPERLINK("https://klasma.github.io/Logging_0360/kartor/A 38821-2023 karta.png", "A 38821-2023")</f>
        <v/>
      </c>
      <c r="V103">
        <f>HYPERLINK("https://klasma.github.io/Logging_0360/klagomål/A 38821-2023 FSC-klagomål.docx", "A 38821-2023")</f>
        <v/>
      </c>
      <c r="W103">
        <f>HYPERLINK("https://klasma.github.io/Logging_0360/klagomålsmail/A 38821-2023 FSC-klagomål mail.docx", "A 38821-2023")</f>
        <v/>
      </c>
      <c r="X103">
        <f>HYPERLINK("https://klasma.github.io/Logging_0360/tillsyn/A 38821-2023 tillsynsbegäran.docx", "A 38821-2023")</f>
        <v/>
      </c>
      <c r="Y103">
        <f>HYPERLINK("https://klasma.github.io/Logging_0360/tillsynsmail/A 38821-2023 tillsynsbegäran mail.docx", "A 38821-2023")</f>
        <v/>
      </c>
    </row>
    <row r="104" ht="15" customHeight="1">
      <c r="A104" t="inlineStr">
        <is>
          <t>A 40878-2023</t>
        </is>
      </c>
      <c r="B104" s="1" t="n">
        <v>45173</v>
      </c>
      <c r="C104" s="1" t="n">
        <v>45796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väst AB</t>
        </is>
      </c>
      <c r="G104" t="n">
        <v>4.7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 sköldmossa</t>
        </is>
      </c>
      <c r="S104">
        <f>HYPERLINK("https://klasma.github.io/Logging_0360/artfynd/A 40878-2023 artfynd.xlsx", "A 40878-2023")</f>
        <v/>
      </c>
      <c r="T104">
        <f>HYPERLINK("https://klasma.github.io/Logging_0360/kartor/A 40878-2023 karta.png", "A 40878-2023")</f>
        <v/>
      </c>
      <c r="V104">
        <f>HYPERLINK("https://klasma.github.io/Logging_0360/klagomål/A 40878-2023 FSC-klagomål.docx", "A 40878-2023")</f>
        <v/>
      </c>
      <c r="W104">
        <f>HYPERLINK("https://klasma.github.io/Logging_0360/klagomålsmail/A 40878-2023 FSC-klagomål mail.docx", "A 40878-2023")</f>
        <v/>
      </c>
      <c r="X104">
        <f>HYPERLINK("https://klasma.github.io/Logging_0360/tillsyn/A 40878-2023 tillsynsbegäran.docx", "A 40878-2023")</f>
        <v/>
      </c>
      <c r="Y104">
        <f>HYPERLINK("https://klasma.github.io/Logging_0360/tillsynsmail/A 40878-2023 tillsynsbegäran mail.docx", "A 40878-2023")</f>
        <v/>
      </c>
    </row>
    <row r="105" ht="15" customHeight="1">
      <c r="A105" t="inlineStr">
        <is>
          <t>A 40940-2023</t>
        </is>
      </c>
      <c r="B105" s="1" t="n">
        <v>45173</v>
      </c>
      <c r="C105" s="1" t="n">
        <v>45796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väst AB</t>
        </is>
      </c>
      <c r="G105" t="n">
        <v>1.3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Skogsknipprot</t>
        </is>
      </c>
      <c r="S105">
        <f>HYPERLINK("https://klasma.github.io/Logging_0360/artfynd/A 40940-2023 artfynd.xlsx", "A 40940-2023")</f>
        <v/>
      </c>
      <c r="T105">
        <f>HYPERLINK("https://klasma.github.io/Logging_0360/kartor/A 40940-2023 karta.png", "A 40940-2023")</f>
        <v/>
      </c>
      <c r="V105">
        <f>HYPERLINK("https://klasma.github.io/Logging_0360/klagomål/A 40940-2023 FSC-klagomål.docx", "A 40940-2023")</f>
        <v/>
      </c>
      <c r="W105">
        <f>HYPERLINK("https://klasma.github.io/Logging_0360/klagomålsmail/A 40940-2023 FSC-klagomål mail.docx", "A 40940-2023")</f>
        <v/>
      </c>
      <c r="X105">
        <f>HYPERLINK("https://klasma.github.io/Logging_0360/tillsyn/A 40940-2023 tillsynsbegäran.docx", "A 40940-2023")</f>
        <v/>
      </c>
      <c r="Y105">
        <f>HYPERLINK("https://klasma.github.io/Logging_0360/tillsynsmail/A 40940-2023 tillsynsbegäran mail.docx", "A 40940-2023")</f>
        <v/>
      </c>
    </row>
    <row r="106" ht="15" customHeight="1">
      <c r="A106" t="inlineStr">
        <is>
          <t>A 43162-2023</t>
        </is>
      </c>
      <c r="B106" s="1" t="n">
        <v>45183</v>
      </c>
      <c r="C106" s="1" t="n">
        <v>45796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öst AB</t>
        </is>
      </c>
      <c r="G106" t="n">
        <v>15.7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Gulsparv</t>
        </is>
      </c>
      <c r="S106">
        <f>HYPERLINK("https://klasma.github.io/Logging_0360/artfynd/A 43162-2023 artfynd.xlsx", "A 43162-2023")</f>
        <v/>
      </c>
      <c r="T106">
        <f>HYPERLINK("https://klasma.github.io/Logging_0360/kartor/A 43162-2023 karta.png", "A 43162-2023")</f>
        <v/>
      </c>
      <c r="V106">
        <f>HYPERLINK("https://klasma.github.io/Logging_0360/klagomål/A 43162-2023 FSC-klagomål.docx", "A 43162-2023")</f>
        <v/>
      </c>
      <c r="W106">
        <f>HYPERLINK("https://klasma.github.io/Logging_0360/klagomålsmail/A 43162-2023 FSC-klagomål mail.docx", "A 43162-2023")</f>
        <v/>
      </c>
      <c r="X106">
        <f>HYPERLINK("https://klasma.github.io/Logging_0360/tillsyn/A 43162-2023 tillsynsbegäran.docx", "A 43162-2023")</f>
        <v/>
      </c>
      <c r="Y106">
        <f>HYPERLINK("https://klasma.github.io/Logging_0360/tillsynsmail/A 43162-2023 tillsynsbegäran mail.docx", "A 43162-2023")</f>
        <v/>
      </c>
      <c r="Z106">
        <f>HYPERLINK("https://klasma.github.io/Logging_0360/fåglar/A 43162-2023 prioriterade fågelarter.docx", "A 43162-2023")</f>
        <v/>
      </c>
    </row>
    <row r="107" ht="15" customHeight="1">
      <c r="A107" t="inlineStr">
        <is>
          <t>A 48687-2023</t>
        </is>
      </c>
      <c r="B107" s="1" t="n">
        <v>45208</v>
      </c>
      <c r="C107" s="1" t="n">
        <v>45796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2.6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Gulsparv</t>
        </is>
      </c>
      <c r="S107">
        <f>HYPERLINK("https://klasma.github.io/Logging_0360/artfynd/A 48687-2023 artfynd.xlsx", "A 48687-2023")</f>
        <v/>
      </c>
      <c r="T107">
        <f>HYPERLINK("https://klasma.github.io/Logging_0360/kartor/A 48687-2023 karta.png", "A 48687-2023")</f>
        <v/>
      </c>
      <c r="V107">
        <f>HYPERLINK("https://klasma.github.io/Logging_0360/klagomål/A 48687-2023 FSC-klagomål.docx", "A 48687-2023")</f>
        <v/>
      </c>
      <c r="W107">
        <f>HYPERLINK("https://klasma.github.io/Logging_0360/klagomålsmail/A 48687-2023 FSC-klagomål mail.docx", "A 48687-2023")</f>
        <v/>
      </c>
      <c r="X107">
        <f>HYPERLINK("https://klasma.github.io/Logging_0360/tillsyn/A 48687-2023 tillsynsbegäran.docx", "A 48687-2023")</f>
        <v/>
      </c>
      <c r="Y107">
        <f>HYPERLINK("https://klasma.github.io/Logging_0360/tillsynsmail/A 48687-2023 tillsynsbegäran mail.docx", "A 48687-2023")</f>
        <v/>
      </c>
      <c r="Z107">
        <f>HYPERLINK("https://klasma.github.io/Logging_0360/fåglar/A 48687-2023 prioriterade fågelarter.docx", "A 48687-2023")</f>
        <v/>
      </c>
    </row>
    <row r="108" ht="15" customHeight="1">
      <c r="A108" t="inlineStr">
        <is>
          <t>A 49794-2023</t>
        </is>
      </c>
      <c r="B108" s="1" t="n">
        <v>45212</v>
      </c>
      <c r="C108" s="1" t="n">
        <v>45796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12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Slåtterfibbla</t>
        </is>
      </c>
      <c r="S108">
        <f>HYPERLINK("https://klasma.github.io/Logging_0360/artfynd/A 49794-2023 artfynd.xlsx", "A 49794-2023")</f>
        <v/>
      </c>
      <c r="T108">
        <f>HYPERLINK("https://klasma.github.io/Logging_0360/kartor/A 49794-2023 karta.png", "A 49794-2023")</f>
        <v/>
      </c>
      <c r="V108">
        <f>HYPERLINK("https://klasma.github.io/Logging_0360/klagomål/A 49794-2023 FSC-klagomål.docx", "A 49794-2023")</f>
        <v/>
      </c>
      <c r="W108">
        <f>HYPERLINK("https://klasma.github.io/Logging_0360/klagomålsmail/A 49794-2023 FSC-klagomål mail.docx", "A 49794-2023")</f>
        <v/>
      </c>
      <c r="X108">
        <f>HYPERLINK("https://klasma.github.io/Logging_0360/tillsyn/A 49794-2023 tillsynsbegäran.docx", "A 49794-2023")</f>
        <v/>
      </c>
      <c r="Y108">
        <f>HYPERLINK("https://klasma.github.io/Logging_0360/tillsynsmail/A 49794-2023 tillsynsbegäran mail.docx", "A 49794-2023")</f>
        <v/>
      </c>
    </row>
    <row r="109" ht="15" customHeight="1">
      <c r="A109" t="inlineStr">
        <is>
          <t>A 57638-2023</t>
        </is>
      </c>
      <c r="B109" s="1" t="n">
        <v>45246</v>
      </c>
      <c r="C109" s="1" t="n">
        <v>45796</v>
      </c>
      <c r="D109" t="inlineStr">
        <is>
          <t>UPPSALA LÄN</t>
        </is>
      </c>
      <c r="E109" t="inlineStr">
        <is>
          <t>TIERP</t>
        </is>
      </c>
      <c r="G109" t="n">
        <v>3.7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Skogsklocka</t>
        </is>
      </c>
      <c r="S109">
        <f>HYPERLINK("https://klasma.github.io/Logging_0360/artfynd/A 57638-2023 artfynd.xlsx", "A 57638-2023")</f>
        <v/>
      </c>
      <c r="T109">
        <f>HYPERLINK("https://klasma.github.io/Logging_0360/kartor/A 57638-2023 karta.png", "A 57638-2023")</f>
        <v/>
      </c>
      <c r="V109">
        <f>HYPERLINK("https://klasma.github.io/Logging_0360/klagomål/A 57638-2023 FSC-klagomål.docx", "A 57638-2023")</f>
        <v/>
      </c>
      <c r="W109">
        <f>HYPERLINK("https://klasma.github.io/Logging_0360/klagomålsmail/A 57638-2023 FSC-klagomål mail.docx", "A 57638-2023")</f>
        <v/>
      </c>
      <c r="X109">
        <f>HYPERLINK("https://klasma.github.io/Logging_0360/tillsyn/A 57638-2023 tillsynsbegäran.docx", "A 57638-2023")</f>
        <v/>
      </c>
      <c r="Y109">
        <f>HYPERLINK("https://klasma.github.io/Logging_0360/tillsynsmail/A 57638-2023 tillsynsbegäran mail.docx", "A 57638-2023")</f>
        <v/>
      </c>
    </row>
    <row r="110" ht="15" customHeight="1">
      <c r="A110" t="inlineStr">
        <is>
          <t>A 59454-2023</t>
        </is>
      </c>
      <c r="B110" s="1" t="n">
        <v>45253</v>
      </c>
      <c r="C110" s="1" t="n">
        <v>45796</v>
      </c>
      <c r="D110" t="inlineStr">
        <is>
          <t>UPPSALA LÄN</t>
        </is>
      </c>
      <c r="E110" t="inlineStr">
        <is>
          <t>TIERP</t>
        </is>
      </c>
      <c r="G110" t="n">
        <v>8.800000000000001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Jättesvampmal</t>
        </is>
      </c>
      <c r="S110">
        <f>HYPERLINK("https://klasma.github.io/Logging_0360/artfynd/A 59454-2023 artfynd.xlsx", "A 59454-2023")</f>
        <v/>
      </c>
      <c r="T110">
        <f>HYPERLINK("https://klasma.github.io/Logging_0360/kartor/A 59454-2023 karta.png", "A 59454-2023")</f>
        <v/>
      </c>
      <c r="V110">
        <f>HYPERLINK("https://klasma.github.io/Logging_0360/klagomål/A 59454-2023 FSC-klagomål.docx", "A 59454-2023")</f>
        <v/>
      </c>
      <c r="W110">
        <f>HYPERLINK("https://klasma.github.io/Logging_0360/klagomålsmail/A 59454-2023 FSC-klagomål mail.docx", "A 59454-2023")</f>
        <v/>
      </c>
      <c r="X110">
        <f>HYPERLINK("https://klasma.github.io/Logging_0360/tillsyn/A 59454-2023 tillsynsbegäran.docx", "A 59454-2023")</f>
        <v/>
      </c>
      <c r="Y110">
        <f>HYPERLINK("https://klasma.github.io/Logging_0360/tillsynsmail/A 59454-2023 tillsynsbegäran mail.docx", "A 59454-2023")</f>
        <v/>
      </c>
    </row>
    <row r="111" ht="15" customHeight="1">
      <c r="A111" t="inlineStr">
        <is>
          <t>A 2298-2024</t>
        </is>
      </c>
      <c r="B111" s="1" t="n">
        <v>45310</v>
      </c>
      <c r="C111" s="1" t="n">
        <v>45796</v>
      </c>
      <c r="D111" t="inlineStr">
        <is>
          <t>UPPSALA LÄN</t>
        </is>
      </c>
      <c r="E111" t="inlineStr">
        <is>
          <t>TIERP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Fyrflikig jordstjärna</t>
        </is>
      </c>
      <c r="S111">
        <f>HYPERLINK("https://klasma.github.io/Logging_0360/artfynd/A 2298-2024 artfynd.xlsx", "A 2298-2024")</f>
        <v/>
      </c>
      <c r="T111">
        <f>HYPERLINK("https://klasma.github.io/Logging_0360/kartor/A 2298-2024 karta.png", "A 2298-2024")</f>
        <v/>
      </c>
      <c r="V111">
        <f>HYPERLINK("https://klasma.github.io/Logging_0360/klagomål/A 2298-2024 FSC-klagomål.docx", "A 2298-2024")</f>
        <v/>
      </c>
      <c r="W111">
        <f>HYPERLINK("https://klasma.github.io/Logging_0360/klagomålsmail/A 2298-2024 FSC-klagomål mail.docx", "A 2298-2024")</f>
        <v/>
      </c>
      <c r="X111">
        <f>HYPERLINK("https://klasma.github.io/Logging_0360/tillsyn/A 2298-2024 tillsynsbegäran.docx", "A 2298-2024")</f>
        <v/>
      </c>
      <c r="Y111">
        <f>HYPERLINK("https://klasma.github.io/Logging_0360/tillsynsmail/A 2298-2024 tillsynsbegäran mail.docx", "A 2298-2024")</f>
        <v/>
      </c>
    </row>
    <row r="112" ht="15" customHeight="1">
      <c r="A112" t="inlineStr">
        <is>
          <t>A 2332-2024</t>
        </is>
      </c>
      <c r="B112" s="1" t="n">
        <v>45310</v>
      </c>
      <c r="C112" s="1" t="n">
        <v>45796</v>
      </c>
      <c r="D112" t="inlineStr">
        <is>
          <t>UPPSALA LÄN</t>
        </is>
      </c>
      <c r="E112" t="inlineStr">
        <is>
          <t>TIERP</t>
        </is>
      </c>
      <c r="G112" t="n">
        <v>3.7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HYPERLINK("https://klasma.github.io/Logging_0360/artfynd/A 2332-2024 artfynd.xlsx", "A 2332-2024")</f>
        <v/>
      </c>
      <c r="T112">
        <f>HYPERLINK("https://klasma.github.io/Logging_0360/kartor/A 2332-2024 karta.png", "A 2332-2024")</f>
        <v/>
      </c>
      <c r="V112">
        <f>HYPERLINK("https://klasma.github.io/Logging_0360/klagomål/A 2332-2024 FSC-klagomål.docx", "A 2332-2024")</f>
        <v/>
      </c>
      <c r="W112">
        <f>HYPERLINK("https://klasma.github.io/Logging_0360/klagomålsmail/A 2332-2024 FSC-klagomål mail.docx", "A 2332-2024")</f>
        <v/>
      </c>
      <c r="X112">
        <f>HYPERLINK("https://klasma.github.io/Logging_0360/tillsyn/A 2332-2024 tillsynsbegäran.docx", "A 2332-2024")</f>
        <v/>
      </c>
      <c r="Y112">
        <f>HYPERLINK("https://klasma.github.io/Logging_0360/tillsynsmail/A 2332-2024 tillsynsbegäran mail.docx", "A 2332-2024")</f>
        <v/>
      </c>
      <c r="Z112">
        <f>HYPERLINK("https://klasma.github.io/Logging_0360/fåglar/A 2332-2024 prioriterade fågelarter.docx", "A 2332-2024")</f>
        <v/>
      </c>
    </row>
    <row r="113" ht="15" customHeight="1">
      <c r="A113" t="inlineStr">
        <is>
          <t>A 5700-2024</t>
        </is>
      </c>
      <c r="B113" s="1" t="n">
        <v>45335</v>
      </c>
      <c r="C113" s="1" t="n">
        <v>45796</v>
      </c>
      <c r="D113" t="inlineStr">
        <is>
          <t>UPPSALA LÄN</t>
        </is>
      </c>
      <c r="E113" t="inlineStr">
        <is>
          <t>TIERP</t>
        </is>
      </c>
      <c r="G113" t="n">
        <v>1.6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Vårärt</t>
        </is>
      </c>
      <c r="S113">
        <f>HYPERLINK("https://klasma.github.io/Logging_0360/artfynd/A 5700-2024 artfynd.xlsx", "A 5700-2024")</f>
        <v/>
      </c>
      <c r="T113">
        <f>HYPERLINK("https://klasma.github.io/Logging_0360/kartor/A 5700-2024 karta.png", "A 5700-2024")</f>
        <v/>
      </c>
      <c r="V113">
        <f>HYPERLINK("https://klasma.github.io/Logging_0360/klagomål/A 5700-2024 FSC-klagomål.docx", "A 5700-2024")</f>
        <v/>
      </c>
      <c r="W113">
        <f>HYPERLINK("https://klasma.github.io/Logging_0360/klagomålsmail/A 5700-2024 FSC-klagomål mail.docx", "A 5700-2024")</f>
        <v/>
      </c>
      <c r="X113">
        <f>HYPERLINK("https://klasma.github.io/Logging_0360/tillsyn/A 5700-2024 tillsynsbegäran.docx", "A 5700-2024")</f>
        <v/>
      </c>
      <c r="Y113">
        <f>HYPERLINK("https://klasma.github.io/Logging_0360/tillsynsmail/A 5700-2024 tillsynsbegäran mail.docx", "A 5700-2024")</f>
        <v/>
      </c>
    </row>
    <row r="114" ht="15" customHeight="1">
      <c r="A114" t="inlineStr">
        <is>
          <t>A 24221-2024</t>
        </is>
      </c>
      <c r="B114" s="1" t="n">
        <v>45457</v>
      </c>
      <c r="C114" s="1" t="n">
        <v>45796</v>
      </c>
      <c r="D114" t="inlineStr">
        <is>
          <t>UPPSALA LÄN</t>
        </is>
      </c>
      <c r="E114" t="inlineStr">
        <is>
          <t>TIERP</t>
        </is>
      </c>
      <c r="G114" t="n">
        <v>7.9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Skogsknipprot</t>
        </is>
      </c>
      <c r="S114">
        <f>HYPERLINK("https://klasma.github.io/Logging_0360/artfynd/A 24221-2024 artfynd.xlsx", "A 24221-2024")</f>
        <v/>
      </c>
      <c r="T114">
        <f>HYPERLINK("https://klasma.github.io/Logging_0360/kartor/A 24221-2024 karta.png", "A 24221-2024")</f>
        <v/>
      </c>
      <c r="V114">
        <f>HYPERLINK("https://klasma.github.io/Logging_0360/klagomål/A 24221-2024 FSC-klagomål.docx", "A 24221-2024")</f>
        <v/>
      </c>
      <c r="W114">
        <f>HYPERLINK("https://klasma.github.io/Logging_0360/klagomålsmail/A 24221-2024 FSC-klagomål mail.docx", "A 24221-2024")</f>
        <v/>
      </c>
      <c r="X114">
        <f>HYPERLINK("https://klasma.github.io/Logging_0360/tillsyn/A 24221-2024 tillsynsbegäran.docx", "A 24221-2024")</f>
        <v/>
      </c>
      <c r="Y114">
        <f>HYPERLINK("https://klasma.github.io/Logging_0360/tillsynsmail/A 24221-2024 tillsynsbegäran mail.docx", "A 24221-2024")</f>
        <v/>
      </c>
    </row>
    <row r="115" ht="15" customHeight="1">
      <c r="A115" t="inlineStr">
        <is>
          <t>A 30122-2024</t>
        </is>
      </c>
      <c r="B115" s="1" t="n">
        <v>45489</v>
      </c>
      <c r="C115" s="1" t="n">
        <v>45796</v>
      </c>
      <c r="D115" t="inlineStr">
        <is>
          <t>UPPSALA LÄN</t>
        </is>
      </c>
      <c r="E115" t="inlineStr">
        <is>
          <t>TIERP</t>
        </is>
      </c>
      <c r="G115" t="n">
        <v>3.4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Nästrot</t>
        </is>
      </c>
      <c r="S115">
        <f>HYPERLINK("https://klasma.github.io/Logging_0360/artfynd/A 30122-2024 artfynd.xlsx", "A 30122-2024")</f>
        <v/>
      </c>
      <c r="T115">
        <f>HYPERLINK("https://klasma.github.io/Logging_0360/kartor/A 30122-2024 karta.png", "A 30122-2024")</f>
        <v/>
      </c>
      <c r="V115">
        <f>HYPERLINK("https://klasma.github.io/Logging_0360/klagomål/A 30122-2024 FSC-klagomål.docx", "A 30122-2024")</f>
        <v/>
      </c>
      <c r="W115">
        <f>HYPERLINK("https://klasma.github.io/Logging_0360/klagomålsmail/A 30122-2024 FSC-klagomål mail.docx", "A 30122-2024")</f>
        <v/>
      </c>
      <c r="X115">
        <f>HYPERLINK("https://klasma.github.io/Logging_0360/tillsyn/A 30122-2024 tillsynsbegäran.docx", "A 30122-2024")</f>
        <v/>
      </c>
      <c r="Y115">
        <f>HYPERLINK("https://klasma.github.io/Logging_0360/tillsynsmail/A 30122-2024 tillsynsbegäran mail.docx", "A 30122-2024")</f>
        <v/>
      </c>
    </row>
    <row r="116" ht="15" customHeight="1">
      <c r="A116" t="inlineStr">
        <is>
          <t>A 30510-2024</t>
        </is>
      </c>
      <c r="B116" s="1" t="n">
        <v>45492</v>
      </c>
      <c r="C116" s="1" t="n">
        <v>45796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öst AB</t>
        </is>
      </c>
      <c r="G116" t="n">
        <v>4.9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Gulsparv</t>
        </is>
      </c>
      <c r="S116">
        <f>HYPERLINK("https://klasma.github.io/Logging_0360/artfynd/A 30510-2024 artfynd.xlsx", "A 30510-2024")</f>
        <v/>
      </c>
      <c r="T116">
        <f>HYPERLINK("https://klasma.github.io/Logging_0360/kartor/A 30510-2024 karta.png", "A 30510-2024")</f>
        <v/>
      </c>
      <c r="V116">
        <f>HYPERLINK("https://klasma.github.io/Logging_0360/klagomål/A 30510-2024 FSC-klagomål.docx", "A 30510-2024")</f>
        <v/>
      </c>
      <c r="W116">
        <f>HYPERLINK("https://klasma.github.io/Logging_0360/klagomålsmail/A 30510-2024 FSC-klagomål mail.docx", "A 30510-2024")</f>
        <v/>
      </c>
      <c r="X116">
        <f>HYPERLINK("https://klasma.github.io/Logging_0360/tillsyn/A 30510-2024 tillsynsbegäran.docx", "A 30510-2024")</f>
        <v/>
      </c>
      <c r="Y116">
        <f>HYPERLINK("https://klasma.github.io/Logging_0360/tillsynsmail/A 30510-2024 tillsynsbegäran mail.docx", "A 30510-2024")</f>
        <v/>
      </c>
      <c r="Z116">
        <f>HYPERLINK("https://klasma.github.io/Logging_0360/fåglar/A 30510-2024 prioriterade fågelarter.docx", "A 30510-2024")</f>
        <v/>
      </c>
    </row>
    <row r="117" ht="15" customHeight="1">
      <c r="A117" t="inlineStr">
        <is>
          <t>A 34464-2024</t>
        </is>
      </c>
      <c r="B117" s="1" t="n">
        <v>45525</v>
      </c>
      <c r="C117" s="1" t="n">
        <v>45796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öst AB</t>
        </is>
      </c>
      <c r="G117" t="n">
        <v>0.9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Svart trolldruva</t>
        </is>
      </c>
      <c r="S117">
        <f>HYPERLINK("https://klasma.github.io/Logging_0360/artfynd/A 34464-2024 artfynd.xlsx", "A 34464-2024")</f>
        <v/>
      </c>
      <c r="T117">
        <f>HYPERLINK("https://klasma.github.io/Logging_0360/kartor/A 34464-2024 karta.png", "A 34464-2024")</f>
        <v/>
      </c>
      <c r="V117">
        <f>HYPERLINK("https://klasma.github.io/Logging_0360/klagomål/A 34464-2024 FSC-klagomål.docx", "A 34464-2024")</f>
        <v/>
      </c>
      <c r="W117">
        <f>HYPERLINK("https://klasma.github.io/Logging_0360/klagomålsmail/A 34464-2024 FSC-klagomål mail.docx", "A 34464-2024")</f>
        <v/>
      </c>
      <c r="X117">
        <f>HYPERLINK("https://klasma.github.io/Logging_0360/tillsyn/A 34464-2024 tillsynsbegäran.docx", "A 34464-2024")</f>
        <v/>
      </c>
      <c r="Y117">
        <f>HYPERLINK("https://klasma.github.io/Logging_0360/tillsynsmail/A 34464-2024 tillsynsbegäran mail.docx", "A 34464-2024")</f>
        <v/>
      </c>
    </row>
    <row r="118" ht="15" customHeight="1">
      <c r="A118" t="inlineStr">
        <is>
          <t>A 36785-2024</t>
        </is>
      </c>
      <c r="B118" s="1" t="n">
        <v>45538</v>
      </c>
      <c r="C118" s="1" t="n">
        <v>45796</v>
      </c>
      <c r="D118" t="inlineStr">
        <is>
          <t>UPPSALA LÄN</t>
        </is>
      </c>
      <c r="E118" t="inlineStr">
        <is>
          <t>TIERP</t>
        </is>
      </c>
      <c r="G118" t="n">
        <v>4.4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HYPERLINK("https://klasma.github.io/Logging_0360/artfynd/A 36785-2024 artfynd.xlsx", "A 36785-2024")</f>
        <v/>
      </c>
      <c r="T118">
        <f>HYPERLINK("https://klasma.github.io/Logging_0360/kartor/A 36785-2024 karta.png", "A 36785-2024")</f>
        <v/>
      </c>
      <c r="V118">
        <f>HYPERLINK("https://klasma.github.io/Logging_0360/klagomål/A 36785-2024 FSC-klagomål.docx", "A 36785-2024")</f>
        <v/>
      </c>
      <c r="W118">
        <f>HYPERLINK("https://klasma.github.io/Logging_0360/klagomålsmail/A 36785-2024 FSC-klagomål mail.docx", "A 36785-2024")</f>
        <v/>
      </c>
      <c r="X118">
        <f>HYPERLINK("https://klasma.github.io/Logging_0360/tillsyn/A 36785-2024 tillsynsbegäran.docx", "A 36785-2024")</f>
        <v/>
      </c>
      <c r="Y118">
        <f>HYPERLINK("https://klasma.github.io/Logging_0360/tillsynsmail/A 36785-2024 tillsynsbegäran mail.docx", "A 36785-2024")</f>
        <v/>
      </c>
    </row>
    <row r="119" ht="15" customHeight="1">
      <c r="A119" t="inlineStr">
        <is>
          <t>A 40720-2024</t>
        </is>
      </c>
      <c r="B119" s="1" t="n">
        <v>45558</v>
      </c>
      <c r="C119" s="1" t="n">
        <v>45796</v>
      </c>
      <c r="D119" t="inlineStr">
        <is>
          <t>UPPSALA LÄN</t>
        </is>
      </c>
      <c r="E119" t="inlineStr">
        <is>
          <t>TIERP</t>
        </is>
      </c>
      <c r="G119" t="n">
        <v>0.7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Gulsparv</t>
        </is>
      </c>
      <c r="S119">
        <f>HYPERLINK("https://klasma.github.io/Logging_0360/artfynd/A 40720-2024 artfynd.xlsx", "A 40720-2024")</f>
        <v/>
      </c>
      <c r="T119">
        <f>HYPERLINK("https://klasma.github.io/Logging_0360/kartor/A 40720-2024 karta.png", "A 40720-2024")</f>
        <v/>
      </c>
      <c r="V119">
        <f>HYPERLINK("https://klasma.github.io/Logging_0360/klagomål/A 40720-2024 FSC-klagomål.docx", "A 40720-2024")</f>
        <v/>
      </c>
      <c r="W119">
        <f>HYPERLINK("https://klasma.github.io/Logging_0360/klagomålsmail/A 40720-2024 FSC-klagomål mail.docx", "A 40720-2024")</f>
        <v/>
      </c>
      <c r="X119">
        <f>HYPERLINK("https://klasma.github.io/Logging_0360/tillsyn/A 40720-2024 tillsynsbegäran.docx", "A 40720-2024")</f>
        <v/>
      </c>
      <c r="Y119">
        <f>HYPERLINK("https://klasma.github.io/Logging_0360/tillsynsmail/A 40720-2024 tillsynsbegäran mail.docx", "A 40720-2024")</f>
        <v/>
      </c>
      <c r="Z119">
        <f>HYPERLINK("https://klasma.github.io/Logging_0360/fåglar/A 40720-2024 prioriterade fågelarter.docx", "A 40720-2024")</f>
        <v/>
      </c>
    </row>
    <row r="120" ht="15" customHeight="1">
      <c r="A120" t="inlineStr">
        <is>
          <t>A 46527-2024</t>
        </is>
      </c>
      <c r="B120" s="1" t="n">
        <v>45582</v>
      </c>
      <c r="C120" s="1" t="n">
        <v>45796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väst AB</t>
        </is>
      </c>
      <c r="G120" t="n">
        <v>7.2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Rödgul trumpetsvamp</t>
        </is>
      </c>
      <c r="S120">
        <f>HYPERLINK("https://klasma.github.io/Logging_0360/artfynd/A 46527-2024 artfynd.xlsx", "A 46527-2024")</f>
        <v/>
      </c>
      <c r="T120">
        <f>HYPERLINK("https://klasma.github.io/Logging_0360/kartor/A 46527-2024 karta.png", "A 46527-2024")</f>
        <v/>
      </c>
      <c r="V120">
        <f>HYPERLINK("https://klasma.github.io/Logging_0360/klagomål/A 46527-2024 FSC-klagomål.docx", "A 46527-2024")</f>
        <v/>
      </c>
      <c r="W120">
        <f>HYPERLINK("https://klasma.github.io/Logging_0360/klagomålsmail/A 46527-2024 FSC-klagomål mail.docx", "A 46527-2024")</f>
        <v/>
      </c>
      <c r="X120">
        <f>HYPERLINK("https://klasma.github.io/Logging_0360/tillsyn/A 46527-2024 tillsynsbegäran.docx", "A 46527-2024")</f>
        <v/>
      </c>
      <c r="Y120">
        <f>HYPERLINK("https://klasma.github.io/Logging_0360/tillsynsmail/A 46527-2024 tillsynsbegäran mail.docx", "A 46527-2024")</f>
        <v/>
      </c>
    </row>
    <row r="121" ht="15" customHeight="1">
      <c r="A121" t="inlineStr">
        <is>
          <t>A 49692-2024</t>
        </is>
      </c>
      <c r="B121" s="1" t="n">
        <v>45596</v>
      </c>
      <c r="C121" s="1" t="n">
        <v>45796</v>
      </c>
      <c r="D121" t="inlineStr">
        <is>
          <t>UPPSALA LÄN</t>
        </is>
      </c>
      <c r="E121" t="inlineStr">
        <is>
          <t>TIERP</t>
        </is>
      </c>
      <c r="G121" t="n">
        <v>3.7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HYPERLINK("https://klasma.github.io/Logging_0360/artfynd/A 49692-2024 artfynd.xlsx", "A 49692-2024")</f>
        <v/>
      </c>
      <c r="T121">
        <f>HYPERLINK("https://klasma.github.io/Logging_0360/kartor/A 49692-2024 karta.png", "A 49692-2024")</f>
        <v/>
      </c>
      <c r="V121">
        <f>HYPERLINK("https://klasma.github.io/Logging_0360/klagomål/A 49692-2024 FSC-klagomål.docx", "A 49692-2024")</f>
        <v/>
      </c>
      <c r="W121">
        <f>HYPERLINK("https://klasma.github.io/Logging_0360/klagomålsmail/A 49692-2024 FSC-klagomål mail.docx", "A 49692-2024")</f>
        <v/>
      </c>
      <c r="X121">
        <f>HYPERLINK("https://klasma.github.io/Logging_0360/tillsyn/A 49692-2024 tillsynsbegäran.docx", "A 49692-2024")</f>
        <v/>
      </c>
      <c r="Y121">
        <f>HYPERLINK("https://klasma.github.io/Logging_0360/tillsynsmail/A 49692-2024 tillsynsbegäran mail.docx", "A 49692-2024")</f>
        <v/>
      </c>
    </row>
    <row r="122" ht="15" customHeight="1">
      <c r="A122" t="inlineStr">
        <is>
          <t>A 55331-2024</t>
        </is>
      </c>
      <c r="B122" s="1" t="n">
        <v>45621</v>
      </c>
      <c r="C122" s="1" t="n">
        <v>45796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väst AB</t>
        </is>
      </c>
      <c r="G122" t="n">
        <v>7.3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HYPERLINK("https://klasma.github.io/Logging_0360/artfynd/A 55331-2024 artfynd.xlsx", "A 55331-2024")</f>
        <v/>
      </c>
      <c r="T122">
        <f>HYPERLINK("https://klasma.github.io/Logging_0360/kartor/A 55331-2024 karta.png", "A 55331-2024")</f>
        <v/>
      </c>
      <c r="V122">
        <f>HYPERLINK("https://klasma.github.io/Logging_0360/klagomål/A 55331-2024 FSC-klagomål.docx", "A 55331-2024")</f>
        <v/>
      </c>
      <c r="W122">
        <f>HYPERLINK("https://klasma.github.io/Logging_0360/klagomålsmail/A 55331-2024 FSC-klagomål mail.docx", "A 55331-2024")</f>
        <v/>
      </c>
      <c r="X122">
        <f>HYPERLINK("https://klasma.github.io/Logging_0360/tillsyn/A 55331-2024 tillsynsbegäran.docx", "A 55331-2024")</f>
        <v/>
      </c>
      <c r="Y122">
        <f>HYPERLINK("https://klasma.github.io/Logging_0360/tillsynsmail/A 55331-2024 tillsynsbegäran mail.docx", "A 55331-2024")</f>
        <v/>
      </c>
      <c r="Z122">
        <f>HYPERLINK("https://klasma.github.io/Logging_0360/fåglar/A 55331-2024 prioriterade fågelarter.docx", "A 55331-2024")</f>
        <v/>
      </c>
    </row>
    <row r="123" ht="15" customHeight="1">
      <c r="A123" t="inlineStr">
        <is>
          <t>A 57398-2024</t>
        </is>
      </c>
      <c r="B123" s="1" t="n">
        <v>45629</v>
      </c>
      <c r="C123" s="1" t="n">
        <v>45796</v>
      </c>
      <c r="D123" t="inlineStr">
        <is>
          <t>UPPSALA LÄN</t>
        </is>
      </c>
      <c r="E123" t="inlineStr">
        <is>
          <t>TIERP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Ängsskäreplattmal</t>
        </is>
      </c>
      <c r="S123">
        <f>HYPERLINK("https://klasma.github.io/Logging_0360/artfynd/A 57398-2024 artfynd.xlsx", "A 57398-2024")</f>
        <v/>
      </c>
      <c r="T123">
        <f>HYPERLINK("https://klasma.github.io/Logging_0360/kartor/A 57398-2024 karta.png", "A 57398-2024")</f>
        <v/>
      </c>
      <c r="V123">
        <f>HYPERLINK("https://klasma.github.io/Logging_0360/klagomål/A 57398-2024 FSC-klagomål.docx", "A 57398-2024")</f>
        <v/>
      </c>
      <c r="W123">
        <f>HYPERLINK("https://klasma.github.io/Logging_0360/klagomålsmail/A 57398-2024 FSC-klagomål mail.docx", "A 57398-2024")</f>
        <v/>
      </c>
      <c r="X123">
        <f>HYPERLINK("https://klasma.github.io/Logging_0360/tillsyn/A 57398-2024 tillsynsbegäran.docx", "A 57398-2024")</f>
        <v/>
      </c>
      <c r="Y123">
        <f>HYPERLINK("https://klasma.github.io/Logging_0360/tillsynsmail/A 57398-2024 tillsynsbegäran mail.docx", "A 57398-2024")</f>
        <v/>
      </c>
    </row>
    <row r="124" ht="15" customHeight="1">
      <c r="A124" t="inlineStr">
        <is>
          <t>A 58107-2024</t>
        </is>
      </c>
      <c r="B124" s="1" t="n">
        <v>45632</v>
      </c>
      <c r="C124" s="1" t="n">
        <v>45796</v>
      </c>
      <c r="D124" t="inlineStr">
        <is>
          <t>UPPSALA LÄN</t>
        </is>
      </c>
      <c r="E124" t="inlineStr">
        <is>
          <t>TIERP</t>
        </is>
      </c>
      <c r="G124" t="n">
        <v>0.6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Skogsknipprot</t>
        </is>
      </c>
      <c r="S124">
        <f>HYPERLINK("https://klasma.github.io/Logging_0360/artfynd/A 58107-2024 artfynd.xlsx", "A 58107-2024")</f>
        <v/>
      </c>
      <c r="T124">
        <f>HYPERLINK("https://klasma.github.io/Logging_0360/kartor/A 58107-2024 karta.png", "A 58107-2024")</f>
        <v/>
      </c>
      <c r="V124">
        <f>HYPERLINK("https://klasma.github.io/Logging_0360/klagomål/A 58107-2024 FSC-klagomål.docx", "A 58107-2024")</f>
        <v/>
      </c>
      <c r="W124">
        <f>HYPERLINK("https://klasma.github.io/Logging_0360/klagomålsmail/A 58107-2024 FSC-klagomål mail.docx", "A 58107-2024")</f>
        <v/>
      </c>
      <c r="X124">
        <f>HYPERLINK("https://klasma.github.io/Logging_0360/tillsyn/A 58107-2024 tillsynsbegäran.docx", "A 58107-2024")</f>
        <v/>
      </c>
      <c r="Y124">
        <f>HYPERLINK("https://klasma.github.io/Logging_0360/tillsynsmail/A 58107-2024 tillsynsbegäran mail.docx", "A 58107-2024")</f>
        <v/>
      </c>
    </row>
    <row r="125" ht="15" customHeight="1">
      <c r="A125" t="inlineStr">
        <is>
          <t>A 59117-2024</t>
        </is>
      </c>
      <c r="B125" s="1" t="n">
        <v>45637</v>
      </c>
      <c r="C125" s="1" t="n">
        <v>45796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öst AB</t>
        </is>
      </c>
      <c r="G125" t="n">
        <v>14.9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Fjällig taggsvamp s.str.</t>
        </is>
      </c>
      <c r="S125">
        <f>HYPERLINK("https://klasma.github.io/Logging_0360/artfynd/A 59117-2024 artfynd.xlsx", "A 59117-2024")</f>
        <v/>
      </c>
      <c r="T125">
        <f>HYPERLINK("https://klasma.github.io/Logging_0360/kartor/A 59117-2024 karta.png", "A 59117-2024")</f>
        <v/>
      </c>
      <c r="V125">
        <f>HYPERLINK("https://klasma.github.io/Logging_0360/klagomål/A 59117-2024 FSC-klagomål.docx", "A 59117-2024")</f>
        <v/>
      </c>
      <c r="W125">
        <f>HYPERLINK("https://klasma.github.io/Logging_0360/klagomålsmail/A 59117-2024 FSC-klagomål mail.docx", "A 59117-2024")</f>
        <v/>
      </c>
      <c r="X125">
        <f>HYPERLINK("https://klasma.github.io/Logging_0360/tillsyn/A 59117-2024 tillsynsbegäran.docx", "A 59117-2024")</f>
        <v/>
      </c>
      <c r="Y125">
        <f>HYPERLINK("https://klasma.github.io/Logging_0360/tillsynsmail/A 59117-2024 tillsynsbegäran mail.docx", "A 59117-2024")</f>
        <v/>
      </c>
    </row>
    <row r="126" ht="15" customHeight="1">
      <c r="A126" t="inlineStr">
        <is>
          <t>A 2731-2025</t>
        </is>
      </c>
      <c r="B126" s="1" t="n">
        <v>45677</v>
      </c>
      <c r="C126" s="1" t="n">
        <v>45796</v>
      </c>
      <c r="D126" t="inlineStr">
        <is>
          <t>UPPSALA LÄN</t>
        </is>
      </c>
      <c r="E126" t="inlineStr">
        <is>
          <t>TIERP</t>
        </is>
      </c>
      <c r="G126" t="n">
        <v>5.8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Rödvingetrast</t>
        </is>
      </c>
      <c r="S126">
        <f>HYPERLINK("https://klasma.github.io/Logging_0360/artfynd/A 2731-2025 artfynd.xlsx", "A 2731-2025")</f>
        <v/>
      </c>
      <c r="T126">
        <f>HYPERLINK("https://klasma.github.io/Logging_0360/kartor/A 2731-2025 karta.png", "A 2731-2025")</f>
        <v/>
      </c>
      <c r="V126">
        <f>HYPERLINK("https://klasma.github.io/Logging_0360/klagomål/A 2731-2025 FSC-klagomål.docx", "A 2731-2025")</f>
        <v/>
      </c>
      <c r="W126">
        <f>HYPERLINK("https://klasma.github.io/Logging_0360/klagomålsmail/A 2731-2025 FSC-klagomål mail.docx", "A 2731-2025")</f>
        <v/>
      </c>
      <c r="X126">
        <f>HYPERLINK("https://klasma.github.io/Logging_0360/tillsyn/A 2731-2025 tillsynsbegäran.docx", "A 2731-2025")</f>
        <v/>
      </c>
      <c r="Y126">
        <f>HYPERLINK("https://klasma.github.io/Logging_0360/tillsynsmail/A 2731-2025 tillsynsbegäran mail.docx", "A 2731-2025")</f>
        <v/>
      </c>
      <c r="Z126">
        <f>HYPERLINK("https://klasma.github.io/Logging_0360/fåglar/A 2731-2025 prioriterade fågelarter.docx", "A 2731-2025")</f>
        <v/>
      </c>
    </row>
    <row r="127" ht="15" customHeight="1">
      <c r="A127" t="inlineStr">
        <is>
          <t>A 3853-2025</t>
        </is>
      </c>
      <c r="B127" s="1" t="n">
        <v>45683</v>
      </c>
      <c r="C127" s="1" t="n">
        <v>45796</v>
      </c>
      <c r="D127" t="inlineStr">
        <is>
          <t>UPPSALA LÄN</t>
        </is>
      </c>
      <c r="E127" t="inlineStr">
        <is>
          <t>TIERP</t>
        </is>
      </c>
      <c r="G127" t="n">
        <v>1.4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Tvåblad</t>
        </is>
      </c>
      <c r="S127">
        <f>HYPERLINK("https://klasma.github.io/Logging_0360/artfynd/A 3853-2025 artfynd.xlsx", "A 3853-2025")</f>
        <v/>
      </c>
      <c r="T127">
        <f>HYPERLINK("https://klasma.github.io/Logging_0360/kartor/A 3853-2025 karta.png", "A 3853-2025")</f>
        <v/>
      </c>
      <c r="V127">
        <f>HYPERLINK("https://klasma.github.io/Logging_0360/klagomål/A 3853-2025 FSC-klagomål.docx", "A 3853-2025")</f>
        <v/>
      </c>
      <c r="W127">
        <f>HYPERLINK("https://klasma.github.io/Logging_0360/klagomålsmail/A 3853-2025 FSC-klagomål mail.docx", "A 3853-2025")</f>
        <v/>
      </c>
      <c r="X127">
        <f>HYPERLINK("https://klasma.github.io/Logging_0360/tillsyn/A 3853-2025 tillsynsbegäran.docx", "A 3853-2025")</f>
        <v/>
      </c>
      <c r="Y127">
        <f>HYPERLINK("https://klasma.github.io/Logging_0360/tillsynsmail/A 3853-2025 tillsynsbegäran mail.docx", "A 3853-2025")</f>
        <v/>
      </c>
    </row>
    <row r="128" ht="15" customHeight="1">
      <c r="A128" t="inlineStr">
        <is>
          <t>A 4473-2025</t>
        </is>
      </c>
      <c r="B128" s="1" t="n">
        <v>45686</v>
      </c>
      <c r="C128" s="1" t="n">
        <v>45796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7.8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Grönpyrola</t>
        </is>
      </c>
      <c r="S128">
        <f>HYPERLINK("https://klasma.github.io/Logging_0360/artfynd/A 4473-2025 artfynd.xlsx", "A 4473-2025")</f>
        <v/>
      </c>
      <c r="T128">
        <f>HYPERLINK("https://klasma.github.io/Logging_0360/kartor/A 4473-2025 karta.png", "A 4473-2025")</f>
        <v/>
      </c>
      <c r="V128">
        <f>HYPERLINK("https://klasma.github.io/Logging_0360/klagomål/A 4473-2025 FSC-klagomål.docx", "A 4473-2025")</f>
        <v/>
      </c>
      <c r="W128">
        <f>HYPERLINK("https://klasma.github.io/Logging_0360/klagomålsmail/A 4473-2025 FSC-klagomål mail.docx", "A 4473-2025")</f>
        <v/>
      </c>
      <c r="X128">
        <f>HYPERLINK("https://klasma.github.io/Logging_0360/tillsyn/A 4473-2025 tillsynsbegäran.docx", "A 4473-2025")</f>
        <v/>
      </c>
      <c r="Y128">
        <f>HYPERLINK("https://klasma.github.io/Logging_0360/tillsynsmail/A 4473-2025 tillsynsbegäran mail.docx", "A 4473-2025")</f>
        <v/>
      </c>
    </row>
    <row r="129" ht="15" customHeight="1">
      <c r="A129" t="inlineStr">
        <is>
          <t>A 6829-2025</t>
        </is>
      </c>
      <c r="B129" s="1" t="n">
        <v>45700</v>
      </c>
      <c r="C129" s="1" t="n">
        <v>45796</v>
      </c>
      <c r="D129" t="inlineStr">
        <is>
          <t>UPPSALA LÄN</t>
        </is>
      </c>
      <c r="E129" t="inlineStr">
        <is>
          <t>TIERP</t>
        </is>
      </c>
      <c r="G129" t="n">
        <v>5.1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Tibast</t>
        </is>
      </c>
      <c r="S129">
        <f>HYPERLINK("https://klasma.github.io/Logging_0360/artfynd/A 6829-2025 artfynd.xlsx", "A 6829-2025")</f>
        <v/>
      </c>
      <c r="T129">
        <f>HYPERLINK("https://klasma.github.io/Logging_0360/kartor/A 6829-2025 karta.png", "A 6829-2025")</f>
        <v/>
      </c>
      <c r="V129">
        <f>HYPERLINK("https://klasma.github.io/Logging_0360/klagomål/A 6829-2025 FSC-klagomål.docx", "A 6829-2025")</f>
        <v/>
      </c>
      <c r="W129">
        <f>HYPERLINK("https://klasma.github.io/Logging_0360/klagomålsmail/A 6829-2025 FSC-klagomål mail.docx", "A 6829-2025")</f>
        <v/>
      </c>
      <c r="X129">
        <f>HYPERLINK("https://klasma.github.io/Logging_0360/tillsyn/A 6829-2025 tillsynsbegäran.docx", "A 6829-2025")</f>
        <v/>
      </c>
      <c r="Y129">
        <f>HYPERLINK("https://klasma.github.io/Logging_0360/tillsynsmail/A 6829-2025 tillsynsbegäran mail.docx", "A 6829-2025")</f>
        <v/>
      </c>
    </row>
    <row r="130" ht="15" customHeight="1">
      <c r="A130" t="inlineStr">
        <is>
          <t>A 7983-2025</t>
        </is>
      </c>
      <c r="B130" s="1" t="n">
        <v>45707</v>
      </c>
      <c r="C130" s="1" t="n">
        <v>45796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öst AB</t>
        </is>
      </c>
      <c r="G130" t="n">
        <v>2.2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HYPERLINK("https://klasma.github.io/Logging_0360/artfynd/A 7983-2025 artfynd.xlsx", "A 7983-2025")</f>
        <v/>
      </c>
      <c r="T130">
        <f>HYPERLINK("https://klasma.github.io/Logging_0360/kartor/A 7983-2025 karta.png", "A 7983-2025")</f>
        <v/>
      </c>
      <c r="U130">
        <f>HYPERLINK("https://klasma.github.io/Logging_0360/knärot/A 7983-2025 karta knärot.png", "A 7983-2025")</f>
        <v/>
      </c>
      <c r="V130">
        <f>HYPERLINK("https://klasma.github.io/Logging_0360/klagomål/A 7983-2025 FSC-klagomål.docx", "A 7983-2025")</f>
        <v/>
      </c>
      <c r="W130">
        <f>HYPERLINK("https://klasma.github.io/Logging_0360/klagomålsmail/A 7983-2025 FSC-klagomål mail.docx", "A 7983-2025")</f>
        <v/>
      </c>
      <c r="X130">
        <f>HYPERLINK("https://klasma.github.io/Logging_0360/tillsyn/A 7983-2025 tillsynsbegäran.docx", "A 7983-2025")</f>
        <v/>
      </c>
      <c r="Y130">
        <f>HYPERLINK("https://klasma.github.io/Logging_0360/tillsynsmail/A 7983-2025 tillsynsbegäran mail.docx", "A 7983-2025")</f>
        <v/>
      </c>
    </row>
    <row r="131" ht="15" customHeight="1">
      <c r="A131" t="inlineStr">
        <is>
          <t>A 10853-2025</t>
        </is>
      </c>
      <c r="B131" s="1" t="n">
        <v>45722</v>
      </c>
      <c r="C131" s="1" t="n">
        <v>45796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2.2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HYPERLINK("https://klasma.github.io/Logging_030360/artfynd/A 10853-2025 artfynd.xlsx", "A 10853-2025")</f>
        <v/>
      </c>
      <c r="T131">
        <f>HYPERLINK("https://klasma.github.io/Logging_030360/kartor/A 10853-2025 karta.png", "A 10853-2025")</f>
        <v/>
      </c>
      <c r="V131">
        <f>HYPERLINK("https://klasma.github.io/Logging_030360/klagomål/A 10853-2025 FSC-klagomål.docx", "A 10853-2025")</f>
        <v/>
      </c>
      <c r="W131">
        <f>HYPERLINK("https://klasma.github.io/Logging_030360/klagomålsmail/A 10853-2025 FSC-klagomål mail.docx", "A 10853-2025")</f>
        <v/>
      </c>
      <c r="X131">
        <f>HYPERLINK("https://klasma.github.io/Logging_030360/tillsyn/A 10853-2025 tillsynsbegäran.docx", "A 10853-2025")</f>
        <v/>
      </c>
      <c r="Y131">
        <f>HYPERLINK("https://klasma.github.io/Logging_030360/tillsynsmail/A 10853-2025 tillsynsbegäran mail.docx", "A 10853-2025")</f>
        <v/>
      </c>
    </row>
    <row r="132" ht="15" customHeight="1">
      <c r="A132" t="inlineStr">
        <is>
          <t>A 10844-2025</t>
        </is>
      </c>
      <c r="B132" s="1" t="n">
        <v>45722</v>
      </c>
      <c r="C132" s="1" t="n">
        <v>45796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öst AB</t>
        </is>
      </c>
      <c r="G132" t="n">
        <v>4.3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HYPERLINK("https://klasma.github.io/Logging_030360/artfynd/A 10844-2025 artfynd.xlsx", "A 10844-2025")</f>
        <v/>
      </c>
      <c r="T132">
        <f>HYPERLINK("https://klasma.github.io/Logging_030360/kartor/A 10844-2025 karta.png", "A 10844-2025")</f>
        <v/>
      </c>
      <c r="V132">
        <f>HYPERLINK("https://klasma.github.io/Logging_030360/klagomål/A 10844-2025 FSC-klagomål.docx", "A 10844-2025")</f>
        <v/>
      </c>
      <c r="W132">
        <f>HYPERLINK("https://klasma.github.io/Logging_030360/klagomålsmail/A 10844-2025 FSC-klagomål mail.docx", "A 10844-2025")</f>
        <v/>
      </c>
      <c r="X132">
        <f>HYPERLINK("https://klasma.github.io/Logging_030360/tillsyn/A 10844-2025 tillsynsbegäran.docx", "A 10844-2025")</f>
        <v/>
      </c>
      <c r="Y132">
        <f>HYPERLINK("https://klasma.github.io/Logging_030360/tillsynsmail/A 10844-2025 tillsynsbegäran mail.docx", "A 10844-2025")</f>
        <v/>
      </c>
    </row>
    <row r="133" ht="15" customHeight="1">
      <c r="A133" t="inlineStr">
        <is>
          <t>A 10848-2025</t>
        </is>
      </c>
      <c r="B133" s="1" t="n">
        <v>45722</v>
      </c>
      <c r="C133" s="1" t="n">
        <v>45796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1.9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Talltita</t>
        </is>
      </c>
      <c r="S133">
        <f>HYPERLINK("https://klasma.github.io/Logging_030360/artfynd/A 10848-2025 artfynd.xlsx", "A 10848-2025")</f>
        <v/>
      </c>
      <c r="T133">
        <f>HYPERLINK("https://klasma.github.io/Logging_030360/kartor/A 10848-2025 karta.png", "A 10848-2025")</f>
        <v/>
      </c>
      <c r="V133">
        <f>HYPERLINK("https://klasma.github.io/Logging_030360/klagomål/A 10848-2025 FSC-klagomål.docx", "A 10848-2025")</f>
        <v/>
      </c>
      <c r="W133">
        <f>HYPERLINK("https://klasma.github.io/Logging_030360/klagomålsmail/A 10848-2025 FSC-klagomål mail.docx", "A 10848-2025")</f>
        <v/>
      </c>
      <c r="X133">
        <f>HYPERLINK("https://klasma.github.io/Logging_030360/tillsyn/A 10848-2025 tillsynsbegäran.docx", "A 10848-2025")</f>
        <v/>
      </c>
      <c r="Y133">
        <f>HYPERLINK("https://klasma.github.io/Logging_030360/tillsynsmail/A 10848-2025 tillsynsbegäran mail.docx", "A 10848-2025")</f>
        <v/>
      </c>
      <c r="Z133">
        <f>HYPERLINK("https://klasma.github.io/Logging_030360/fåglar/A 10848-2025 prioriterade fågelarter.docx", "A 10848-2025")</f>
        <v/>
      </c>
    </row>
    <row r="134" ht="15" customHeight="1">
      <c r="A134" t="inlineStr">
        <is>
          <t>A 13205-2025</t>
        </is>
      </c>
      <c r="B134" s="1" t="n">
        <v>45735</v>
      </c>
      <c r="C134" s="1" t="n">
        <v>45796</v>
      </c>
      <c r="D134" t="inlineStr">
        <is>
          <t>UPPSALA LÄN</t>
        </is>
      </c>
      <c r="E134" t="inlineStr">
        <is>
          <t>TIERP</t>
        </is>
      </c>
      <c r="G134" t="n">
        <v>8.6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Fjällig taggsvamp s.str.</t>
        </is>
      </c>
      <c r="S134">
        <f>HYPERLINK("https://klasma.github.io/Logging_030360/artfynd/A 13205-2025 artfynd.xlsx", "A 13205-2025")</f>
        <v/>
      </c>
      <c r="T134">
        <f>HYPERLINK("https://klasma.github.io/Logging_030360/kartor/A 13205-2025 karta.png", "A 13205-2025")</f>
        <v/>
      </c>
      <c r="V134">
        <f>HYPERLINK("https://klasma.github.io/Logging_030360/klagomål/A 13205-2025 FSC-klagomål.docx", "A 13205-2025")</f>
        <v/>
      </c>
      <c r="W134">
        <f>HYPERLINK("https://klasma.github.io/Logging_030360/klagomålsmail/A 13205-2025 FSC-klagomål mail.docx", "A 13205-2025")</f>
        <v/>
      </c>
      <c r="X134">
        <f>HYPERLINK("https://klasma.github.io/Logging_030360/tillsyn/A 13205-2025 tillsynsbegäran.docx", "A 13205-2025")</f>
        <v/>
      </c>
      <c r="Y134">
        <f>HYPERLINK("https://klasma.github.io/Logging_030360/tillsynsmail/A 13205-2025 tillsynsbegäran mail.docx", "A 13205-2025")</f>
        <v/>
      </c>
    </row>
    <row r="135" ht="15" customHeight="1">
      <c r="A135" t="inlineStr">
        <is>
          <t>A 14515-2025</t>
        </is>
      </c>
      <c r="B135" s="1" t="n">
        <v>45741</v>
      </c>
      <c r="C135" s="1" t="n">
        <v>45796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7.7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Talltita</t>
        </is>
      </c>
      <c r="S135">
        <f>HYPERLINK("https://klasma.github.io/Logging_030360/artfynd/A 14515-2025 artfynd.xlsx", "A 14515-2025")</f>
        <v/>
      </c>
      <c r="T135">
        <f>HYPERLINK("https://klasma.github.io/Logging_030360/kartor/A 14515-2025 karta.png", "A 14515-2025")</f>
        <v/>
      </c>
      <c r="V135">
        <f>HYPERLINK("https://klasma.github.io/Logging_030360/klagomål/A 14515-2025 FSC-klagomål.docx", "A 14515-2025")</f>
        <v/>
      </c>
      <c r="W135">
        <f>HYPERLINK("https://klasma.github.io/Logging_030360/klagomålsmail/A 14515-2025 FSC-klagomål mail.docx", "A 14515-2025")</f>
        <v/>
      </c>
      <c r="X135">
        <f>HYPERLINK("https://klasma.github.io/Logging_030360/tillsyn/A 14515-2025 tillsynsbegäran.docx", "A 14515-2025")</f>
        <v/>
      </c>
      <c r="Y135">
        <f>HYPERLINK("https://klasma.github.io/Logging_030360/tillsynsmail/A 14515-2025 tillsynsbegäran mail.docx", "A 14515-2025")</f>
        <v/>
      </c>
      <c r="Z135">
        <f>HYPERLINK("https://klasma.github.io/Logging_030360/fåglar/A 14515-2025 prioriterade fågelarter.docx", "A 14515-2025")</f>
        <v/>
      </c>
    </row>
    <row r="136" ht="15" customHeight="1">
      <c r="A136" t="inlineStr">
        <is>
          <t>A 15680-2025</t>
        </is>
      </c>
      <c r="B136" s="1" t="n">
        <v>45748</v>
      </c>
      <c r="C136" s="1" t="n">
        <v>45796</v>
      </c>
      <c r="D136" t="inlineStr">
        <is>
          <t>UPPSALA LÄN</t>
        </is>
      </c>
      <c r="E136" t="inlineStr">
        <is>
          <t>TIERP</t>
        </is>
      </c>
      <c r="F136" t="inlineStr">
        <is>
          <t>Kyrkan</t>
        </is>
      </c>
      <c r="G136" t="n">
        <v>13.5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HYPERLINK("https://klasma.github.io/Logging_030360/artfynd/A 15680-2025 artfynd.xlsx", "A 15680-2025")</f>
        <v/>
      </c>
      <c r="T136">
        <f>HYPERLINK("https://klasma.github.io/Logging_030360/kartor/A 15680-2025 karta.png", "A 15680-2025")</f>
        <v/>
      </c>
      <c r="V136">
        <f>HYPERLINK("https://klasma.github.io/Logging_030360/klagomål/A 15680-2025 FSC-klagomål.docx", "A 15680-2025")</f>
        <v/>
      </c>
      <c r="W136">
        <f>HYPERLINK("https://klasma.github.io/Logging_030360/klagomålsmail/A 15680-2025 FSC-klagomål mail.docx", "A 15680-2025")</f>
        <v/>
      </c>
      <c r="X136">
        <f>HYPERLINK("https://klasma.github.io/Logging_030360/tillsyn/A 15680-2025 tillsynsbegäran.docx", "A 15680-2025")</f>
        <v/>
      </c>
      <c r="Y136">
        <f>HYPERLINK("https://klasma.github.io/Logging_030360/tillsynsmail/A 15680-2025 tillsynsbegäran mail.docx", "A 15680-2025")</f>
        <v/>
      </c>
    </row>
    <row r="137" ht="15" customHeight="1">
      <c r="A137" t="inlineStr">
        <is>
          <t>A 16733-2025</t>
        </is>
      </c>
      <c r="B137" s="1" t="n">
        <v>45754</v>
      </c>
      <c r="C137" s="1" t="n">
        <v>45796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4.5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Rödbrun blekspik</t>
        </is>
      </c>
      <c r="S137">
        <f>HYPERLINK("https://klasma.github.io/Logging_030360/artfynd/A 16733-2025 artfynd.xlsx", "A 16733-2025")</f>
        <v/>
      </c>
      <c r="T137">
        <f>HYPERLINK("https://klasma.github.io/Logging_030360/kartor/A 16733-2025 karta.png", "A 16733-2025")</f>
        <v/>
      </c>
      <c r="V137">
        <f>HYPERLINK("https://klasma.github.io/Logging_030360/klagomål/A 16733-2025 FSC-klagomål.docx", "A 16733-2025")</f>
        <v/>
      </c>
      <c r="W137">
        <f>HYPERLINK("https://klasma.github.io/Logging_030360/klagomålsmail/A 16733-2025 FSC-klagomål mail.docx", "A 16733-2025")</f>
        <v/>
      </c>
      <c r="X137">
        <f>HYPERLINK("https://klasma.github.io/Logging_030360/tillsyn/A 16733-2025 tillsynsbegäran.docx", "A 16733-2025")</f>
        <v/>
      </c>
      <c r="Y137">
        <f>HYPERLINK("https://klasma.github.io/Logging_030360/tillsynsmail/A 16733-2025 tillsynsbegäran mail.docx", "A 16733-2025")</f>
        <v/>
      </c>
    </row>
    <row r="138" ht="15" customHeight="1">
      <c r="A138" t="inlineStr">
        <is>
          <t>A 18619-2025</t>
        </is>
      </c>
      <c r="B138" s="1" t="n">
        <v>45763</v>
      </c>
      <c r="C138" s="1" t="n">
        <v>45796</v>
      </c>
      <c r="D138" t="inlineStr">
        <is>
          <t>UPPSALA LÄN</t>
        </is>
      </c>
      <c r="E138" t="inlineStr">
        <is>
          <t>TIERP</t>
        </is>
      </c>
      <c r="G138" t="n">
        <v>4.6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Nästrot</t>
        </is>
      </c>
      <c r="S138">
        <f>HYPERLINK("https://klasma.github.io/Logging_030360/artfynd/A 18619-2025 artfynd.xlsx", "A 18619-2025")</f>
        <v/>
      </c>
      <c r="T138">
        <f>HYPERLINK("https://klasma.github.io/Logging_030360/kartor/A 18619-2025 karta.png", "A 18619-2025")</f>
        <v/>
      </c>
      <c r="V138">
        <f>HYPERLINK("https://klasma.github.io/Logging_030360/klagomål/A 18619-2025 FSC-klagomål.docx", "A 18619-2025")</f>
        <v/>
      </c>
      <c r="W138">
        <f>HYPERLINK("https://klasma.github.io/Logging_030360/klagomålsmail/A 18619-2025 FSC-klagomål mail.docx", "A 18619-2025")</f>
        <v/>
      </c>
      <c r="X138">
        <f>HYPERLINK("https://klasma.github.io/Logging_030360/tillsyn/A 18619-2025 tillsynsbegäran.docx", "A 18619-2025")</f>
        <v/>
      </c>
      <c r="Y138">
        <f>HYPERLINK("https://klasma.github.io/Logging_030360/tillsynsmail/A 18619-2025 tillsynsbegäran mail.docx", "A 18619-2025")</f>
        <v/>
      </c>
    </row>
    <row r="139" ht="15" customHeight="1">
      <c r="A139" t="inlineStr">
        <is>
          <t>A 19661-2025</t>
        </is>
      </c>
      <c r="B139" s="1" t="n">
        <v>45770</v>
      </c>
      <c r="C139" s="1" t="n">
        <v>45796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öst AB</t>
        </is>
      </c>
      <c r="G139" t="n">
        <v>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Tibast</t>
        </is>
      </c>
      <c r="S139">
        <f>HYPERLINK("https://klasma.github.io/Logging_030360/artfynd/A 19661-2025 artfynd.xlsx", "A 19661-2025")</f>
        <v/>
      </c>
      <c r="T139">
        <f>HYPERLINK("https://klasma.github.io/Logging_030360/kartor/A 19661-2025 karta.png", "A 19661-2025")</f>
        <v/>
      </c>
      <c r="V139">
        <f>HYPERLINK("https://klasma.github.io/Logging_030360/klagomål/A 19661-2025 FSC-klagomål.docx", "A 19661-2025")</f>
        <v/>
      </c>
      <c r="W139">
        <f>HYPERLINK("https://klasma.github.io/Logging_030360/klagomålsmail/A 19661-2025 FSC-klagomål mail.docx", "A 19661-2025")</f>
        <v/>
      </c>
      <c r="X139">
        <f>HYPERLINK("https://klasma.github.io/Logging_030360/tillsyn/A 19661-2025 tillsynsbegäran.docx", "A 19661-2025")</f>
        <v/>
      </c>
      <c r="Y139">
        <f>HYPERLINK("https://klasma.github.io/Logging_030360/tillsynsmail/A 19661-2025 tillsynsbegäran mail.docx", "A 19661-2025")</f>
        <v/>
      </c>
    </row>
    <row r="140" ht="15" customHeight="1">
      <c r="A140" t="inlineStr">
        <is>
          <t>A 22601-2025</t>
        </is>
      </c>
      <c r="B140" s="1" t="n">
        <v>45789</v>
      </c>
      <c r="C140" s="1" t="n">
        <v>45796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Ask</t>
        </is>
      </c>
      <c r="S140">
        <f>HYPERLINK("https://klasma.github.io/Logging_030360/artfynd/A 22601-2025 artfynd.xlsx", "A 22601-2025")</f>
        <v/>
      </c>
      <c r="T140">
        <f>HYPERLINK("https://klasma.github.io/Logging_030360/kartor/A 22601-2025 karta.png", "A 22601-2025")</f>
        <v/>
      </c>
      <c r="V140">
        <f>HYPERLINK("https://klasma.github.io/Logging_030360/klagomål/A 22601-2025 FSC-klagomål.docx", "A 22601-2025")</f>
        <v/>
      </c>
      <c r="W140">
        <f>HYPERLINK("https://klasma.github.io/Logging_030360/klagomålsmail/A 22601-2025 FSC-klagomål mail.docx", "A 22601-2025")</f>
        <v/>
      </c>
      <c r="X140">
        <f>HYPERLINK("https://klasma.github.io/Logging_030360/tillsyn/A 22601-2025 tillsynsbegäran.docx", "A 22601-2025")</f>
        <v/>
      </c>
      <c r="Y140">
        <f>HYPERLINK("https://klasma.github.io/Logging_030360/tillsynsmail/A 22601-2025 tillsynsbegäran mail.docx", "A 22601-2025")</f>
        <v/>
      </c>
    </row>
    <row r="141" ht="15" customHeight="1">
      <c r="A141" t="inlineStr">
        <is>
          <t>A 22777-2025</t>
        </is>
      </c>
      <c r="B141" s="1" t="n">
        <v>45789</v>
      </c>
      <c r="C141" s="1" t="n">
        <v>45796</v>
      </c>
      <c r="D141" t="inlineStr">
        <is>
          <t>UPPSALA LÄN</t>
        </is>
      </c>
      <c r="E141" t="inlineStr">
        <is>
          <t>TIERP</t>
        </is>
      </c>
      <c r="G141" t="n">
        <v>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Persiljespindling</t>
        </is>
      </c>
      <c r="S141">
        <f>HYPERLINK("https://klasma.github.io/Logging_030360/artfynd/A 22777-2025 artfynd.xlsx", "A 22777-2025")</f>
        <v/>
      </c>
      <c r="T141">
        <f>HYPERLINK("https://klasma.github.io/Logging_030360/kartor/A 22777-2025 karta.png", "A 22777-2025")</f>
        <v/>
      </c>
      <c r="V141">
        <f>HYPERLINK("https://klasma.github.io/Logging_030360/klagomål/A 22777-2025 FSC-klagomål.docx", "A 22777-2025")</f>
        <v/>
      </c>
      <c r="W141">
        <f>HYPERLINK("https://klasma.github.io/Logging_030360/klagomålsmail/A 22777-2025 FSC-klagomål mail.docx", "A 22777-2025")</f>
        <v/>
      </c>
      <c r="X141">
        <f>HYPERLINK("https://klasma.github.io/Logging_030360/tillsyn/A 22777-2025 tillsynsbegäran.docx", "A 22777-2025")</f>
        <v/>
      </c>
      <c r="Y141">
        <f>HYPERLINK("https://klasma.github.io/Logging_030360/tillsynsmail/A 22777-2025 tillsynsbegäran mail.docx", "A 22777-2025")</f>
        <v/>
      </c>
    </row>
    <row r="142" ht="15" customHeight="1">
      <c r="A142" t="inlineStr">
        <is>
          <t>A 18466-2019</t>
        </is>
      </c>
      <c r="B142" s="1" t="n">
        <v>43559</v>
      </c>
      <c r="C142" s="1" t="n">
        <v>45796</v>
      </c>
      <c r="D142" t="inlineStr">
        <is>
          <t>UPPSALA LÄN</t>
        </is>
      </c>
      <c r="E142" t="inlineStr">
        <is>
          <t>TIERP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19791-2019</t>
        </is>
      </c>
      <c r="B143" s="1" t="n">
        <v>43567</v>
      </c>
      <c r="C143" s="1" t="n">
        <v>45796</v>
      </c>
      <c r="D143" t="inlineStr">
        <is>
          <t>UPPSALA LÄN</t>
        </is>
      </c>
      <c r="E143" t="inlineStr">
        <is>
          <t>TIERP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25498-2019</t>
        </is>
      </c>
      <c r="B144" s="1" t="n">
        <v>43606</v>
      </c>
      <c r="C144" s="1" t="n">
        <v>45796</v>
      </c>
      <c r="D144" t="inlineStr">
        <is>
          <t>UPPSALA LÄN</t>
        </is>
      </c>
      <c r="E144" t="inlineStr">
        <is>
          <t>TIERP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25502-2019</t>
        </is>
      </c>
      <c r="B145" s="1" t="n">
        <v>43606</v>
      </c>
      <c r="C145" s="1" t="n">
        <v>45796</v>
      </c>
      <c r="D145" t="inlineStr">
        <is>
          <t>UPPSALA LÄN</t>
        </is>
      </c>
      <c r="E145" t="inlineStr">
        <is>
          <t>TIERP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26366-2019</t>
        </is>
      </c>
      <c r="B146" s="1" t="n">
        <v>43612</v>
      </c>
      <c r="C146" s="1" t="n">
        <v>45796</v>
      </c>
      <c r="D146" t="inlineStr">
        <is>
          <t>UPPSALA LÄN</t>
        </is>
      </c>
      <c r="E146" t="inlineStr">
        <is>
          <t>TIERP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26371-2019</t>
        </is>
      </c>
      <c r="B147" s="1" t="n">
        <v>43612</v>
      </c>
      <c r="C147" s="1" t="n">
        <v>45796</v>
      </c>
      <c r="D147" t="inlineStr">
        <is>
          <t>UPPSALA LÄN</t>
        </is>
      </c>
      <c r="E147" t="inlineStr">
        <is>
          <t>TIERP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29792-2019</t>
        </is>
      </c>
      <c r="B148" s="1" t="n">
        <v>43633</v>
      </c>
      <c r="C148" s="1" t="n">
        <v>45796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väst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31319-2019</t>
        </is>
      </c>
      <c r="B149" s="1" t="n">
        <v>43641</v>
      </c>
      <c r="C149" s="1" t="n">
        <v>45796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31884-2019</t>
        </is>
      </c>
      <c r="B150" s="1" t="n">
        <v>43642</v>
      </c>
      <c r="C150" s="1" t="n">
        <v>45796</v>
      </c>
      <c r="D150" t="inlineStr">
        <is>
          <t>UPPSALA LÄN</t>
        </is>
      </c>
      <c r="E150" t="inlineStr">
        <is>
          <t>TIERP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33670-2019</t>
        </is>
      </c>
      <c r="B151" s="1" t="n">
        <v>43651</v>
      </c>
      <c r="C151" s="1" t="n">
        <v>45796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öst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34386-2019</t>
        </is>
      </c>
      <c r="B152" s="1" t="n">
        <v>43656</v>
      </c>
      <c r="C152" s="1" t="n">
        <v>45796</v>
      </c>
      <c r="D152" t="inlineStr">
        <is>
          <t>UPPSALA LÄN</t>
        </is>
      </c>
      <c r="E152" t="inlineStr">
        <is>
          <t>TIERP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34392-2019</t>
        </is>
      </c>
      <c r="B153" s="1" t="n">
        <v>43656</v>
      </c>
      <c r="C153" s="1" t="n">
        <v>45796</v>
      </c>
      <c r="D153" t="inlineStr">
        <is>
          <t>UPPSALA LÄN</t>
        </is>
      </c>
      <c r="E153" t="inlineStr">
        <is>
          <t>TIERP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36019-2019</t>
        </is>
      </c>
      <c r="B154" s="1" t="n">
        <v>43668</v>
      </c>
      <c r="C154" s="1" t="n">
        <v>45796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väst AB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37114-2019</t>
        </is>
      </c>
      <c r="B155" s="1" t="n">
        <v>43676</v>
      </c>
      <c r="C155" s="1" t="n">
        <v>45796</v>
      </c>
      <c r="D155" t="inlineStr">
        <is>
          <t>UPPSALA LÄN</t>
        </is>
      </c>
      <c r="E155" t="inlineStr">
        <is>
          <t>TIERP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39554-2019</t>
        </is>
      </c>
      <c r="B156" s="1" t="n">
        <v>43686</v>
      </c>
      <c r="C156" s="1" t="n">
        <v>45796</v>
      </c>
      <c r="D156" t="inlineStr">
        <is>
          <t>UPPSALA LÄN</t>
        </is>
      </c>
      <c r="E156" t="inlineStr">
        <is>
          <t>TIERP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39911-2019</t>
        </is>
      </c>
      <c r="B157" s="1" t="n">
        <v>43692</v>
      </c>
      <c r="C157" s="1" t="n">
        <v>45796</v>
      </c>
      <c r="D157" t="inlineStr">
        <is>
          <t>UPPSALA LÄN</t>
        </is>
      </c>
      <c r="E157" t="inlineStr">
        <is>
          <t>TIERP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39914-2019</t>
        </is>
      </c>
      <c r="B158" s="1" t="n">
        <v>43692</v>
      </c>
      <c r="C158" s="1" t="n">
        <v>45796</v>
      </c>
      <c r="D158" t="inlineStr">
        <is>
          <t>UPPSALA LÄN</t>
        </is>
      </c>
      <c r="E158" t="inlineStr">
        <is>
          <t>TIERP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43535-2019</t>
        </is>
      </c>
      <c r="B159" s="1" t="n">
        <v>43706</v>
      </c>
      <c r="C159" s="1" t="n">
        <v>45796</v>
      </c>
      <c r="D159" t="inlineStr">
        <is>
          <t>UPPSALA LÄN</t>
        </is>
      </c>
      <c r="E159" t="inlineStr">
        <is>
          <t>TIERP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43625-2019</t>
        </is>
      </c>
      <c r="B160" s="1" t="n">
        <v>43707</v>
      </c>
      <c r="C160" s="1" t="n">
        <v>45796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väst AB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44569-2019</t>
        </is>
      </c>
      <c r="B161" s="1" t="n">
        <v>43711</v>
      </c>
      <c r="C161" s="1" t="n">
        <v>45796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öst AB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49877-2019</t>
        </is>
      </c>
      <c r="B162" s="1" t="n">
        <v>43733</v>
      </c>
      <c r="C162" s="1" t="n">
        <v>45796</v>
      </c>
      <c r="D162" t="inlineStr">
        <is>
          <t>UPPSALA LÄN</t>
        </is>
      </c>
      <c r="E162" t="inlineStr">
        <is>
          <t>TIERP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49900-2019</t>
        </is>
      </c>
      <c r="B163" s="1" t="n">
        <v>43733</v>
      </c>
      <c r="C163" s="1" t="n">
        <v>45796</v>
      </c>
      <c r="D163" t="inlineStr">
        <is>
          <t>UPPSALA LÄN</t>
        </is>
      </c>
      <c r="E163" t="inlineStr">
        <is>
          <t>TIERP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50156-2019</t>
        </is>
      </c>
      <c r="B164" s="1" t="n">
        <v>43734</v>
      </c>
      <c r="C164" s="1" t="n">
        <v>45796</v>
      </c>
      <c r="D164" t="inlineStr">
        <is>
          <t>UPPSALA LÄN</t>
        </is>
      </c>
      <c r="E164" t="inlineStr">
        <is>
          <t>TIERP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50858-2019</t>
        </is>
      </c>
      <c r="B165" s="1" t="n">
        <v>43738</v>
      </c>
      <c r="C165" s="1" t="n">
        <v>45796</v>
      </c>
      <c r="D165" t="inlineStr">
        <is>
          <t>UPPSALA LÄN</t>
        </is>
      </c>
      <c r="E165" t="inlineStr">
        <is>
          <t>TIERP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51488-2019</t>
        </is>
      </c>
      <c r="B166" s="1" t="n">
        <v>43740</v>
      </c>
      <c r="C166" s="1" t="n">
        <v>45796</v>
      </c>
      <c r="D166" t="inlineStr">
        <is>
          <t>UPPSALA LÄN</t>
        </is>
      </c>
      <c r="E166" t="inlineStr">
        <is>
          <t>TIERP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51796-2019</t>
        </is>
      </c>
      <c r="B167" s="1" t="n">
        <v>43741</v>
      </c>
      <c r="C167" s="1" t="n">
        <v>45796</v>
      </c>
      <c r="D167" t="inlineStr">
        <is>
          <t>UPPSALA LÄN</t>
        </is>
      </c>
      <c r="E167" t="inlineStr">
        <is>
          <t>TIERP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52831-2019</t>
        </is>
      </c>
      <c r="B168" s="1" t="n">
        <v>43746</v>
      </c>
      <c r="C168" s="1" t="n">
        <v>45796</v>
      </c>
      <c r="D168" t="inlineStr">
        <is>
          <t>UPPSALA LÄN</t>
        </is>
      </c>
      <c r="E168" t="inlineStr">
        <is>
          <t>TIERP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52955-2019</t>
        </is>
      </c>
      <c r="B169" s="1" t="n">
        <v>43747</v>
      </c>
      <c r="C169" s="1" t="n">
        <v>45796</v>
      </c>
      <c r="D169" t="inlineStr">
        <is>
          <t>UPPSALA LÄN</t>
        </is>
      </c>
      <c r="E169" t="inlineStr">
        <is>
          <t>TIERP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56380-2019</t>
        </is>
      </c>
      <c r="B170" s="1" t="n">
        <v>43756</v>
      </c>
      <c r="C170" s="1" t="n">
        <v>45796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55944-2019</t>
        </is>
      </c>
      <c r="B171" s="1" t="n">
        <v>43761</v>
      </c>
      <c r="C171" s="1" t="n">
        <v>45796</v>
      </c>
      <c r="D171" t="inlineStr">
        <is>
          <t>UPPSALA LÄN</t>
        </is>
      </c>
      <c r="E171" t="inlineStr">
        <is>
          <t>TIERP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59227-2019</t>
        </is>
      </c>
      <c r="B172" s="1" t="n">
        <v>43770</v>
      </c>
      <c r="C172" s="1" t="n">
        <v>45796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58276-2019</t>
        </is>
      </c>
      <c r="B173" s="1" t="n">
        <v>43770</v>
      </c>
      <c r="C173" s="1" t="n">
        <v>45796</v>
      </c>
      <c r="D173" t="inlineStr">
        <is>
          <t>UPPSALA LÄN</t>
        </is>
      </c>
      <c r="E173" t="inlineStr">
        <is>
          <t>TIERP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59058-2019</t>
        </is>
      </c>
      <c r="B174" s="1" t="n">
        <v>43774</v>
      </c>
      <c r="C174" s="1" t="n">
        <v>45796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60230-2019</t>
        </is>
      </c>
      <c r="B175" s="1" t="n">
        <v>43780</v>
      </c>
      <c r="C175" s="1" t="n">
        <v>45796</v>
      </c>
      <c r="D175" t="inlineStr">
        <is>
          <t>UPPSALA LÄN</t>
        </is>
      </c>
      <c r="E175" t="inlineStr">
        <is>
          <t>TIERP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60222-2019</t>
        </is>
      </c>
      <c r="B176" s="1" t="n">
        <v>43780</v>
      </c>
      <c r="C176" s="1" t="n">
        <v>45796</v>
      </c>
      <c r="D176" t="inlineStr">
        <is>
          <t>UPPSALA LÄN</t>
        </is>
      </c>
      <c r="E176" t="inlineStr">
        <is>
          <t>TIERP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61322-2019</t>
        </is>
      </c>
      <c r="B177" s="1" t="n">
        <v>43780</v>
      </c>
      <c r="C177" s="1" t="n">
        <v>45796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63769-2019</t>
        </is>
      </c>
      <c r="B178" s="1" t="n">
        <v>43795</v>
      </c>
      <c r="C178" s="1" t="n">
        <v>45796</v>
      </c>
      <c r="D178" t="inlineStr">
        <is>
          <t>UPPSALA LÄN</t>
        </is>
      </c>
      <c r="E178" t="inlineStr">
        <is>
          <t>TIERP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63872-2019</t>
        </is>
      </c>
      <c r="B179" s="1" t="n">
        <v>43796</v>
      </c>
      <c r="C179" s="1" t="n">
        <v>45796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64252-2019</t>
        </is>
      </c>
      <c r="B180" s="1" t="n">
        <v>43797</v>
      </c>
      <c r="C180" s="1" t="n">
        <v>45796</v>
      </c>
      <c r="D180" t="inlineStr">
        <is>
          <t>UPPSALA LÄN</t>
        </is>
      </c>
      <c r="E180" t="inlineStr">
        <is>
          <t>TIERP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64271-2019</t>
        </is>
      </c>
      <c r="B181" s="1" t="n">
        <v>43797</v>
      </c>
      <c r="C181" s="1" t="n">
        <v>45796</v>
      </c>
      <c r="D181" t="inlineStr">
        <is>
          <t>UPPSALA LÄN</t>
        </is>
      </c>
      <c r="E181" t="inlineStr">
        <is>
          <t>TIERP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64986-2019</t>
        </is>
      </c>
      <c r="B182" s="1" t="n">
        <v>43801</v>
      </c>
      <c r="C182" s="1" t="n">
        <v>45796</v>
      </c>
      <c r="D182" t="inlineStr">
        <is>
          <t>UPPSALA LÄN</t>
        </is>
      </c>
      <c r="E182" t="inlineStr">
        <is>
          <t>TIERP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64983-2019</t>
        </is>
      </c>
      <c r="B183" s="1" t="n">
        <v>43801</v>
      </c>
      <c r="C183" s="1" t="n">
        <v>45796</v>
      </c>
      <c r="D183" t="inlineStr">
        <is>
          <t>UPPSALA LÄN</t>
        </is>
      </c>
      <c r="E183" t="inlineStr">
        <is>
          <t>TIERP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65087-2019</t>
        </is>
      </c>
      <c r="B184" s="1" t="n">
        <v>43802</v>
      </c>
      <c r="C184" s="1" t="n">
        <v>45796</v>
      </c>
      <c r="D184" t="inlineStr">
        <is>
          <t>UPPSALA LÄN</t>
        </is>
      </c>
      <c r="E184" t="inlineStr">
        <is>
          <t>TIERP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66641-2019</t>
        </is>
      </c>
      <c r="B185" s="1" t="n">
        <v>43809</v>
      </c>
      <c r="C185" s="1" t="n">
        <v>45796</v>
      </c>
      <c r="D185" t="inlineStr">
        <is>
          <t>UPPSALA LÄN</t>
        </is>
      </c>
      <c r="E185" t="inlineStr">
        <is>
          <t>TIERP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66640-2019</t>
        </is>
      </c>
      <c r="B186" s="1" t="n">
        <v>43809</v>
      </c>
      <c r="C186" s="1" t="n">
        <v>45796</v>
      </c>
      <c r="D186" t="inlineStr">
        <is>
          <t>UPPSALA LÄN</t>
        </is>
      </c>
      <c r="E186" t="inlineStr">
        <is>
          <t>TIERP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67253-2019</t>
        </is>
      </c>
      <c r="B187" s="1" t="n">
        <v>43812</v>
      </c>
      <c r="C187" s="1" t="n">
        <v>45796</v>
      </c>
      <c r="D187" t="inlineStr">
        <is>
          <t>UPPSALA LÄN</t>
        </is>
      </c>
      <c r="E187" t="inlineStr">
        <is>
          <t>TIERP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69141-2019</t>
        </is>
      </c>
      <c r="B188" s="1" t="n">
        <v>43829</v>
      </c>
      <c r="C188" s="1" t="n">
        <v>45796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väst AB</t>
        </is>
      </c>
      <c r="G188" t="n">
        <v>20.5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962-2020</t>
        </is>
      </c>
      <c r="B189" s="1" t="n">
        <v>43839</v>
      </c>
      <c r="C189" s="1" t="n">
        <v>45796</v>
      </c>
      <c r="D189" t="inlineStr">
        <is>
          <t>UPPSALA LÄN</t>
        </is>
      </c>
      <c r="E189" t="inlineStr">
        <is>
          <t>TIERP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1432-2020</t>
        </is>
      </c>
      <c r="B190" s="1" t="n">
        <v>43843</v>
      </c>
      <c r="C190" s="1" t="n">
        <v>45796</v>
      </c>
      <c r="D190" t="inlineStr">
        <is>
          <t>UPPSALA LÄN</t>
        </is>
      </c>
      <c r="E190" t="inlineStr">
        <is>
          <t>TIERP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3522-2020</t>
        </is>
      </c>
      <c r="B191" s="1" t="n">
        <v>43853</v>
      </c>
      <c r="C191" s="1" t="n">
        <v>45796</v>
      </c>
      <c r="D191" t="inlineStr">
        <is>
          <t>UPPSALA LÄN</t>
        </is>
      </c>
      <c r="E191" t="inlineStr">
        <is>
          <t>TIERP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3734-2020</t>
        </is>
      </c>
      <c r="B192" s="1" t="n">
        <v>43853</v>
      </c>
      <c r="C192" s="1" t="n">
        <v>45796</v>
      </c>
      <c r="D192" t="inlineStr">
        <is>
          <t>UPPSALA LÄN</t>
        </is>
      </c>
      <c r="E192" t="inlineStr">
        <is>
          <t>TIERP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4899-2020</t>
        </is>
      </c>
      <c r="B193" s="1" t="n">
        <v>43859</v>
      </c>
      <c r="C193" s="1" t="n">
        <v>45796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5048-2020</t>
        </is>
      </c>
      <c r="B194" s="1" t="n">
        <v>43859</v>
      </c>
      <c r="C194" s="1" t="n">
        <v>45796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öst AB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8214-2020</t>
        </is>
      </c>
      <c r="B195" s="1" t="n">
        <v>43874</v>
      </c>
      <c r="C195" s="1" t="n">
        <v>45796</v>
      </c>
      <c r="D195" t="inlineStr">
        <is>
          <t>UPPSALA LÄN</t>
        </is>
      </c>
      <c r="E195" t="inlineStr">
        <is>
          <t>TIERP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8703-2020</t>
        </is>
      </c>
      <c r="B196" s="1" t="n">
        <v>43875</v>
      </c>
      <c r="C196" s="1" t="n">
        <v>45796</v>
      </c>
      <c r="D196" t="inlineStr">
        <is>
          <t>UPPSALA LÄN</t>
        </is>
      </c>
      <c r="E196" t="inlineStr">
        <is>
          <t>TIERP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8757-2020</t>
        </is>
      </c>
      <c r="B197" s="1" t="n">
        <v>43878</v>
      </c>
      <c r="C197" s="1" t="n">
        <v>45796</v>
      </c>
      <c r="D197" t="inlineStr">
        <is>
          <t>UPPSALA LÄN</t>
        </is>
      </c>
      <c r="E197" t="inlineStr">
        <is>
          <t>TIERP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9334-2020</t>
        </is>
      </c>
      <c r="B198" s="1" t="n">
        <v>43880</v>
      </c>
      <c r="C198" s="1" t="n">
        <v>45796</v>
      </c>
      <c r="D198" t="inlineStr">
        <is>
          <t>UPPSALA LÄN</t>
        </is>
      </c>
      <c r="E198" t="inlineStr">
        <is>
          <t>TIERP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10039-2020</t>
        </is>
      </c>
      <c r="B199" s="1" t="n">
        <v>43882</v>
      </c>
      <c r="C199" s="1" t="n">
        <v>45796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11433-2020</t>
        </is>
      </c>
      <c r="B200" s="1" t="n">
        <v>43893</v>
      </c>
      <c r="C200" s="1" t="n">
        <v>45796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12427-2020</t>
        </is>
      </c>
      <c r="B201" s="1" t="n">
        <v>43896</v>
      </c>
      <c r="C201" s="1" t="n">
        <v>45796</v>
      </c>
      <c r="D201" t="inlineStr">
        <is>
          <t>UPPSALA LÄN</t>
        </is>
      </c>
      <c r="E201" t="inlineStr">
        <is>
          <t>TIERP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12912-2020</t>
        </is>
      </c>
      <c r="B202" s="1" t="n">
        <v>43900</v>
      </c>
      <c r="C202" s="1" t="n">
        <v>45796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14627-2020</t>
        </is>
      </c>
      <c r="B203" s="1" t="n">
        <v>43901</v>
      </c>
      <c r="C203" s="1" t="n">
        <v>45796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14017-2020</t>
        </is>
      </c>
      <c r="B204" s="1" t="n">
        <v>43906</v>
      </c>
      <c r="C204" s="1" t="n">
        <v>45796</v>
      </c>
      <c r="D204" t="inlineStr">
        <is>
          <t>UPPSALA LÄN</t>
        </is>
      </c>
      <c r="E204" t="inlineStr">
        <is>
          <t>TIERP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15326-2020</t>
        </is>
      </c>
      <c r="B205" s="1" t="n">
        <v>43913</v>
      </c>
      <c r="C205" s="1" t="n">
        <v>45796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15233-2020</t>
        </is>
      </c>
      <c r="B206" s="1" t="n">
        <v>43913</v>
      </c>
      <c r="C206" s="1" t="n">
        <v>45796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18774-2020</t>
        </is>
      </c>
      <c r="B207" s="1" t="n">
        <v>43930</v>
      </c>
      <c r="C207" s="1" t="n">
        <v>45796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19136-2020</t>
        </is>
      </c>
      <c r="B208" s="1" t="n">
        <v>43936</v>
      </c>
      <c r="C208" s="1" t="n">
        <v>45796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19332-2020</t>
        </is>
      </c>
      <c r="B209" s="1" t="n">
        <v>43938</v>
      </c>
      <c r="C209" s="1" t="n">
        <v>45796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21730-2020</t>
        </is>
      </c>
      <c r="B210" s="1" t="n">
        <v>43957</v>
      </c>
      <c r="C210" s="1" t="n">
        <v>45796</v>
      </c>
      <c r="D210" t="inlineStr">
        <is>
          <t>UPPSALA LÄN</t>
        </is>
      </c>
      <c r="E210" t="inlineStr">
        <is>
          <t>TIERP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21814-2020</t>
        </is>
      </c>
      <c r="B211" s="1" t="n">
        <v>43958</v>
      </c>
      <c r="C211" s="1" t="n">
        <v>45796</v>
      </c>
      <c r="D211" t="inlineStr">
        <is>
          <t>UPPSALA LÄN</t>
        </is>
      </c>
      <c r="E211" t="inlineStr">
        <is>
          <t>TIERP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22763-2020</t>
        </is>
      </c>
      <c r="B212" s="1" t="n">
        <v>43963</v>
      </c>
      <c r="C212" s="1" t="n">
        <v>45796</v>
      </c>
      <c r="D212" t="inlineStr">
        <is>
          <t>UPPSALA LÄN</t>
        </is>
      </c>
      <c r="E212" t="inlineStr">
        <is>
          <t>TIERP</t>
        </is>
      </c>
      <c r="F212" t="inlineStr">
        <is>
          <t>Kommuner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22802-2020</t>
        </is>
      </c>
      <c r="B213" s="1" t="n">
        <v>43964</v>
      </c>
      <c r="C213" s="1" t="n">
        <v>45796</v>
      </c>
      <c r="D213" t="inlineStr">
        <is>
          <t>UPPSALA LÄN</t>
        </is>
      </c>
      <c r="E213" t="inlineStr">
        <is>
          <t>TIERP</t>
        </is>
      </c>
      <c r="F213" t="inlineStr">
        <is>
          <t>Bergvik skog öst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22961-2020</t>
        </is>
      </c>
      <c r="B214" s="1" t="n">
        <v>43965</v>
      </c>
      <c r="C214" s="1" t="n">
        <v>45796</v>
      </c>
      <c r="D214" t="inlineStr">
        <is>
          <t>UPPSALA LÄN</t>
        </is>
      </c>
      <c r="E214" t="inlineStr">
        <is>
          <t>TIERP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25641-2020</t>
        </is>
      </c>
      <c r="B215" s="1" t="n">
        <v>43983</v>
      </c>
      <c r="C215" s="1" t="n">
        <v>45796</v>
      </c>
      <c r="D215" t="inlineStr">
        <is>
          <t>UPPSALA LÄN</t>
        </is>
      </c>
      <c r="E215" t="inlineStr">
        <is>
          <t>TIERP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26090-2020</t>
        </is>
      </c>
      <c r="B216" s="1" t="n">
        <v>43985</v>
      </c>
      <c r="C216" s="1" t="n">
        <v>45796</v>
      </c>
      <c r="D216" t="inlineStr">
        <is>
          <t>UPPSALA LÄN</t>
        </is>
      </c>
      <c r="E216" t="inlineStr">
        <is>
          <t>TIERP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26101-2020</t>
        </is>
      </c>
      <c r="B217" s="1" t="n">
        <v>43985</v>
      </c>
      <c r="C217" s="1" t="n">
        <v>45796</v>
      </c>
      <c r="D217" t="inlineStr">
        <is>
          <t>UPPSALA LÄN</t>
        </is>
      </c>
      <c r="E217" t="inlineStr">
        <is>
          <t>TIERP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26095-2020</t>
        </is>
      </c>
      <c r="B218" s="1" t="n">
        <v>43985</v>
      </c>
      <c r="C218" s="1" t="n">
        <v>45796</v>
      </c>
      <c r="D218" t="inlineStr">
        <is>
          <t>UPPSALA LÄN</t>
        </is>
      </c>
      <c r="E218" t="inlineStr">
        <is>
          <t>TIERP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27462-2020</t>
        </is>
      </c>
      <c r="B219" s="1" t="n">
        <v>43993</v>
      </c>
      <c r="C219" s="1" t="n">
        <v>45796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öst AB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29989-2020</t>
        </is>
      </c>
      <c r="B220" s="1" t="n">
        <v>44006</v>
      </c>
      <c r="C220" s="1" t="n">
        <v>45796</v>
      </c>
      <c r="D220" t="inlineStr">
        <is>
          <t>UPPSALA LÄN</t>
        </is>
      </c>
      <c r="E220" t="inlineStr">
        <is>
          <t>TIERP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30245-2020</t>
        </is>
      </c>
      <c r="B221" s="1" t="n">
        <v>44007</v>
      </c>
      <c r="C221" s="1" t="n">
        <v>45796</v>
      </c>
      <c r="D221" t="inlineStr">
        <is>
          <t>UPPSALA LÄN</t>
        </is>
      </c>
      <c r="E221" t="inlineStr">
        <is>
          <t>TIERP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30544-2020</t>
        </is>
      </c>
      <c r="B222" s="1" t="n">
        <v>44008</v>
      </c>
      <c r="C222" s="1" t="n">
        <v>45796</v>
      </c>
      <c r="D222" t="inlineStr">
        <is>
          <t>UPPSALA LÄN</t>
        </is>
      </c>
      <c r="E222" t="inlineStr">
        <is>
          <t>TIERP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31685-2020</t>
        </is>
      </c>
      <c r="B223" s="1" t="n">
        <v>44013</v>
      </c>
      <c r="C223" s="1" t="n">
        <v>45796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33076-2020</t>
        </is>
      </c>
      <c r="B224" s="1" t="n">
        <v>44021</v>
      </c>
      <c r="C224" s="1" t="n">
        <v>45796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väst AB</t>
        </is>
      </c>
      <c r="G224" t="n">
        <v>16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33378-2020</t>
        </is>
      </c>
      <c r="B225" s="1" t="n">
        <v>44022</v>
      </c>
      <c r="C225" s="1" t="n">
        <v>45796</v>
      </c>
      <c r="D225" t="inlineStr">
        <is>
          <t>UPPSALA LÄN</t>
        </is>
      </c>
      <c r="E225" t="inlineStr">
        <is>
          <t>TIERP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33873-2020</t>
        </is>
      </c>
      <c r="B226" s="1" t="n">
        <v>44025</v>
      </c>
      <c r="C226" s="1" t="n">
        <v>45796</v>
      </c>
      <c r="D226" t="inlineStr">
        <is>
          <t>UPPSALA LÄN</t>
        </is>
      </c>
      <c r="E226" t="inlineStr">
        <is>
          <t>TIERP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34494-2020</t>
        </is>
      </c>
      <c r="B227" s="1" t="n">
        <v>44029</v>
      </c>
      <c r="C227" s="1" t="n">
        <v>45796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35573-2020</t>
        </is>
      </c>
      <c r="B228" s="1" t="n">
        <v>44043</v>
      </c>
      <c r="C228" s="1" t="n">
        <v>45796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öst AB</t>
        </is>
      </c>
      <c r="G228" t="n">
        <v>30.2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36412-2020</t>
        </is>
      </c>
      <c r="B229" s="1" t="n">
        <v>44049</v>
      </c>
      <c r="C229" s="1" t="n">
        <v>45796</v>
      </c>
      <c r="D229" t="inlineStr">
        <is>
          <t>UPPSALA LÄN</t>
        </is>
      </c>
      <c r="E229" t="inlineStr">
        <is>
          <t>TIERP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37596-2020</t>
        </is>
      </c>
      <c r="B230" s="1" t="n">
        <v>44056</v>
      </c>
      <c r="C230" s="1" t="n">
        <v>45796</v>
      </c>
      <c r="D230" t="inlineStr">
        <is>
          <t>UPPSALA LÄN</t>
        </is>
      </c>
      <c r="E230" t="inlineStr">
        <is>
          <t>TIERP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37680-2020</t>
        </is>
      </c>
      <c r="B231" s="1" t="n">
        <v>44056</v>
      </c>
      <c r="C231" s="1" t="n">
        <v>45796</v>
      </c>
      <c r="D231" t="inlineStr">
        <is>
          <t>UPPSALA LÄN</t>
        </is>
      </c>
      <c r="E231" t="inlineStr">
        <is>
          <t>TIERP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37691-2020</t>
        </is>
      </c>
      <c r="B232" s="1" t="n">
        <v>44056</v>
      </c>
      <c r="C232" s="1" t="n">
        <v>45796</v>
      </c>
      <c r="D232" t="inlineStr">
        <is>
          <t>UPPSALA LÄN</t>
        </is>
      </c>
      <c r="E232" t="inlineStr">
        <is>
          <t>TIERP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45513-2020</t>
        </is>
      </c>
      <c r="B233" s="1" t="n">
        <v>44085</v>
      </c>
      <c r="C233" s="1" t="n">
        <v>45796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väst AB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45938-2020</t>
        </is>
      </c>
      <c r="B234" s="1" t="n">
        <v>44088</v>
      </c>
      <c r="C234" s="1" t="n">
        <v>45796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18.5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47234-2020</t>
        </is>
      </c>
      <c r="B235" s="1" t="n">
        <v>44097</v>
      </c>
      <c r="C235" s="1" t="n">
        <v>45796</v>
      </c>
      <c r="D235" t="inlineStr">
        <is>
          <t>UPPSALA LÄN</t>
        </is>
      </c>
      <c r="E235" t="inlineStr">
        <is>
          <t>TIERP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49718-2020</t>
        </is>
      </c>
      <c r="B236" s="1" t="n">
        <v>44106</v>
      </c>
      <c r="C236" s="1" t="n">
        <v>45796</v>
      </c>
      <c r="D236" t="inlineStr">
        <is>
          <t>UPPSALA LÄN</t>
        </is>
      </c>
      <c r="E236" t="inlineStr">
        <is>
          <t>TIERP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50677-2020</t>
        </is>
      </c>
      <c r="B237" s="1" t="n">
        <v>44111</v>
      </c>
      <c r="C237" s="1" t="n">
        <v>45796</v>
      </c>
      <c r="D237" t="inlineStr">
        <is>
          <t>UPPSALA LÄN</t>
        </is>
      </c>
      <c r="E237" t="inlineStr">
        <is>
          <t>TIERP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50735-2020</t>
        </is>
      </c>
      <c r="B238" s="1" t="n">
        <v>44111</v>
      </c>
      <c r="C238" s="1" t="n">
        <v>45796</v>
      </c>
      <c r="D238" t="inlineStr">
        <is>
          <t>UPPSALA LÄN</t>
        </is>
      </c>
      <c r="E238" t="inlineStr">
        <is>
          <t>TIERP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51808-2020</t>
        </is>
      </c>
      <c r="B239" s="1" t="n">
        <v>44116</v>
      </c>
      <c r="C239" s="1" t="n">
        <v>45796</v>
      </c>
      <c r="D239" t="inlineStr">
        <is>
          <t>UPPSALA LÄN</t>
        </is>
      </c>
      <c r="E239" t="inlineStr">
        <is>
          <t>TIERP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53489-2020</t>
        </is>
      </c>
      <c r="B240" s="1" t="n">
        <v>44123</v>
      </c>
      <c r="C240" s="1" t="n">
        <v>45796</v>
      </c>
      <c r="D240" t="inlineStr">
        <is>
          <t>UPPSALA LÄN</t>
        </is>
      </c>
      <c r="E240" t="inlineStr">
        <is>
          <t>TIERP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58242-2020</t>
        </is>
      </c>
      <c r="B241" s="1" t="n">
        <v>44144</v>
      </c>
      <c r="C241" s="1" t="n">
        <v>45796</v>
      </c>
      <c r="D241" t="inlineStr">
        <is>
          <t>UPPSALA LÄN</t>
        </is>
      </c>
      <c r="E241" t="inlineStr">
        <is>
          <t>TIERP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59625-2020</t>
        </is>
      </c>
      <c r="B242" s="1" t="n">
        <v>44150</v>
      </c>
      <c r="C242" s="1" t="n">
        <v>45796</v>
      </c>
      <c r="D242" t="inlineStr">
        <is>
          <t>UPPSALA LÄN</t>
        </is>
      </c>
      <c r="E242" t="inlineStr">
        <is>
          <t>TIERP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59865-2020</t>
        </is>
      </c>
      <c r="B243" s="1" t="n">
        <v>44151</v>
      </c>
      <c r="C243" s="1" t="n">
        <v>45796</v>
      </c>
      <c r="D243" t="inlineStr">
        <is>
          <t>UPPSALA LÄN</t>
        </is>
      </c>
      <c r="E243" t="inlineStr">
        <is>
          <t>TIERP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60769-2020</t>
        </is>
      </c>
      <c r="B244" s="1" t="n">
        <v>44154</v>
      </c>
      <c r="C244" s="1" t="n">
        <v>45796</v>
      </c>
      <c r="D244" t="inlineStr">
        <is>
          <t>UPPSALA LÄN</t>
        </is>
      </c>
      <c r="E244" t="inlineStr">
        <is>
          <t>TIERP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61013-2020</t>
        </is>
      </c>
      <c r="B245" s="1" t="n">
        <v>44154</v>
      </c>
      <c r="C245" s="1" t="n">
        <v>45796</v>
      </c>
      <c r="D245" t="inlineStr">
        <is>
          <t>UPPSALA LÄN</t>
        </is>
      </c>
      <c r="E245" t="inlineStr">
        <is>
          <t>TIERP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61034-2020</t>
        </is>
      </c>
      <c r="B246" s="1" t="n">
        <v>44154</v>
      </c>
      <c r="C246" s="1" t="n">
        <v>45796</v>
      </c>
      <c r="D246" t="inlineStr">
        <is>
          <t>UPPSALA LÄN</t>
        </is>
      </c>
      <c r="E246" t="inlineStr">
        <is>
          <t>TIERP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63260-2020</t>
        </is>
      </c>
      <c r="B247" s="1" t="n">
        <v>44164</v>
      </c>
      <c r="C247" s="1" t="n">
        <v>45796</v>
      </c>
      <c r="D247" t="inlineStr">
        <is>
          <t>UPPSALA LÄN</t>
        </is>
      </c>
      <c r="E247" t="inlineStr">
        <is>
          <t>TIERP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63504-2020</t>
        </is>
      </c>
      <c r="B248" s="1" t="n">
        <v>44165</v>
      </c>
      <c r="C248" s="1" t="n">
        <v>45796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50.3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63912-2020</t>
        </is>
      </c>
      <c r="B249" s="1" t="n">
        <v>44166</v>
      </c>
      <c r="C249" s="1" t="n">
        <v>45796</v>
      </c>
      <c r="D249" t="inlineStr">
        <is>
          <t>UPPSALA LÄN</t>
        </is>
      </c>
      <c r="E249" t="inlineStr">
        <is>
          <t>TIERP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65225-2020</t>
        </is>
      </c>
      <c r="B250" s="1" t="n">
        <v>44172</v>
      </c>
      <c r="C250" s="1" t="n">
        <v>45796</v>
      </c>
      <c r="D250" t="inlineStr">
        <is>
          <t>UPPSALA LÄN</t>
        </is>
      </c>
      <c r="E250" t="inlineStr">
        <is>
          <t>TIERP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65226-2020</t>
        </is>
      </c>
      <c r="B251" s="1" t="n">
        <v>44172</v>
      </c>
      <c r="C251" s="1" t="n">
        <v>45796</v>
      </c>
      <c r="D251" t="inlineStr">
        <is>
          <t>UPPSALA LÄN</t>
        </is>
      </c>
      <c r="E251" t="inlineStr">
        <is>
          <t>TIERP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249-2021</t>
        </is>
      </c>
      <c r="B252" s="1" t="n">
        <v>44200</v>
      </c>
      <c r="C252" s="1" t="n">
        <v>45796</v>
      </c>
      <c r="D252" t="inlineStr">
        <is>
          <t>UPPSALA LÄN</t>
        </is>
      </c>
      <c r="E252" t="inlineStr">
        <is>
          <t>TIERP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1233-2021</t>
        </is>
      </c>
      <c r="B253" s="1" t="n">
        <v>44208</v>
      </c>
      <c r="C253" s="1" t="n">
        <v>45796</v>
      </c>
      <c r="D253" t="inlineStr">
        <is>
          <t>UPPSALA LÄN</t>
        </is>
      </c>
      <c r="E253" t="inlineStr">
        <is>
          <t>TIERP</t>
        </is>
      </c>
      <c r="F253" t="inlineStr">
        <is>
          <t>Övriga Aktiebolag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1227-2021</t>
        </is>
      </c>
      <c r="B254" s="1" t="n">
        <v>44208</v>
      </c>
      <c r="C254" s="1" t="n">
        <v>45796</v>
      </c>
      <c r="D254" t="inlineStr">
        <is>
          <t>UPPSALA LÄN</t>
        </is>
      </c>
      <c r="E254" t="inlineStr">
        <is>
          <t>TIERP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2157-2021</t>
        </is>
      </c>
      <c r="B255" s="1" t="n">
        <v>44211</v>
      </c>
      <c r="C255" s="1" t="n">
        <v>45796</v>
      </c>
      <c r="D255" t="inlineStr">
        <is>
          <t>UPPSALA LÄN</t>
        </is>
      </c>
      <c r="E255" t="inlineStr">
        <is>
          <t>TIERP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2559-2021</t>
        </is>
      </c>
      <c r="B256" s="1" t="n">
        <v>44214</v>
      </c>
      <c r="C256" s="1" t="n">
        <v>45796</v>
      </c>
      <c r="D256" t="inlineStr">
        <is>
          <t>UPPSALA LÄN</t>
        </is>
      </c>
      <c r="E256" t="inlineStr">
        <is>
          <t>TIERP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2810-2021</t>
        </is>
      </c>
      <c r="B257" s="1" t="n">
        <v>44215</v>
      </c>
      <c r="C257" s="1" t="n">
        <v>45796</v>
      </c>
      <c r="D257" t="inlineStr">
        <is>
          <t>UPPSALA LÄN</t>
        </is>
      </c>
      <c r="E257" t="inlineStr">
        <is>
          <t>TIERP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3443-2021</t>
        </is>
      </c>
      <c r="B258" s="1" t="n">
        <v>44218</v>
      </c>
      <c r="C258" s="1" t="n">
        <v>45796</v>
      </c>
      <c r="D258" t="inlineStr">
        <is>
          <t>UPPSALA LÄN</t>
        </is>
      </c>
      <c r="E258" t="inlineStr">
        <is>
          <t>TIERP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5857-2021</t>
        </is>
      </c>
      <c r="B259" s="1" t="n">
        <v>44231</v>
      </c>
      <c r="C259" s="1" t="n">
        <v>45796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7036-2021</t>
        </is>
      </c>
      <c r="B260" s="1" t="n">
        <v>44237</v>
      </c>
      <c r="C260" s="1" t="n">
        <v>45796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11937-2021</t>
        </is>
      </c>
      <c r="B261" s="1" t="n">
        <v>44266</v>
      </c>
      <c r="C261" s="1" t="n">
        <v>45796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11932-2021</t>
        </is>
      </c>
      <c r="B262" s="1" t="n">
        <v>44266</v>
      </c>
      <c r="C262" s="1" t="n">
        <v>45796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12591-2021</t>
        </is>
      </c>
      <c r="B263" s="1" t="n">
        <v>44270</v>
      </c>
      <c r="C263" s="1" t="n">
        <v>45796</v>
      </c>
      <c r="D263" t="inlineStr">
        <is>
          <t>UPPSALA LÄN</t>
        </is>
      </c>
      <c r="E263" t="inlineStr">
        <is>
          <t>TIERP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13157-2021</t>
        </is>
      </c>
      <c r="B264" s="1" t="n">
        <v>44272</v>
      </c>
      <c r="C264" s="1" t="n">
        <v>45796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öst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14934-2021</t>
        </is>
      </c>
      <c r="B265" s="1" t="n">
        <v>44281</v>
      </c>
      <c r="C265" s="1" t="n">
        <v>45796</v>
      </c>
      <c r="D265" t="inlineStr">
        <is>
          <t>UPPSALA LÄN</t>
        </is>
      </c>
      <c r="E265" t="inlineStr">
        <is>
          <t>TIERP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15587-2021</t>
        </is>
      </c>
      <c r="B266" s="1" t="n">
        <v>44285</v>
      </c>
      <c r="C266" s="1" t="n">
        <v>45796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15677-2021</t>
        </is>
      </c>
      <c r="B267" s="1" t="n">
        <v>44286</v>
      </c>
      <c r="C267" s="1" t="n">
        <v>45796</v>
      </c>
      <c r="D267" t="inlineStr">
        <is>
          <t>UPPSALA LÄN</t>
        </is>
      </c>
      <c r="E267" t="inlineStr">
        <is>
          <t>TIERP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15728-2021</t>
        </is>
      </c>
      <c r="B268" s="1" t="n">
        <v>44286</v>
      </c>
      <c r="C268" s="1" t="n">
        <v>45796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öst AB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16106-2021</t>
        </is>
      </c>
      <c r="B269" s="1" t="n">
        <v>44290</v>
      </c>
      <c r="C269" s="1" t="n">
        <v>45796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16124-2021</t>
        </is>
      </c>
      <c r="B270" s="1" t="n">
        <v>44291</v>
      </c>
      <c r="C270" s="1" t="n">
        <v>45796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18996-2021</t>
        </is>
      </c>
      <c r="B271" s="1" t="n">
        <v>44308</v>
      </c>
      <c r="C271" s="1" t="n">
        <v>45796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21967-2021</t>
        </is>
      </c>
      <c r="B272" s="1" t="n">
        <v>44323</v>
      </c>
      <c r="C272" s="1" t="n">
        <v>45796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23380-2021</t>
        </is>
      </c>
      <c r="B273" s="1" t="n">
        <v>44333</v>
      </c>
      <c r="C273" s="1" t="n">
        <v>45796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23828-2021</t>
        </is>
      </c>
      <c r="B274" s="1" t="n">
        <v>44335</v>
      </c>
      <c r="C274" s="1" t="n">
        <v>45796</v>
      </c>
      <c r="D274" t="inlineStr">
        <is>
          <t>UPPSALA LÄN</t>
        </is>
      </c>
      <c r="E274" t="inlineStr">
        <is>
          <t>TIERP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23835-2021</t>
        </is>
      </c>
      <c r="B275" s="1" t="n">
        <v>44335</v>
      </c>
      <c r="C275" s="1" t="n">
        <v>45796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24278-2021</t>
        </is>
      </c>
      <c r="B276" s="1" t="n">
        <v>44337</v>
      </c>
      <c r="C276" s="1" t="n">
        <v>45796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24276-2021</t>
        </is>
      </c>
      <c r="B277" s="1" t="n">
        <v>44337</v>
      </c>
      <c r="C277" s="1" t="n">
        <v>45796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24431-2021</t>
        </is>
      </c>
      <c r="B278" s="1" t="n">
        <v>44337</v>
      </c>
      <c r="C278" s="1" t="n">
        <v>45796</v>
      </c>
      <c r="D278" t="inlineStr">
        <is>
          <t>UPPSALA LÄN</t>
        </is>
      </c>
      <c r="E278" t="inlineStr">
        <is>
          <t>TIERP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26301-2021</t>
        </is>
      </c>
      <c r="B279" s="1" t="n">
        <v>44347</v>
      </c>
      <c r="C279" s="1" t="n">
        <v>45796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28834-2021</t>
        </is>
      </c>
      <c r="B280" s="1" t="n">
        <v>44357</v>
      </c>
      <c r="C280" s="1" t="n">
        <v>45796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29082-2021</t>
        </is>
      </c>
      <c r="B281" s="1" t="n">
        <v>44358</v>
      </c>
      <c r="C281" s="1" t="n">
        <v>45796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29089-2021</t>
        </is>
      </c>
      <c r="B282" s="1" t="n">
        <v>44358</v>
      </c>
      <c r="C282" s="1" t="n">
        <v>45796</v>
      </c>
      <c r="D282" t="inlineStr">
        <is>
          <t>UPPSALA LÄN</t>
        </is>
      </c>
      <c r="E282" t="inlineStr">
        <is>
          <t>TIERP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30742-2021</t>
        </is>
      </c>
      <c r="B283" s="1" t="n">
        <v>44365</v>
      </c>
      <c r="C283" s="1" t="n">
        <v>45796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31099-2021</t>
        </is>
      </c>
      <c r="B284" s="1" t="n">
        <v>44368</v>
      </c>
      <c r="C284" s="1" t="n">
        <v>45796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12.6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32207-2021</t>
        </is>
      </c>
      <c r="B285" s="1" t="n">
        <v>44371</v>
      </c>
      <c r="C285" s="1" t="n">
        <v>45796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32995-2021</t>
        </is>
      </c>
      <c r="B286" s="1" t="n">
        <v>44376</v>
      </c>
      <c r="C286" s="1" t="n">
        <v>45796</v>
      </c>
      <c r="D286" t="inlineStr">
        <is>
          <t>UPPSALA LÄN</t>
        </is>
      </c>
      <c r="E286" t="inlineStr">
        <is>
          <t>TIERP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34648-2021</t>
        </is>
      </c>
      <c r="B287" s="1" t="n">
        <v>44382</v>
      </c>
      <c r="C287" s="1" t="n">
        <v>45796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36069-2021</t>
        </is>
      </c>
      <c r="B288" s="1" t="n">
        <v>44389</v>
      </c>
      <c r="C288" s="1" t="n">
        <v>45796</v>
      </c>
      <c r="D288" t="inlineStr">
        <is>
          <t>UPPSALA LÄN</t>
        </is>
      </c>
      <c r="E288" t="inlineStr">
        <is>
          <t>TIERP</t>
        </is>
      </c>
      <c r="F288" t="inlineStr">
        <is>
          <t>Övriga Aktiebolag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36150-2021</t>
        </is>
      </c>
      <c r="B289" s="1" t="n">
        <v>44389</v>
      </c>
      <c r="C289" s="1" t="n">
        <v>45796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öst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39838-2021</t>
        </is>
      </c>
      <c r="B290" s="1" t="n">
        <v>44417</v>
      </c>
      <c r="C290" s="1" t="n">
        <v>45796</v>
      </c>
      <c r="D290" t="inlineStr">
        <is>
          <t>UPPSALA LÄN</t>
        </is>
      </c>
      <c r="E290" t="inlineStr">
        <is>
          <t>TIERP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40011-2021</t>
        </is>
      </c>
      <c r="B291" s="1" t="n">
        <v>44418</v>
      </c>
      <c r="C291" s="1" t="n">
        <v>45796</v>
      </c>
      <c r="D291" t="inlineStr">
        <is>
          <t>UPPSALA LÄN</t>
        </is>
      </c>
      <c r="E291" t="inlineStr">
        <is>
          <t>TIERP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40804-2021</t>
        </is>
      </c>
      <c r="B292" s="1" t="n">
        <v>44421</v>
      </c>
      <c r="C292" s="1" t="n">
        <v>45796</v>
      </c>
      <c r="D292" t="inlineStr">
        <is>
          <t>UPPSALA LÄN</t>
        </is>
      </c>
      <c r="E292" t="inlineStr">
        <is>
          <t>TIERP</t>
        </is>
      </c>
      <c r="F292" t="inlineStr">
        <is>
          <t>Kyrkan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40793-2021</t>
        </is>
      </c>
      <c r="B293" s="1" t="n">
        <v>44421</v>
      </c>
      <c r="C293" s="1" t="n">
        <v>45796</v>
      </c>
      <c r="D293" t="inlineStr">
        <is>
          <t>UPPSALA LÄN</t>
        </is>
      </c>
      <c r="E293" t="inlineStr">
        <is>
          <t>TIERP</t>
        </is>
      </c>
      <c r="F293" t="inlineStr">
        <is>
          <t>Kyrkan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42262-2021</t>
        </is>
      </c>
      <c r="B294" s="1" t="n">
        <v>44427</v>
      </c>
      <c r="C294" s="1" t="n">
        <v>45796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väst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43020-2021</t>
        </is>
      </c>
      <c r="B295" s="1" t="n">
        <v>44431</v>
      </c>
      <c r="C295" s="1" t="n">
        <v>45796</v>
      </c>
      <c r="D295" t="inlineStr">
        <is>
          <t>UPPSALA LÄN</t>
        </is>
      </c>
      <c r="E295" t="inlineStr">
        <is>
          <t>TIERP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44009-2021</t>
        </is>
      </c>
      <c r="B296" s="1" t="n">
        <v>44434</v>
      </c>
      <c r="C296" s="1" t="n">
        <v>45796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44690-2021</t>
        </is>
      </c>
      <c r="B297" s="1" t="n">
        <v>44438</v>
      </c>
      <c r="C297" s="1" t="n">
        <v>45796</v>
      </c>
      <c r="D297" t="inlineStr">
        <is>
          <t>UPPSALA LÄN</t>
        </is>
      </c>
      <c r="E297" t="inlineStr">
        <is>
          <t>TIERP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45146-2021</t>
        </is>
      </c>
      <c r="B298" s="1" t="n">
        <v>44439</v>
      </c>
      <c r="C298" s="1" t="n">
        <v>45796</v>
      </c>
      <c r="D298" t="inlineStr">
        <is>
          <t>UPPSALA LÄN</t>
        </is>
      </c>
      <c r="E298" t="inlineStr">
        <is>
          <t>TIERP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45217-2021</t>
        </is>
      </c>
      <c r="B299" s="1" t="n">
        <v>44439</v>
      </c>
      <c r="C299" s="1" t="n">
        <v>45796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öst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45225-2021</t>
        </is>
      </c>
      <c r="B300" s="1" t="n">
        <v>44439</v>
      </c>
      <c r="C300" s="1" t="n">
        <v>45796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45579-2021</t>
        </is>
      </c>
      <c r="B301" s="1" t="n">
        <v>44440</v>
      </c>
      <c r="C301" s="1" t="n">
        <v>45796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väst AB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45993-2021</t>
        </is>
      </c>
      <c r="B302" s="1" t="n">
        <v>44441</v>
      </c>
      <c r="C302" s="1" t="n">
        <v>45796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46976-2021</t>
        </is>
      </c>
      <c r="B303" s="1" t="n">
        <v>44446</v>
      </c>
      <c r="C303" s="1" t="n">
        <v>45796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väst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48455-2021</t>
        </is>
      </c>
      <c r="B304" s="1" t="n">
        <v>44452</v>
      </c>
      <c r="C304" s="1" t="n">
        <v>45796</v>
      </c>
      <c r="D304" t="inlineStr">
        <is>
          <t>UPPSALA LÄN</t>
        </is>
      </c>
      <c r="E304" t="inlineStr">
        <is>
          <t>TIERP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48536-2021</t>
        </is>
      </c>
      <c r="B305" s="1" t="n">
        <v>44452</v>
      </c>
      <c r="C305" s="1" t="n">
        <v>45796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väst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48485-2021</t>
        </is>
      </c>
      <c r="B306" s="1" t="n">
        <v>44452</v>
      </c>
      <c r="C306" s="1" t="n">
        <v>45796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48880-2021</t>
        </is>
      </c>
      <c r="B307" s="1" t="n">
        <v>44452</v>
      </c>
      <c r="C307" s="1" t="n">
        <v>45796</v>
      </c>
      <c r="D307" t="inlineStr">
        <is>
          <t>UPPSALA LÄN</t>
        </is>
      </c>
      <c r="E307" t="inlineStr">
        <is>
          <t>TIERP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48970-2021</t>
        </is>
      </c>
      <c r="B308" s="1" t="n">
        <v>44453</v>
      </c>
      <c r="C308" s="1" t="n">
        <v>45796</v>
      </c>
      <c r="D308" t="inlineStr">
        <is>
          <t>UPPSALA LÄN</t>
        </is>
      </c>
      <c r="E308" t="inlineStr">
        <is>
          <t>TIERP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48982-2021</t>
        </is>
      </c>
      <c r="B309" s="1" t="n">
        <v>44453</v>
      </c>
      <c r="C309" s="1" t="n">
        <v>45796</v>
      </c>
      <c r="D309" t="inlineStr">
        <is>
          <t>UPPSALA LÄN</t>
        </is>
      </c>
      <c r="E309" t="inlineStr">
        <is>
          <t>TIERP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49053-2021</t>
        </is>
      </c>
      <c r="B310" s="1" t="n">
        <v>44453</v>
      </c>
      <c r="C310" s="1" t="n">
        <v>45796</v>
      </c>
      <c r="D310" t="inlineStr">
        <is>
          <t>UPPSALA LÄN</t>
        </is>
      </c>
      <c r="E310" t="inlineStr">
        <is>
          <t>TIERP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49061-2021</t>
        </is>
      </c>
      <c r="B311" s="1" t="n">
        <v>44453</v>
      </c>
      <c r="C311" s="1" t="n">
        <v>45796</v>
      </c>
      <c r="D311" t="inlineStr">
        <is>
          <t>UPPSALA LÄN</t>
        </is>
      </c>
      <c r="E311" t="inlineStr">
        <is>
          <t>TIERP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52025-2021</t>
        </is>
      </c>
      <c r="B312" s="1" t="n">
        <v>44463</v>
      </c>
      <c r="C312" s="1" t="n">
        <v>45796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öst AB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53666-2021</t>
        </is>
      </c>
      <c r="B313" s="1" t="n">
        <v>44469</v>
      </c>
      <c r="C313" s="1" t="n">
        <v>45796</v>
      </c>
      <c r="D313" t="inlineStr">
        <is>
          <t>UPPSALA LÄN</t>
        </is>
      </c>
      <c r="E313" t="inlineStr">
        <is>
          <t>TIERP</t>
        </is>
      </c>
      <c r="F313" t="inlineStr">
        <is>
          <t>Bergvik skog öst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53766-2021</t>
        </is>
      </c>
      <c r="B314" s="1" t="n">
        <v>44469</v>
      </c>
      <c r="C314" s="1" t="n">
        <v>45796</v>
      </c>
      <c r="D314" t="inlineStr">
        <is>
          <t>UPPSALA LÄN</t>
        </is>
      </c>
      <c r="E314" t="inlineStr">
        <is>
          <t>TIERP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53751-2021</t>
        </is>
      </c>
      <c r="B315" s="1" t="n">
        <v>44469</v>
      </c>
      <c r="C315" s="1" t="n">
        <v>45796</v>
      </c>
      <c r="D315" t="inlineStr">
        <is>
          <t>UPPSALA LÄN</t>
        </is>
      </c>
      <c r="E315" t="inlineStr">
        <is>
          <t>TIERP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55026-2021</t>
        </is>
      </c>
      <c r="B316" s="1" t="n">
        <v>44474</v>
      </c>
      <c r="C316" s="1" t="n">
        <v>45796</v>
      </c>
      <c r="D316" t="inlineStr">
        <is>
          <t>UPPSALA LÄN</t>
        </is>
      </c>
      <c r="E316" t="inlineStr">
        <is>
          <t>TIERP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56498-2021</t>
        </is>
      </c>
      <c r="B317" s="1" t="n">
        <v>44480</v>
      </c>
      <c r="C317" s="1" t="n">
        <v>45796</v>
      </c>
      <c r="D317" t="inlineStr">
        <is>
          <t>UPPSALA LÄN</t>
        </is>
      </c>
      <c r="E317" t="inlineStr">
        <is>
          <t>TIERP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56509-2021</t>
        </is>
      </c>
      <c r="B318" s="1" t="n">
        <v>44480</v>
      </c>
      <c r="C318" s="1" t="n">
        <v>45796</v>
      </c>
      <c r="D318" t="inlineStr">
        <is>
          <t>UPPSALA LÄN</t>
        </is>
      </c>
      <c r="E318" t="inlineStr">
        <is>
          <t>TIERP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56740-2021</t>
        </is>
      </c>
      <c r="B319" s="1" t="n">
        <v>44481</v>
      </c>
      <c r="C319" s="1" t="n">
        <v>45796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57028-2021</t>
        </is>
      </c>
      <c r="B320" s="1" t="n">
        <v>44482</v>
      </c>
      <c r="C320" s="1" t="n">
        <v>45796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väst AB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59378-2021</t>
        </is>
      </c>
      <c r="B321" s="1" t="n">
        <v>44491</v>
      </c>
      <c r="C321" s="1" t="n">
        <v>45796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59350-2021</t>
        </is>
      </c>
      <c r="B322" s="1" t="n">
        <v>44491</v>
      </c>
      <c r="C322" s="1" t="n">
        <v>45796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60441-2021</t>
        </is>
      </c>
      <c r="B323" s="1" t="n">
        <v>44496</v>
      </c>
      <c r="C323" s="1" t="n">
        <v>45796</v>
      </c>
      <c r="D323" t="inlineStr">
        <is>
          <t>UPPSALA LÄN</t>
        </is>
      </c>
      <c r="E323" t="inlineStr">
        <is>
          <t>TIERP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60429-2021</t>
        </is>
      </c>
      <c r="B324" s="1" t="n">
        <v>44496</v>
      </c>
      <c r="C324" s="1" t="n">
        <v>45796</v>
      </c>
      <c r="D324" t="inlineStr">
        <is>
          <t>UPPSALA LÄN</t>
        </is>
      </c>
      <c r="E324" t="inlineStr">
        <is>
          <t>TIERP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60908-2021</t>
        </is>
      </c>
      <c r="B325" s="1" t="n">
        <v>44497</v>
      </c>
      <c r="C325" s="1" t="n">
        <v>45796</v>
      </c>
      <c r="D325" t="inlineStr">
        <is>
          <t>UPPSALA LÄN</t>
        </is>
      </c>
      <c r="E325" t="inlineStr">
        <is>
          <t>TIERP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62897-2021</t>
        </is>
      </c>
      <c r="B326" s="1" t="n">
        <v>44504</v>
      </c>
      <c r="C326" s="1" t="n">
        <v>45796</v>
      </c>
      <c r="D326" t="inlineStr">
        <is>
          <t>UPPSALA LÄN</t>
        </is>
      </c>
      <c r="E326" t="inlineStr">
        <is>
          <t>TIERP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65255-2021</t>
        </is>
      </c>
      <c r="B327" s="1" t="n">
        <v>44515</v>
      </c>
      <c r="C327" s="1" t="n">
        <v>45796</v>
      </c>
      <c r="D327" t="inlineStr">
        <is>
          <t>UPPSALA LÄN</t>
        </is>
      </c>
      <c r="E327" t="inlineStr">
        <is>
          <t>TIERP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65491-2021</t>
        </is>
      </c>
      <c r="B328" s="1" t="n">
        <v>44516</v>
      </c>
      <c r="C328" s="1" t="n">
        <v>45796</v>
      </c>
      <c r="D328" t="inlineStr">
        <is>
          <t>UPPSALA LÄN</t>
        </is>
      </c>
      <c r="E328" t="inlineStr">
        <is>
          <t>TIERP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66241-2021</t>
        </is>
      </c>
      <c r="B329" s="1" t="n">
        <v>44518</v>
      </c>
      <c r="C329" s="1" t="n">
        <v>45796</v>
      </c>
      <c r="D329" t="inlineStr">
        <is>
          <t>UPPSALA LÄN</t>
        </is>
      </c>
      <c r="E329" t="inlineStr">
        <is>
          <t>TIERP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68410-2021</t>
        </is>
      </c>
      <c r="B330" s="1" t="n">
        <v>44529</v>
      </c>
      <c r="C330" s="1" t="n">
        <v>45796</v>
      </c>
      <c r="D330" t="inlineStr">
        <is>
          <t>UPPSALA LÄN</t>
        </is>
      </c>
      <c r="E330" t="inlineStr">
        <is>
          <t>TIERP</t>
        </is>
      </c>
      <c r="F330" t="inlineStr">
        <is>
          <t>Bergvik skog öst AB</t>
        </is>
      </c>
      <c r="G330" t="n">
        <v>35.5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69841-2021</t>
        </is>
      </c>
      <c r="B331" s="1" t="n">
        <v>44532</v>
      </c>
      <c r="C331" s="1" t="n">
        <v>45796</v>
      </c>
      <c r="D331" t="inlineStr">
        <is>
          <t>UPPSALA LÄN</t>
        </is>
      </c>
      <c r="E331" t="inlineStr">
        <is>
          <t>TIERP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71774-2021</t>
        </is>
      </c>
      <c r="B332" s="1" t="n">
        <v>44543</v>
      </c>
      <c r="C332" s="1" t="n">
        <v>45796</v>
      </c>
      <c r="D332" t="inlineStr">
        <is>
          <t>UPPSALA LÄN</t>
        </is>
      </c>
      <c r="E332" t="inlineStr">
        <is>
          <t>TIERP</t>
        </is>
      </c>
      <c r="G332" t="n">
        <v>12.9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72914-2021</t>
        </is>
      </c>
      <c r="B333" s="1" t="n">
        <v>44547</v>
      </c>
      <c r="C333" s="1" t="n">
        <v>45796</v>
      </c>
      <c r="D333" t="inlineStr">
        <is>
          <t>UPPSALA LÄN</t>
        </is>
      </c>
      <c r="E333" t="inlineStr">
        <is>
          <t>TIERP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72975-2021</t>
        </is>
      </c>
      <c r="B334" s="1" t="n">
        <v>44548</v>
      </c>
      <c r="C334" s="1" t="n">
        <v>45796</v>
      </c>
      <c r="D334" t="inlineStr">
        <is>
          <t>UPPSALA LÄN</t>
        </is>
      </c>
      <c r="E334" t="inlineStr">
        <is>
          <t>TIERP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74473-2021</t>
        </is>
      </c>
      <c r="B335" s="1" t="n">
        <v>44560</v>
      </c>
      <c r="C335" s="1" t="n">
        <v>45796</v>
      </c>
      <c r="D335" t="inlineStr">
        <is>
          <t>UPPSALA LÄN</t>
        </is>
      </c>
      <c r="E335" t="inlineStr">
        <is>
          <t>TIERP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871-2022</t>
        </is>
      </c>
      <c r="B336" s="1" t="n">
        <v>44571</v>
      </c>
      <c r="C336" s="1" t="n">
        <v>45796</v>
      </c>
      <c r="D336" t="inlineStr">
        <is>
          <t>UPPSALA LÄN</t>
        </is>
      </c>
      <c r="E336" t="inlineStr">
        <is>
          <t>TIERP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2248-2022</t>
        </is>
      </c>
      <c r="B337" s="1" t="n">
        <v>44578</v>
      </c>
      <c r="C337" s="1" t="n">
        <v>45796</v>
      </c>
      <c r="D337" t="inlineStr">
        <is>
          <t>UPPSALA LÄN</t>
        </is>
      </c>
      <c r="E337" t="inlineStr">
        <is>
          <t>TIERP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2535-2022</t>
        </is>
      </c>
      <c r="B338" s="1" t="n">
        <v>44579</v>
      </c>
      <c r="C338" s="1" t="n">
        <v>45796</v>
      </c>
      <c r="D338" t="inlineStr">
        <is>
          <t>UPPSALA LÄN</t>
        </is>
      </c>
      <c r="E338" t="inlineStr">
        <is>
          <t>TIERP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2534-2022</t>
        </is>
      </c>
      <c r="B339" s="1" t="n">
        <v>44579</v>
      </c>
      <c r="C339" s="1" t="n">
        <v>45796</v>
      </c>
      <c r="D339" t="inlineStr">
        <is>
          <t>UPPSALA LÄN</t>
        </is>
      </c>
      <c r="E339" t="inlineStr">
        <is>
          <t>TIERP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2559-2022</t>
        </is>
      </c>
      <c r="B340" s="1" t="n">
        <v>44580</v>
      </c>
      <c r="C340" s="1" t="n">
        <v>45796</v>
      </c>
      <c r="D340" t="inlineStr">
        <is>
          <t>UPPSALA LÄN</t>
        </is>
      </c>
      <c r="E340" t="inlineStr">
        <is>
          <t>TIERP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2771-2022</t>
        </is>
      </c>
      <c r="B341" s="1" t="n">
        <v>44581</v>
      </c>
      <c r="C341" s="1" t="n">
        <v>45796</v>
      </c>
      <c r="D341" t="inlineStr">
        <is>
          <t>UPPSALA LÄN</t>
        </is>
      </c>
      <c r="E341" t="inlineStr">
        <is>
          <t>TIERP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2795-2022</t>
        </is>
      </c>
      <c r="B342" s="1" t="n">
        <v>44581</v>
      </c>
      <c r="C342" s="1" t="n">
        <v>45796</v>
      </c>
      <c r="D342" t="inlineStr">
        <is>
          <t>UPPSALA LÄN</t>
        </is>
      </c>
      <c r="E342" t="inlineStr">
        <is>
          <t>TIERP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2814-2022</t>
        </is>
      </c>
      <c r="B343" s="1" t="n">
        <v>44581</v>
      </c>
      <c r="C343" s="1" t="n">
        <v>45796</v>
      </c>
      <c r="D343" t="inlineStr">
        <is>
          <t>UPPSALA LÄN</t>
        </is>
      </c>
      <c r="E343" t="inlineStr">
        <is>
          <t>TIERP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4083-2022</t>
        </is>
      </c>
      <c r="B344" s="1" t="n">
        <v>44588</v>
      </c>
      <c r="C344" s="1" t="n">
        <v>45796</v>
      </c>
      <c r="D344" t="inlineStr">
        <is>
          <t>UPPSALA LÄN</t>
        </is>
      </c>
      <c r="E344" t="inlineStr">
        <is>
          <t>TIERP</t>
        </is>
      </c>
      <c r="G344" t="n">
        <v>26.1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4597-2022</t>
        </is>
      </c>
      <c r="B345" s="1" t="n">
        <v>44592</v>
      </c>
      <c r="C345" s="1" t="n">
        <v>45796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öst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5023-2022</t>
        </is>
      </c>
      <c r="B346" s="1" t="n">
        <v>44593</v>
      </c>
      <c r="C346" s="1" t="n">
        <v>45796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väst AB</t>
        </is>
      </c>
      <c r="G346" t="n">
        <v>14.8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5170-2022</t>
        </is>
      </c>
      <c r="B347" s="1" t="n">
        <v>44594</v>
      </c>
      <c r="C347" s="1" t="n">
        <v>45796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5204-2022</t>
        </is>
      </c>
      <c r="B348" s="1" t="n">
        <v>44594</v>
      </c>
      <c r="C348" s="1" t="n">
        <v>45796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5266-2022</t>
        </is>
      </c>
      <c r="B349" s="1" t="n">
        <v>44594</v>
      </c>
      <c r="C349" s="1" t="n">
        <v>45796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väst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5918-2022</t>
        </is>
      </c>
      <c r="B350" s="1" t="n">
        <v>44597</v>
      </c>
      <c r="C350" s="1" t="n">
        <v>45796</v>
      </c>
      <c r="D350" t="inlineStr">
        <is>
          <t>UPPSALA LÄN</t>
        </is>
      </c>
      <c r="E350" t="inlineStr">
        <is>
          <t>TIERP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6254-2022</t>
        </is>
      </c>
      <c r="B351" s="1" t="n">
        <v>44600</v>
      </c>
      <c r="C351" s="1" t="n">
        <v>45796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7068-2022</t>
        </is>
      </c>
      <c r="B352" s="1" t="n">
        <v>44603</v>
      </c>
      <c r="C352" s="1" t="n">
        <v>45796</v>
      </c>
      <c r="D352" t="inlineStr">
        <is>
          <t>UPPSALA LÄN</t>
        </is>
      </c>
      <c r="E352" t="inlineStr">
        <is>
          <t>TIERP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9288-2022</t>
        </is>
      </c>
      <c r="B353" s="1" t="n">
        <v>44616</v>
      </c>
      <c r="C353" s="1" t="n">
        <v>45796</v>
      </c>
      <c r="D353" t="inlineStr">
        <is>
          <t>UPPSALA LÄN</t>
        </is>
      </c>
      <c r="E353" t="inlineStr">
        <is>
          <t>TIERP</t>
        </is>
      </c>
      <c r="G353" t="n">
        <v>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9564-2022</t>
        </is>
      </c>
      <c r="B354" s="1" t="n">
        <v>44617</v>
      </c>
      <c r="C354" s="1" t="n">
        <v>45796</v>
      </c>
      <c r="D354" t="inlineStr">
        <is>
          <t>UPPSALA LÄN</t>
        </is>
      </c>
      <c r="E354" t="inlineStr">
        <is>
          <t>TIERP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9895-2022</t>
        </is>
      </c>
      <c r="B355" s="1" t="n">
        <v>44620</v>
      </c>
      <c r="C355" s="1" t="n">
        <v>45796</v>
      </c>
      <c r="D355" t="inlineStr">
        <is>
          <t>UPPSALA LÄN</t>
        </is>
      </c>
      <c r="E355" t="inlineStr">
        <is>
          <t>TIERP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10783-2022</t>
        </is>
      </c>
      <c r="B356" s="1" t="n">
        <v>44627</v>
      </c>
      <c r="C356" s="1" t="n">
        <v>45796</v>
      </c>
      <c r="D356" t="inlineStr">
        <is>
          <t>UPPSALA LÄN</t>
        </is>
      </c>
      <c r="E356" t="inlineStr">
        <is>
          <t>TIERP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10780-2022</t>
        </is>
      </c>
      <c r="B357" s="1" t="n">
        <v>44627</v>
      </c>
      <c r="C357" s="1" t="n">
        <v>45796</v>
      </c>
      <c r="D357" t="inlineStr">
        <is>
          <t>UPPSALA LÄN</t>
        </is>
      </c>
      <c r="E357" t="inlineStr">
        <is>
          <t>TIERP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10785-2022</t>
        </is>
      </c>
      <c r="B358" s="1" t="n">
        <v>44627</v>
      </c>
      <c r="C358" s="1" t="n">
        <v>45796</v>
      </c>
      <c r="D358" t="inlineStr">
        <is>
          <t>UPPSALA LÄN</t>
        </is>
      </c>
      <c r="E358" t="inlineStr">
        <is>
          <t>TIERP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10777-2022</t>
        </is>
      </c>
      <c r="B359" s="1" t="n">
        <v>44627</v>
      </c>
      <c r="C359" s="1" t="n">
        <v>45796</v>
      </c>
      <c r="D359" t="inlineStr">
        <is>
          <t>UPPSALA LÄN</t>
        </is>
      </c>
      <c r="E359" t="inlineStr">
        <is>
          <t>TIERP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11529-2022</t>
        </is>
      </c>
      <c r="B360" s="1" t="n">
        <v>44631</v>
      </c>
      <c r="C360" s="1" t="n">
        <v>45796</v>
      </c>
      <c r="D360" t="inlineStr">
        <is>
          <t>UPPSALA LÄN</t>
        </is>
      </c>
      <c r="E360" t="inlineStr">
        <is>
          <t>TIERP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11496-2022</t>
        </is>
      </c>
      <c r="B361" s="1" t="n">
        <v>44631</v>
      </c>
      <c r="C361" s="1" t="n">
        <v>45796</v>
      </c>
      <c r="D361" t="inlineStr">
        <is>
          <t>UPPSALA LÄN</t>
        </is>
      </c>
      <c r="E361" t="inlineStr">
        <is>
          <t>TIERP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11824-2022</t>
        </is>
      </c>
      <c r="B362" s="1" t="n">
        <v>44634</v>
      </c>
      <c r="C362" s="1" t="n">
        <v>45796</v>
      </c>
      <c r="D362" t="inlineStr">
        <is>
          <t>UPPSALA LÄN</t>
        </is>
      </c>
      <c r="E362" t="inlineStr">
        <is>
          <t>TIERP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12189-2022</t>
        </is>
      </c>
      <c r="B363" s="1" t="n">
        <v>44636</v>
      </c>
      <c r="C363" s="1" t="n">
        <v>45796</v>
      </c>
      <c r="D363" t="inlineStr">
        <is>
          <t>UPPSALA LÄN</t>
        </is>
      </c>
      <c r="E363" t="inlineStr">
        <is>
          <t>TIERP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12194-2022</t>
        </is>
      </c>
      <c r="B364" s="1" t="n">
        <v>44636</v>
      </c>
      <c r="C364" s="1" t="n">
        <v>45796</v>
      </c>
      <c r="D364" t="inlineStr">
        <is>
          <t>UPPSALA LÄN</t>
        </is>
      </c>
      <c r="E364" t="inlineStr">
        <is>
          <t>TIERP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12449-2022</t>
        </is>
      </c>
      <c r="B365" s="1" t="n">
        <v>44638</v>
      </c>
      <c r="C365" s="1" t="n">
        <v>45796</v>
      </c>
      <c r="D365" t="inlineStr">
        <is>
          <t>UPPSALA LÄN</t>
        </is>
      </c>
      <c r="E365" t="inlineStr">
        <is>
          <t>TIERP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12624-2022</t>
        </is>
      </c>
      <c r="B366" s="1" t="n">
        <v>44641</v>
      </c>
      <c r="C366" s="1" t="n">
        <v>45796</v>
      </c>
      <c r="D366" t="inlineStr">
        <is>
          <t>UPPSALA LÄN</t>
        </is>
      </c>
      <c r="E366" t="inlineStr">
        <is>
          <t>TIERP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13237-2022</t>
        </is>
      </c>
      <c r="B367" s="1" t="n">
        <v>44644</v>
      </c>
      <c r="C367" s="1" t="n">
        <v>45796</v>
      </c>
      <c r="D367" t="inlineStr">
        <is>
          <t>UPPSALA LÄN</t>
        </is>
      </c>
      <c r="E367" t="inlineStr">
        <is>
          <t>TIERP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13656-2022</t>
        </is>
      </c>
      <c r="B368" s="1" t="n">
        <v>44648</v>
      </c>
      <c r="C368" s="1" t="n">
        <v>45796</v>
      </c>
      <c r="D368" t="inlineStr">
        <is>
          <t>UPPSALA LÄN</t>
        </is>
      </c>
      <c r="E368" t="inlineStr">
        <is>
          <t>TIERP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13650-2022</t>
        </is>
      </c>
      <c r="B369" s="1" t="n">
        <v>44648</v>
      </c>
      <c r="C369" s="1" t="n">
        <v>45796</v>
      </c>
      <c r="D369" t="inlineStr">
        <is>
          <t>UPPSALA LÄN</t>
        </is>
      </c>
      <c r="E369" t="inlineStr">
        <is>
          <t>TIERP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14860-2022</t>
        </is>
      </c>
      <c r="B370" s="1" t="n">
        <v>44656</v>
      </c>
      <c r="C370" s="1" t="n">
        <v>45796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öst AB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16253-2022</t>
        </is>
      </c>
      <c r="B371" s="1" t="n">
        <v>44670</v>
      </c>
      <c r="C371" s="1" t="n">
        <v>45796</v>
      </c>
      <c r="D371" t="inlineStr">
        <is>
          <t>UPPSALA LÄN</t>
        </is>
      </c>
      <c r="E371" t="inlineStr">
        <is>
          <t>TIERP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16556-2022</t>
        </is>
      </c>
      <c r="B372" s="1" t="n">
        <v>44672</v>
      </c>
      <c r="C372" s="1" t="n">
        <v>45796</v>
      </c>
      <c r="D372" t="inlineStr">
        <is>
          <t>UPPSALA LÄN</t>
        </is>
      </c>
      <c r="E372" t="inlineStr">
        <is>
          <t>TIERP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17158-2022</t>
        </is>
      </c>
      <c r="B373" s="1" t="n">
        <v>44677</v>
      </c>
      <c r="C373" s="1" t="n">
        <v>45796</v>
      </c>
      <c r="D373" t="inlineStr">
        <is>
          <t>UPPSALA LÄN</t>
        </is>
      </c>
      <c r="E373" t="inlineStr">
        <is>
          <t>TIERP</t>
        </is>
      </c>
      <c r="F373" t="inlineStr">
        <is>
          <t>Övriga Aktiebolag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17074-2022</t>
        </is>
      </c>
      <c r="B374" s="1" t="n">
        <v>44677</v>
      </c>
      <c r="C374" s="1" t="n">
        <v>45796</v>
      </c>
      <c r="D374" t="inlineStr">
        <is>
          <t>UPPSALA LÄN</t>
        </is>
      </c>
      <c r="E374" t="inlineStr">
        <is>
          <t>TIERP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18097-2022</t>
        </is>
      </c>
      <c r="B375" s="1" t="n">
        <v>44684</v>
      </c>
      <c r="C375" s="1" t="n">
        <v>45796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öst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18130-2022</t>
        </is>
      </c>
      <c r="B376" s="1" t="n">
        <v>44684</v>
      </c>
      <c r="C376" s="1" t="n">
        <v>45796</v>
      </c>
      <c r="D376" t="inlineStr">
        <is>
          <t>UPPSALA LÄN</t>
        </is>
      </c>
      <c r="E376" t="inlineStr">
        <is>
          <t>TIERP</t>
        </is>
      </c>
      <c r="G376" t="n">
        <v>7.6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18431-2022</t>
        </is>
      </c>
      <c r="B377" s="1" t="n">
        <v>44686</v>
      </c>
      <c r="C377" s="1" t="n">
        <v>45796</v>
      </c>
      <c r="D377" t="inlineStr">
        <is>
          <t>UPPSALA LÄN</t>
        </is>
      </c>
      <c r="E377" t="inlineStr">
        <is>
          <t>TIERP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18609-2022</t>
        </is>
      </c>
      <c r="B378" s="1" t="n">
        <v>44687</v>
      </c>
      <c r="C378" s="1" t="n">
        <v>45796</v>
      </c>
      <c r="D378" t="inlineStr">
        <is>
          <t>UPPSALA LÄN</t>
        </is>
      </c>
      <c r="E378" t="inlineStr">
        <is>
          <t>TIERP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18781-2022</t>
        </is>
      </c>
      <c r="B379" s="1" t="n">
        <v>44689</v>
      </c>
      <c r="C379" s="1" t="n">
        <v>45796</v>
      </c>
      <c r="D379" t="inlineStr">
        <is>
          <t>UPPSALA LÄN</t>
        </is>
      </c>
      <c r="E379" t="inlineStr">
        <is>
          <t>TIERP</t>
        </is>
      </c>
      <c r="F379" t="inlineStr">
        <is>
          <t>Kyrkan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19840-2022</t>
        </is>
      </c>
      <c r="B380" s="1" t="n">
        <v>44696</v>
      </c>
      <c r="C380" s="1" t="n">
        <v>45796</v>
      </c>
      <c r="D380" t="inlineStr">
        <is>
          <t>UPPSALA LÄN</t>
        </is>
      </c>
      <c r="E380" t="inlineStr">
        <is>
          <t>TIERP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20288-2022</t>
        </is>
      </c>
      <c r="B381" s="1" t="n">
        <v>44698</v>
      </c>
      <c r="C381" s="1" t="n">
        <v>45796</v>
      </c>
      <c r="D381" t="inlineStr">
        <is>
          <t>UPPSALA LÄN</t>
        </is>
      </c>
      <c r="E381" t="inlineStr">
        <is>
          <t>TIERP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20587-2022</t>
        </is>
      </c>
      <c r="B382" s="1" t="n">
        <v>44700</v>
      </c>
      <c r="C382" s="1" t="n">
        <v>45796</v>
      </c>
      <c r="D382" t="inlineStr">
        <is>
          <t>UPPSALA LÄN</t>
        </is>
      </c>
      <c r="E382" t="inlineStr">
        <is>
          <t>TIERP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20885-2022</t>
        </is>
      </c>
      <c r="B383" s="1" t="n">
        <v>44701</v>
      </c>
      <c r="C383" s="1" t="n">
        <v>45796</v>
      </c>
      <c r="D383" t="inlineStr">
        <is>
          <t>UPPSALA LÄN</t>
        </is>
      </c>
      <c r="E383" t="inlineStr">
        <is>
          <t>TIERP</t>
        </is>
      </c>
      <c r="F383" t="inlineStr">
        <is>
          <t>Övriga Aktiebolag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20997-2022</t>
        </is>
      </c>
      <c r="B384" s="1" t="n">
        <v>44701</v>
      </c>
      <c r="C384" s="1" t="n">
        <v>45796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väst AB</t>
        </is>
      </c>
      <c r="G384" t="n">
        <v>40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20911-2022</t>
        </is>
      </c>
      <c r="B385" s="1" t="n">
        <v>44701</v>
      </c>
      <c r="C385" s="1" t="n">
        <v>45796</v>
      </c>
      <c r="D385" t="inlineStr">
        <is>
          <t>UPPSALA LÄN</t>
        </is>
      </c>
      <c r="E385" t="inlineStr">
        <is>
          <t>TIERP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21034-2022</t>
        </is>
      </c>
      <c r="B386" s="1" t="n">
        <v>44704</v>
      </c>
      <c r="C386" s="1" t="n">
        <v>45796</v>
      </c>
      <c r="D386" t="inlineStr">
        <is>
          <t>UPPSALA LÄN</t>
        </is>
      </c>
      <c r="E386" t="inlineStr">
        <is>
          <t>TIERP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21047-2022</t>
        </is>
      </c>
      <c r="B387" s="1" t="n">
        <v>44704</v>
      </c>
      <c r="C387" s="1" t="n">
        <v>45796</v>
      </c>
      <c r="D387" t="inlineStr">
        <is>
          <t>UPPSALA LÄN</t>
        </is>
      </c>
      <c r="E387" t="inlineStr">
        <is>
          <t>TIERP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21017-2022</t>
        </is>
      </c>
      <c r="B388" s="1" t="n">
        <v>44704</v>
      </c>
      <c r="C388" s="1" t="n">
        <v>45796</v>
      </c>
      <c r="D388" t="inlineStr">
        <is>
          <t>UPPSALA LÄN</t>
        </is>
      </c>
      <c r="E388" t="inlineStr">
        <is>
          <t>TIERP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21032-2022</t>
        </is>
      </c>
      <c r="B389" s="1" t="n">
        <v>44704</v>
      </c>
      <c r="C389" s="1" t="n">
        <v>45796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öst AB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21132-2022</t>
        </is>
      </c>
      <c r="B390" s="1" t="n">
        <v>44704</v>
      </c>
      <c r="C390" s="1" t="n">
        <v>45796</v>
      </c>
      <c r="D390" t="inlineStr">
        <is>
          <t>UPPSALA LÄN</t>
        </is>
      </c>
      <c r="E390" t="inlineStr">
        <is>
          <t>TIERP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21332-2022</t>
        </is>
      </c>
      <c r="B391" s="1" t="n">
        <v>44705</v>
      </c>
      <c r="C391" s="1" t="n">
        <v>45796</v>
      </c>
      <c r="D391" t="inlineStr">
        <is>
          <t>UPPSALA LÄN</t>
        </is>
      </c>
      <c r="E391" t="inlineStr">
        <is>
          <t>TIERP</t>
        </is>
      </c>
      <c r="F391" t="inlineStr">
        <is>
          <t>Övriga Aktiebolag</t>
        </is>
      </c>
      <c r="G391" t="n">
        <v>8.6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21775-2022</t>
        </is>
      </c>
      <c r="B392" s="1" t="n">
        <v>44708</v>
      </c>
      <c r="C392" s="1" t="n">
        <v>45796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väst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21776-2022</t>
        </is>
      </c>
      <c r="B393" s="1" t="n">
        <v>44708</v>
      </c>
      <c r="C393" s="1" t="n">
        <v>45796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22663-2022</t>
        </is>
      </c>
      <c r="B394" s="1" t="n">
        <v>44713</v>
      </c>
      <c r="C394" s="1" t="n">
        <v>45796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22592-2022</t>
        </is>
      </c>
      <c r="B395" s="1" t="n">
        <v>44713</v>
      </c>
      <c r="C395" s="1" t="n">
        <v>45796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22810-2022</t>
        </is>
      </c>
      <c r="B396" s="1" t="n">
        <v>44715</v>
      </c>
      <c r="C396" s="1" t="n">
        <v>45796</v>
      </c>
      <c r="D396" t="inlineStr">
        <is>
          <t>UPPSALA LÄN</t>
        </is>
      </c>
      <c r="E396" t="inlineStr">
        <is>
          <t>TIERP</t>
        </is>
      </c>
      <c r="F396" t="inlineStr">
        <is>
          <t>Övriga Aktiebolag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23959-2022</t>
        </is>
      </c>
      <c r="B397" s="1" t="n">
        <v>44722</v>
      </c>
      <c r="C397" s="1" t="n">
        <v>45796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öst AB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24264-2022</t>
        </is>
      </c>
      <c r="B398" s="1" t="n">
        <v>44725</v>
      </c>
      <c r="C398" s="1" t="n">
        <v>45796</v>
      </c>
      <c r="D398" t="inlineStr">
        <is>
          <t>UPPSALA LÄN</t>
        </is>
      </c>
      <c r="E398" t="inlineStr">
        <is>
          <t>TIERP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  <c r="U398">
        <f>HYPERLINK("https://klasma.github.io/Logging_0360/knärot/A 24264-2022 karta knärot.png", "A 24264-2022")</f>
        <v/>
      </c>
      <c r="V398">
        <f>HYPERLINK("https://klasma.github.io/Logging_0360/klagomål/A 24264-2022 FSC-klagomål.docx", "A 24264-2022")</f>
        <v/>
      </c>
      <c r="W398">
        <f>HYPERLINK("https://klasma.github.io/Logging_0360/klagomålsmail/A 24264-2022 FSC-klagomål mail.docx", "A 24264-2022")</f>
        <v/>
      </c>
      <c r="X398">
        <f>HYPERLINK("https://klasma.github.io/Logging_0360/tillsyn/A 24264-2022 tillsynsbegäran.docx", "A 24264-2022")</f>
        <v/>
      </c>
      <c r="Y398">
        <f>HYPERLINK("https://klasma.github.io/Logging_0360/tillsynsmail/A 24264-2022 tillsynsbegäran mail.docx", "A 24264-2022")</f>
        <v/>
      </c>
    </row>
    <row r="399" ht="15" customHeight="1">
      <c r="A399" t="inlineStr">
        <is>
          <t>A 24341-2022</t>
        </is>
      </c>
      <c r="B399" s="1" t="n">
        <v>44726</v>
      </c>
      <c r="C399" s="1" t="n">
        <v>45796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väst AB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24869-2022</t>
        </is>
      </c>
      <c r="B400" s="1" t="n">
        <v>44728</v>
      </c>
      <c r="C400" s="1" t="n">
        <v>45796</v>
      </c>
      <c r="D400" t="inlineStr">
        <is>
          <t>UPPSALA LÄN</t>
        </is>
      </c>
      <c r="E400" t="inlineStr">
        <is>
          <t>TIERP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25476-2022</t>
        </is>
      </c>
      <c r="B401" s="1" t="n">
        <v>44732</v>
      </c>
      <c r="C401" s="1" t="n">
        <v>45796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öst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25958-2022</t>
        </is>
      </c>
      <c r="B402" s="1" t="n">
        <v>44734</v>
      </c>
      <c r="C402" s="1" t="n">
        <v>45796</v>
      </c>
      <c r="D402" t="inlineStr">
        <is>
          <t>UPPSALA LÄN</t>
        </is>
      </c>
      <c r="E402" t="inlineStr">
        <is>
          <t>TIERP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26111-2022</t>
        </is>
      </c>
      <c r="B403" s="1" t="n">
        <v>44734</v>
      </c>
      <c r="C403" s="1" t="n">
        <v>45796</v>
      </c>
      <c r="D403" t="inlineStr">
        <is>
          <t>UPPSALA LÄN</t>
        </is>
      </c>
      <c r="E403" t="inlineStr">
        <is>
          <t>TIERP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26161-2022</t>
        </is>
      </c>
      <c r="B404" s="1" t="n">
        <v>44735</v>
      </c>
      <c r="C404" s="1" t="n">
        <v>45796</v>
      </c>
      <c r="D404" t="inlineStr">
        <is>
          <t>UPPSALA LÄN</t>
        </is>
      </c>
      <c r="E404" t="inlineStr">
        <is>
          <t>TIERP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26537-2022</t>
        </is>
      </c>
      <c r="B405" s="1" t="n">
        <v>44739</v>
      </c>
      <c r="C405" s="1" t="n">
        <v>45796</v>
      </c>
      <c r="D405" t="inlineStr">
        <is>
          <t>UPPSALA LÄN</t>
        </is>
      </c>
      <c r="E405" t="inlineStr">
        <is>
          <t>TIERP</t>
        </is>
      </c>
      <c r="G405" t="n">
        <v>9.4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26656-2022</t>
        </is>
      </c>
      <c r="B406" s="1" t="n">
        <v>44739</v>
      </c>
      <c r="C406" s="1" t="n">
        <v>45796</v>
      </c>
      <c r="D406" t="inlineStr">
        <is>
          <t>UPPSALA LÄN</t>
        </is>
      </c>
      <c r="E406" t="inlineStr">
        <is>
          <t>TIERP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27533-2022</t>
        </is>
      </c>
      <c r="B407" s="1" t="n">
        <v>44742</v>
      </c>
      <c r="C407" s="1" t="n">
        <v>45796</v>
      </c>
      <c r="D407" t="inlineStr">
        <is>
          <t>UPPSALA LÄN</t>
        </is>
      </c>
      <c r="E407" t="inlineStr">
        <is>
          <t>TIERP</t>
        </is>
      </c>
      <c r="F407" t="inlineStr">
        <is>
          <t>Bergvik skog öst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27838-2022</t>
        </is>
      </c>
      <c r="B408" s="1" t="n">
        <v>44743</v>
      </c>
      <c r="C408" s="1" t="n">
        <v>45796</v>
      </c>
      <c r="D408" t="inlineStr">
        <is>
          <t>UPPSALA LÄN</t>
        </is>
      </c>
      <c r="E408" t="inlineStr">
        <is>
          <t>TIERP</t>
        </is>
      </c>
      <c r="G408" t="n">
        <v>15.2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27860-2022</t>
        </is>
      </c>
      <c r="B409" s="1" t="n">
        <v>44743</v>
      </c>
      <c r="C409" s="1" t="n">
        <v>45796</v>
      </c>
      <c r="D409" t="inlineStr">
        <is>
          <t>UPPSALA LÄN</t>
        </is>
      </c>
      <c r="E409" t="inlineStr">
        <is>
          <t>TIERP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28346-2022</t>
        </is>
      </c>
      <c r="B410" s="1" t="n">
        <v>44747</v>
      </c>
      <c r="C410" s="1" t="n">
        <v>45796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väst AB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28565-2022</t>
        </is>
      </c>
      <c r="B411" s="1" t="n">
        <v>44748</v>
      </c>
      <c r="C411" s="1" t="n">
        <v>45796</v>
      </c>
      <c r="D411" t="inlineStr">
        <is>
          <t>UPPSALA LÄN</t>
        </is>
      </c>
      <c r="E411" t="inlineStr">
        <is>
          <t>TIERP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28881-2022</t>
        </is>
      </c>
      <c r="B412" s="1" t="n">
        <v>44749</v>
      </c>
      <c r="C412" s="1" t="n">
        <v>45796</v>
      </c>
      <c r="D412" t="inlineStr">
        <is>
          <t>UPPSALA LÄN</t>
        </is>
      </c>
      <c r="E412" t="inlineStr">
        <is>
          <t>TIERP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28915-2022</t>
        </is>
      </c>
      <c r="B413" s="1" t="n">
        <v>44749</v>
      </c>
      <c r="C413" s="1" t="n">
        <v>45796</v>
      </c>
      <c r="D413" t="inlineStr">
        <is>
          <t>UPPSALA LÄN</t>
        </is>
      </c>
      <c r="E413" t="inlineStr">
        <is>
          <t>TIERP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29103-2022</t>
        </is>
      </c>
      <c r="B414" s="1" t="n">
        <v>44750</v>
      </c>
      <c r="C414" s="1" t="n">
        <v>45796</v>
      </c>
      <c r="D414" t="inlineStr">
        <is>
          <t>UPPSALA LÄN</t>
        </is>
      </c>
      <c r="E414" t="inlineStr">
        <is>
          <t>TIERP</t>
        </is>
      </c>
      <c r="F414" t="inlineStr">
        <is>
          <t>Bergvik skog väst AB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29156-2022</t>
        </is>
      </c>
      <c r="B415" s="1" t="n">
        <v>44750</v>
      </c>
      <c r="C415" s="1" t="n">
        <v>45796</v>
      </c>
      <c r="D415" t="inlineStr">
        <is>
          <t>UPPSALA LÄN</t>
        </is>
      </c>
      <c r="E415" t="inlineStr">
        <is>
          <t>TIERP</t>
        </is>
      </c>
      <c r="F415" t="inlineStr">
        <is>
          <t>Övriga Aktiebolag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29737-2022</t>
        </is>
      </c>
      <c r="B416" s="1" t="n">
        <v>44755</v>
      </c>
      <c r="C416" s="1" t="n">
        <v>45796</v>
      </c>
      <c r="D416" t="inlineStr">
        <is>
          <t>UPPSALA LÄN</t>
        </is>
      </c>
      <c r="E416" t="inlineStr">
        <is>
          <t>TIERP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29899-2022</t>
        </is>
      </c>
      <c r="B417" s="1" t="n">
        <v>44756</v>
      </c>
      <c r="C417" s="1" t="n">
        <v>45796</v>
      </c>
      <c r="D417" t="inlineStr">
        <is>
          <t>UPPSALA LÄN</t>
        </is>
      </c>
      <c r="E417" t="inlineStr">
        <is>
          <t>TIERP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29981-2022</t>
        </is>
      </c>
      <c r="B418" s="1" t="n">
        <v>44756</v>
      </c>
      <c r="C418" s="1" t="n">
        <v>45796</v>
      </c>
      <c r="D418" t="inlineStr">
        <is>
          <t>UPPSALA LÄN</t>
        </is>
      </c>
      <c r="E418" t="inlineStr">
        <is>
          <t>TIERP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29983-2022</t>
        </is>
      </c>
      <c r="B419" s="1" t="n">
        <v>44756</v>
      </c>
      <c r="C419" s="1" t="n">
        <v>45796</v>
      </c>
      <c r="D419" t="inlineStr">
        <is>
          <t>UPPSALA LÄN</t>
        </is>
      </c>
      <c r="E419" t="inlineStr">
        <is>
          <t>TIERP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31094-2022</t>
        </is>
      </c>
      <c r="B420" s="1" t="n">
        <v>44769</v>
      </c>
      <c r="C420" s="1" t="n">
        <v>45796</v>
      </c>
      <c r="D420" t="inlineStr">
        <is>
          <t>UPPSALA LÄN</t>
        </is>
      </c>
      <c r="E420" t="inlineStr">
        <is>
          <t>TIERP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31103-2022</t>
        </is>
      </c>
      <c r="B421" s="1" t="n">
        <v>44769</v>
      </c>
      <c r="C421" s="1" t="n">
        <v>45796</v>
      </c>
      <c r="D421" t="inlineStr">
        <is>
          <t>UPPSALA LÄN</t>
        </is>
      </c>
      <c r="E421" t="inlineStr">
        <is>
          <t>TIERP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32090-2022</t>
        </is>
      </c>
      <c r="B422" s="1" t="n">
        <v>44778</v>
      </c>
      <c r="C422" s="1" t="n">
        <v>45796</v>
      </c>
      <c r="D422" t="inlineStr">
        <is>
          <t>UPPSALA LÄN</t>
        </is>
      </c>
      <c r="E422" t="inlineStr">
        <is>
          <t>TIERP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32092-2022</t>
        </is>
      </c>
      <c r="B423" s="1" t="n">
        <v>44778</v>
      </c>
      <c r="C423" s="1" t="n">
        <v>45796</v>
      </c>
      <c r="D423" t="inlineStr">
        <is>
          <t>UPPSALA LÄN</t>
        </is>
      </c>
      <c r="E423" t="inlineStr">
        <is>
          <t>TIERP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32089-2022</t>
        </is>
      </c>
      <c r="B424" s="1" t="n">
        <v>44778</v>
      </c>
      <c r="C424" s="1" t="n">
        <v>45796</v>
      </c>
      <c r="D424" t="inlineStr">
        <is>
          <t>UPPSALA LÄN</t>
        </is>
      </c>
      <c r="E424" t="inlineStr">
        <is>
          <t>TIERP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32190-2022</t>
        </is>
      </c>
      <c r="B425" s="1" t="n">
        <v>44781</v>
      </c>
      <c r="C425" s="1" t="n">
        <v>45796</v>
      </c>
      <c r="D425" t="inlineStr">
        <is>
          <t>UPPSALA LÄN</t>
        </is>
      </c>
      <c r="E425" t="inlineStr">
        <is>
          <t>TIERP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32326-2022</t>
        </is>
      </c>
      <c r="B426" s="1" t="n">
        <v>44781</v>
      </c>
      <c r="C426" s="1" t="n">
        <v>45796</v>
      </c>
      <c r="D426" t="inlineStr">
        <is>
          <t>UPPSALA LÄN</t>
        </is>
      </c>
      <c r="E426" t="inlineStr">
        <is>
          <t>TIERP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33286-2022</t>
        </is>
      </c>
      <c r="B427" s="1" t="n">
        <v>44788</v>
      </c>
      <c r="C427" s="1" t="n">
        <v>45796</v>
      </c>
      <c r="D427" t="inlineStr">
        <is>
          <t>UPPSALA LÄN</t>
        </is>
      </c>
      <c r="E427" t="inlineStr">
        <is>
          <t>TIERP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33890-2022</t>
        </is>
      </c>
      <c r="B428" s="1" t="n">
        <v>44790</v>
      </c>
      <c r="C428" s="1" t="n">
        <v>45796</v>
      </c>
      <c r="D428" t="inlineStr">
        <is>
          <t>UPPSALA LÄN</t>
        </is>
      </c>
      <c r="E428" t="inlineStr">
        <is>
          <t>TIERP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34460-2022</t>
        </is>
      </c>
      <c r="B429" s="1" t="n">
        <v>44792</v>
      </c>
      <c r="C429" s="1" t="n">
        <v>45796</v>
      </c>
      <c r="D429" t="inlineStr">
        <is>
          <t>UPPSALA LÄN</t>
        </is>
      </c>
      <c r="E429" t="inlineStr">
        <is>
          <t>TIERP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36549-2022</t>
        </is>
      </c>
      <c r="B430" s="1" t="n">
        <v>44804</v>
      </c>
      <c r="C430" s="1" t="n">
        <v>45796</v>
      </c>
      <c r="D430" t="inlineStr">
        <is>
          <t>UPPSALA LÄN</t>
        </is>
      </c>
      <c r="E430" t="inlineStr">
        <is>
          <t>TIERP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36561-2022</t>
        </is>
      </c>
      <c r="B431" s="1" t="n">
        <v>44804</v>
      </c>
      <c r="C431" s="1" t="n">
        <v>45796</v>
      </c>
      <c r="D431" t="inlineStr">
        <is>
          <t>UPPSALA LÄN</t>
        </is>
      </c>
      <c r="E431" t="inlineStr">
        <is>
          <t>TIERP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37938-2022</t>
        </is>
      </c>
      <c r="B432" s="1" t="n">
        <v>44811</v>
      </c>
      <c r="C432" s="1" t="n">
        <v>45796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öst AB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39802-2022</t>
        </is>
      </c>
      <c r="B433" s="1" t="n">
        <v>44819</v>
      </c>
      <c r="C433" s="1" t="n">
        <v>45796</v>
      </c>
      <c r="D433" t="inlineStr">
        <is>
          <t>UPPSALA LÄN</t>
        </is>
      </c>
      <c r="E433" t="inlineStr">
        <is>
          <t>TIERP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39903-2022</t>
        </is>
      </c>
      <c r="B434" s="1" t="n">
        <v>44819</v>
      </c>
      <c r="C434" s="1" t="n">
        <v>45796</v>
      </c>
      <c r="D434" t="inlineStr">
        <is>
          <t>UPPSALA LÄN</t>
        </is>
      </c>
      <c r="E434" t="inlineStr">
        <is>
          <t>TIERP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40765-2022</t>
        </is>
      </c>
      <c r="B435" s="1" t="n">
        <v>44824</v>
      </c>
      <c r="C435" s="1" t="n">
        <v>45796</v>
      </c>
      <c r="D435" t="inlineStr">
        <is>
          <t>UPPSALA LÄN</t>
        </is>
      </c>
      <c r="E435" t="inlineStr">
        <is>
          <t>TIERP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41971-2022</t>
        </is>
      </c>
      <c r="B436" s="1" t="n">
        <v>44827</v>
      </c>
      <c r="C436" s="1" t="n">
        <v>45796</v>
      </c>
      <c r="D436" t="inlineStr">
        <is>
          <t>UPPSALA LÄN</t>
        </is>
      </c>
      <c r="E436" t="inlineStr">
        <is>
          <t>TIERP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43713-2022</t>
        </is>
      </c>
      <c r="B437" s="1" t="n">
        <v>44837</v>
      </c>
      <c r="C437" s="1" t="n">
        <v>45796</v>
      </c>
      <c r="D437" t="inlineStr">
        <is>
          <t>UPPSALA LÄN</t>
        </is>
      </c>
      <c r="E437" t="inlineStr">
        <is>
          <t>TIERP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43680-2022</t>
        </is>
      </c>
      <c r="B438" s="1" t="n">
        <v>44837</v>
      </c>
      <c r="C438" s="1" t="n">
        <v>45796</v>
      </c>
      <c r="D438" t="inlineStr">
        <is>
          <t>UPPSALA LÄN</t>
        </is>
      </c>
      <c r="E438" t="inlineStr">
        <is>
          <t>TIERP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44946-2022</t>
        </is>
      </c>
      <c r="B439" s="1" t="n">
        <v>44841</v>
      </c>
      <c r="C439" s="1" t="n">
        <v>45796</v>
      </c>
      <c r="D439" t="inlineStr">
        <is>
          <t>UPPSALA LÄN</t>
        </is>
      </c>
      <c r="E439" t="inlineStr">
        <is>
          <t>TIERP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45057-2022</t>
        </is>
      </c>
      <c r="B440" s="1" t="n">
        <v>44841</v>
      </c>
      <c r="C440" s="1" t="n">
        <v>45796</v>
      </c>
      <c r="D440" t="inlineStr">
        <is>
          <t>UPPSALA LÄN</t>
        </is>
      </c>
      <c r="E440" t="inlineStr">
        <is>
          <t>TIERP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46681-2022</t>
        </is>
      </c>
      <c r="B441" s="1" t="n">
        <v>44843</v>
      </c>
      <c r="C441" s="1" t="n">
        <v>45796</v>
      </c>
      <c r="D441" t="inlineStr">
        <is>
          <t>UPPSALA LÄN</t>
        </is>
      </c>
      <c r="E441" t="inlineStr">
        <is>
          <t>TIERP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45516-2022</t>
        </is>
      </c>
      <c r="B442" s="1" t="n">
        <v>44845</v>
      </c>
      <c r="C442" s="1" t="n">
        <v>45796</v>
      </c>
      <c r="D442" t="inlineStr">
        <is>
          <t>UPPSALA LÄN</t>
        </is>
      </c>
      <c r="E442" t="inlineStr">
        <is>
          <t>TIERP</t>
        </is>
      </c>
      <c r="F442" t="inlineStr">
        <is>
          <t>Bergvik skog öst AB</t>
        </is>
      </c>
      <c r="G442" t="n">
        <v>28.1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45769-2022</t>
        </is>
      </c>
      <c r="B443" s="1" t="n">
        <v>44846</v>
      </c>
      <c r="C443" s="1" t="n">
        <v>45796</v>
      </c>
      <c r="D443" t="inlineStr">
        <is>
          <t>UPPSALA LÄN</t>
        </is>
      </c>
      <c r="E443" t="inlineStr">
        <is>
          <t>TIERP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46275-2022</t>
        </is>
      </c>
      <c r="B444" s="1" t="n">
        <v>44847</v>
      </c>
      <c r="C444" s="1" t="n">
        <v>45796</v>
      </c>
      <c r="D444" t="inlineStr">
        <is>
          <t>UPPSALA LÄN</t>
        </is>
      </c>
      <c r="E444" t="inlineStr">
        <is>
          <t>TIERP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47419-2022</t>
        </is>
      </c>
      <c r="B445" s="1" t="n">
        <v>44853</v>
      </c>
      <c r="C445" s="1" t="n">
        <v>45796</v>
      </c>
      <c r="D445" t="inlineStr">
        <is>
          <t>UPPSALA LÄN</t>
        </is>
      </c>
      <c r="E445" t="inlineStr">
        <is>
          <t>TIERP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47414-2022</t>
        </is>
      </c>
      <c r="B446" s="1" t="n">
        <v>44853</v>
      </c>
      <c r="C446" s="1" t="n">
        <v>45796</v>
      </c>
      <c r="D446" t="inlineStr">
        <is>
          <t>UPPSALA LÄN</t>
        </is>
      </c>
      <c r="E446" t="inlineStr">
        <is>
          <t>TIERP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47422-2022</t>
        </is>
      </c>
      <c r="B447" s="1" t="n">
        <v>44853</v>
      </c>
      <c r="C447" s="1" t="n">
        <v>45796</v>
      </c>
      <c r="D447" t="inlineStr">
        <is>
          <t>UPPSALA LÄN</t>
        </is>
      </c>
      <c r="E447" t="inlineStr">
        <is>
          <t>TIERP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48483-2022</t>
        </is>
      </c>
      <c r="B448" s="1" t="n">
        <v>44858</v>
      </c>
      <c r="C448" s="1" t="n">
        <v>45796</v>
      </c>
      <c r="D448" t="inlineStr">
        <is>
          <t>UPPSALA LÄN</t>
        </is>
      </c>
      <c r="E448" t="inlineStr">
        <is>
          <t>TIERP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48486-2022</t>
        </is>
      </c>
      <c r="B449" s="1" t="n">
        <v>44858</v>
      </c>
      <c r="C449" s="1" t="n">
        <v>45796</v>
      </c>
      <c r="D449" t="inlineStr">
        <is>
          <t>UPPSALA LÄN</t>
        </is>
      </c>
      <c r="E449" t="inlineStr">
        <is>
          <t>TIERP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48403-2022</t>
        </is>
      </c>
      <c r="B450" s="1" t="n">
        <v>44858</v>
      </c>
      <c r="C450" s="1" t="n">
        <v>45796</v>
      </c>
      <c r="D450" t="inlineStr">
        <is>
          <t>UPPSALA LÄN</t>
        </is>
      </c>
      <c r="E450" t="inlineStr">
        <is>
          <t>TIERP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48575-2022</t>
        </is>
      </c>
      <c r="B451" s="1" t="n">
        <v>44859</v>
      </c>
      <c r="C451" s="1" t="n">
        <v>45796</v>
      </c>
      <c r="D451" t="inlineStr">
        <is>
          <t>UPPSALA LÄN</t>
        </is>
      </c>
      <c r="E451" t="inlineStr">
        <is>
          <t>TIERP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48568-2022</t>
        </is>
      </c>
      <c r="B452" s="1" t="n">
        <v>44859</v>
      </c>
      <c r="C452" s="1" t="n">
        <v>45796</v>
      </c>
      <c r="D452" t="inlineStr">
        <is>
          <t>UPPSALA LÄN</t>
        </is>
      </c>
      <c r="E452" t="inlineStr">
        <is>
          <t>TIERP</t>
        </is>
      </c>
      <c r="F452" t="inlineStr">
        <is>
          <t>Bergvik skog väst AB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48750-2022</t>
        </is>
      </c>
      <c r="B453" s="1" t="n">
        <v>44859</v>
      </c>
      <c r="C453" s="1" t="n">
        <v>45796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öst AB</t>
        </is>
      </c>
      <c r="G453" t="n">
        <v>30.2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49314-2022</t>
        </is>
      </c>
      <c r="B454" s="1" t="n">
        <v>44861</v>
      </c>
      <c r="C454" s="1" t="n">
        <v>45796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öst AB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49946-2022</t>
        </is>
      </c>
      <c r="B455" s="1" t="n">
        <v>44865</v>
      </c>
      <c r="C455" s="1" t="n">
        <v>45796</v>
      </c>
      <c r="D455" t="inlineStr">
        <is>
          <t>UPPSALA LÄN</t>
        </is>
      </c>
      <c r="E455" t="inlineStr">
        <is>
          <t>TIERP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49933-2022</t>
        </is>
      </c>
      <c r="B456" s="1" t="n">
        <v>44865</v>
      </c>
      <c r="C456" s="1" t="n">
        <v>45796</v>
      </c>
      <c r="D456" t="inlineStr">
        <is>
          <t>UPPSALA LÄN</t>
        </is>
      </c>
      <c r="E456" t="inlineStr">
        <is>
          <t>TIERP</t>
        </is>
      </c>
      <c r="G456" t="n">
        <v>11.3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50040-2022</t>
        </is>
      </c>
      <c r="B457" s="1" t="n">
        <v>44865</v>
      </c>
      <c r="C457" s="1" t="n">
        <v>45796</v>
      </c>
      <c r="D457" t="inlineStr">
        <is>
          <t>UPPSALA LÄN</t>
        </is>
      </c>
      <c r="E457" t="inlineStr">
        <is>
          <t>TIERP</t>
        </is>
      </c>
      <c r="F457" t="inlineStr">
        <is>
          <t>Bergvik skog väst AB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51232-2022</t>
        </is>
      </c>
      <c r="B458" s="1" t="n">
        <v>44868</v>
      </c>
      <c r="C458" s="1" t="n">
        <v>45796</v>
      </c>
      <c r="D458" t="inlineStr">
        <is>
          <t>UPPSALA LÄN</t>
        </is>
      </c>
      <c r="E458" t="inlineStr">
        <is>
          <t>TIERP</t>
        </is>
      </c>
      <c r="F458" t="inlineStr">
        <is>
          <t>Bergvik skog öst AB</t>
        </is>
      </c>
      <c r="G458" t="n">
        <v>21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51606-2022</t>
        </is>
      </c>
      <c r="B459" s="1" t="n">
        <v>44871</v>
      </c>
      <c r="C459" s="1" t="n">
        <v>45796</v>
      </c>
      <c r="D459" t="inlineStr">
        <is>
          <t>UPPSALA LÄN</t>
        </is>
      </c>
      <c r="E459" t="inlineStr">
        <is>
          <t>TIERP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52388-2022</t>
        </is>
      </c>
      <c r="B460" s="1" t="n">
        <v>44874</v>
      </c>
      <c r="C460" s="1" t="n">
        <v>45796</v>
      </c>
      <c r="D460" t="inlineStr">
        <is>
          <t>UPPSALA LÄN</t>
        </is>
      </c>
      <c r="E460" t="inlineStr">
        <is>
          <t>TIERP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53819-2022</t>
        </is>
      </c>
      <c r="B461" s="1" t="n">
        <v>44880</v>
      </c>
      <c r="C461" s="1" t="n">
        <v>45796</v>
      </c>
      <c r="D461" t="inlineStr">
        <is>
          <t>UPPSALA LÄN</t>
        </is>
      </c>
      <c r="E461" t="inlineStr">
        <is>
          <t>TIERP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53784-2022</t>
        </is>
      </c>
      <c r="B462" s="1" t="n">
        <v>44880</v>
      </c>
      <c r="C462" s="1" t="n">
        <v>45796</v>
      </c>
      <c r="D462" t="inlineStr">
        <is>
          <t>UPPSALA LÄN</t>
        </is>
      </c>
      <c r="E462" t="inlineStr">
        <is>
          <t>TIERP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53813-2022</t>
        </is>
      </c>
      <c r="B463" s="1" t="n">
        <v>44880</v>
      </c>
      <c r="C463" s="1" t="n">
        <v>45796</v>
      </c>
      <c r="D463" t="inlineStr">
        <is>
          <t>UPPSALA LÄN</t>
        </is>
      </c>
      <c r="E463" t="inlineStr">
        <is>
          <t>TIERP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54041-2022</t>
        </is>
      </c>
      <c r="B464" s="1" t="n">
        <v>44881</v>
      </c>
      <c r="C464" s="1" t="n">
        <v>45796</v>
      </c>
      <c r="D464" t="inlineStr">
        <is>
          <t>UPPSALA LÄN</t>
        </is>
      </c>
      <c r="E464" t="inlineStr">
        <is>
          <t>TIERP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54764-2022</t>
        </is>
      </c>
      <c r="B465" s="1" t="n">
        <v>44883</v>
      </c>
      <c r="C465" s="1" t="n">
        <v>45796</v>
      </c>
      <c r="D465" t="inlineStr">
        <is>
          <t>UPPSALA LÄN</t>
        </is>
      </c>
      <c r="E465" t="inlineStr">
        <is>
          <t>TIERP</t>
        </is>
      </c>
      <c r="G465" t="n">
        <v>8.699999999999999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54952-2022</t>
        </is>
      </c>
      <c r="B466" s="1" t="n">
        <v>44886</v>
      </c>
      <c r="C466" s="1" t="n">
        <v>45796</v>
      </c>
      <c r="D466" t="inlineStr">
        <is>
          <t>UPPSALA LÄN</t>
        </is>
      </c>
      <c r="E466" t="inlineStr">
        <is>
          <t>TIERP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55423-2022</t>
        </is>
      </c>
      <c r="B467" s="1" t="n">
        <v>44887</v>
      </c>
      <c r="C467" s="1" t="n">
        <v>45796</v>
      </c>
      <c r="D467" t="inlineStr">
        <is>
          <t>UPPSALA LÄN</t>
        </is>
      </c>
      <c r="E467" t="inlineStr">
        <is>
          <t>TIERP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55508-2022</t>
        </is>
      </c>
      <c r="B468" s="1" t="n">
        <v>44887</v>
      </c>
      <c r="C468" s="1" t="n">
        <v>45796</v>
      </c>
      <c r="D468" t="inlineStr">
        <is>
          <t>UPPSALA LÄN</t>
        </is>
      </c>
      <c r="E468" t="inlineStr">
        <is>
          <t>TIERP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56558-2022</t>
        </is>
      </c>
      <c r="B469" s="1" t="n">
        <v>44887</v>
      </c>
      <c r="C469" s="1" t="n">
        <v>45796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väst AB</t>
        </is>
      </c>
      <c r="G469" t="n">
        <v>20.3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55566-2022</t>
        </is>
      </c>
      <c r="B470" s="1" t="n">
        <v>44888</v>
      </c>
      <c r="C470" s="1" t="n">
        <v>45796</v>
      </c>
      <c r="D470" t="inlineStr">
        <is>
          <t>UPPSALA LÄN</t>
        </is>
      </c>
      <c r="E470" t="inlineStr">
        <is>
          <t>TIERP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56350-2022</t>
        </is>
      </c>
      <c r="B471" s="1" t="n">
        <v>44890</v>
      </c>
      <c r="C471" s="1" t="n">
        <v>45796</v>
      </c>
      <c r="D471" t="inlineStr">
        <is>
          <t>UPPSALA LÄN</t>
        </is>
      </c>
      <c r="E471" t="inlineStr">
        <is>
          <t>TIERP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56438-2022</t>
        </is>
      </c>
      <c r="B472" s="1" t="n">
        <v>44892</v>
      </c>
      <c r="C472" s="1" t="n">
        <v>45796</v>
      </c>
      <c r="D472" t="inlineStr">
        <is>
          <t>UPPSALA LÄN</t>
        </is>
      </c>
      <c r="E472" t="inlineStr">
        <is>
          <t>TIERP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56966-2022</t>
        </is>
      </c>
      <c r="B473" s="1" t="n">
        <v>44894</v>
      </c>
      <c r="C473" s="1" t="n">
        <v>45796</v>
      </c>
      <c r="D473" t="inlineStr">
        <is>
          <t>UPPSALA LÄN</t>
        </is>
      </c>
      <c r="E473" t="inlineStr">
        <is>
          <t>TIERP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56972-2022</t>
        </is>
      </c>
      <c r="B474" s="1" t="n">
        <v>44894</v>
      </c>
      <c r="C474" s="1" t="n">
        <v>45796</v>
      </c>
      <c r="D474" t="inlineStr">
        <is>
          <t>UPPSALA LÄN</t>
        </is>
      </c>
      <c r="E474" t="inlineStr">
        <is>
          <t>TIERP</t>
        </is>
      </c>
      <c r="G474" t="n">
        <v>11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56877-2022</t>
        </is>
      </c>
      <c r="B475" s="1" t="n">
        <v>44894</v>
      </c>
      <c r="C475" s="1" t="n">
        <v>45796</v>
      </c>
      <c r="D475" t="inlineStr">
        <is>
          <t>UPPSALA LÄN</t>
        </is>
      </c>
      <c r="E475" t="inlineStr">
        <is>
          <t>TIERP</t>
        </is>
      </c>
      <c r="F475" t="inlineStr">
        <is>
          <t>Bergvik skog väst AB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56947-2022</t>
        </is>
      </c>
      <c r="B476" s="1" t="n">
        <v>44894</v>
      </c>
      <c r="C476" s="1" t="n">
        <v>45796</v>
      </c>
      <c r="D476" t="inlineStr">
        <is>
          <t>UPPSALA LÄN</t>
        </is>
      </c>
      <c r="E476" t="inlineStr">
        <is>
          <t>TIERP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57532-2022</t>
        </is>
      </c>
      <c r="B477" s="1" t="n">
        <v>44896</v>
      </c>
      <c r="C477" s="1" t="n">
        <v>45796</v>
      </c>
      <c r="D477" t="inlineStr">
        <is>
          <t>UPPSALA LÄN</t>
        </is>
      </c>
      <c r="E477" t="inlineStr">
        <is>
          <t>TIERP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57536-2022</t>
        </is>
      </c>
      <c r="B478" s="1" t="n">
        <v>44896</v>
      </c>
      <c r="C478" s="1" t="n">
        <v>45796</v>
      </c>
      <c r="D478" t="inlineStr">
        <is>
          <t>UPPSALA LÄN</t>
        </is>
      </c>
      <c r="E478" t="inlineStr">
        <is>
          <t>TIERP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58120-2022</t>
        </is>
      </c>
      <c r="B479" s="1" t="n">
        <v>44900</v>
      </c>
      <c r="C479" s="1" t="n">
        <v>45796</v>
      </c>
      <c r="D479" t="inlineStr">
        <is>
          <t>UPPSALA LÄN</t>
        </is>
      </c>
      <c r="E479" t="inlineStr">
        <is>
          <t>TIERP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58058-2022</t>
        </is>
      </c>
      <c r="B480" s="1" t="n">
        <v>44900</v>
      </c>
      <c r="C480" s="1" t="n">
        <v>45796</v>
      </c>
      <c r="D480" t="inlineStr">
        <is>
          <t>UPPSALA LÄN</t>
        </is>
      </c>
      <c r="E480" t="inlineStr">
        <is>
          <t>TIERP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58080-2022</t>
        </is>
      </c>
      <c r="B481" s="1" t="n">
        <v>44900</v>
      </c>
      <c r="C481" s="1" t="n">
        <v>45796</v>
      </c>
      <c r="D481" t="inlineStr">
        <is>
          <t>UPPSALA LÄN</t>
        </is>
      </c>
      <c r="E481" t="inlineStr">
        <is>
          <t>TIERP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58222-2022</t>
        </is>
      </c>
      <c r="B482" s="1" t="n">
        <v>44901</v>
      </c>
      <c r="C482" s="1" t="n">
        <v>45796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väst AB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58691-2022</t>
        </is>
      </c>
      <c r="B483" s="1" t="n">
        <v>44902</v>
      </c>
      <c r="C483" s="1" t="n">
        <v>45796</v>
      </c>
      <c r="D483" t="inlineStr">
        <is>
          <t>UPPSALA LÄN</t>
        </is>
      </c>
      <c r="E483" t="inlineStr">
        <is>
          <t>TIERP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58957-2022</t>
        </is>
      </c>
      <c r="B484" s="1" t="n">
        <v>44903</v>
      </c>
      <c r="C484" s="1" t="n">
        <v>45796</v>
      </c>
      <c r="D484" t="inlineStr">
        <is>
          <t>UPPSALA LÄN</t>
        </is>
      </c>
      <c r="E484" t="inlineStr">
        <is>
          <t>TIERP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59393-2022</t>
        </is>
      </c>
      <c r="B485" s="1" t="n">
        <v>44906</v>
      </c>
      <c r="C485" s="1" t="n">
        <v>45796</v>
      </c>
      <c r="D485" t="inlineStr">
        <is>
          <t>UPPSALA LÄN</t>
        </is>
      </c>
      <c r="E485" t="inlineStr">
        <is>
          <t>TIERP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59394-2022</t>
        </is>
      </c>
      <c r="B486" s="1" t="n">
        <v>44906</v>
      </c>
      <c r="C486" s="1" t="n">
        <v>45796</v>
      </c>
      <c r="D486" t="inlineStr">
        <is>
          <t>UPPSALA LÄN</t>
        </is>
      </c>
      <c r="E486" t="inlineStr">
        <is>
          <t>TIERP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59534-2022</t>
        </is>
      </c>
      <c r="B487" s="1" t="n">
        <v>44907</v>
      </c>
      <c r="C487" s="1" t="n">
        <v>45796</v>
      </c>
      <c r="D487" t="inlineStr">
        <is>
          <t>UPPSALA LÄN</t>
        </is>
      </c>
      <c r="E487" t="inlineStr">
        <is>
          <t>TIERP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59589-2022</t>
        </is>
      </c>
      <c r="B488" s="1" t="n">
        <v>44907</v>
      </c>
      <c r="C488" s="1" t="n">
        <v>45796</v>
      </c>
      <c r="D488" t="inlineStr">
        <is>
          <t>UPPSALA LÄN</t>
        </is>
      </c>
      <c r="E488" t="inlineStr">
        <is>
          <t>TIERP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59731-2022</t>
        </is>
      </c>
      <c r="B489" s="1" t="n">
        <v>44908</v>
      </c>
      <c r="C489" s="1" t="n">
        <v>45796</v>
      </c>
      <c r="D489" t="inlineStr">
        <is>
          <t>UPPSALA LÄN</t>
        </is>
      </c>
      <c r="E489" t="inlineStr">
        <is>
          <t>TIERP</t>
        </is>
      </c>
      <c r="F489" t="inlineStr">
        <is>
          <t>Kyrkan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60154-2022</t>
        </is>
      </c>
      <c r="B490" s="1" t="n">
        <v>44909</v>
      </c>
      <c r="C490" s="1" t="n">
        <v>45796</v>
      </c>
      <c r="D490" t="inlineStr">
        <is>
          <t>UPPSALA LÄN</t>
        </is>
      </c>
      <c r="E490" t="inlineStr">
        <is>
          <t>TIERP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60151-2022</t>
        </is>
      </c>
      <c r="B491" s="1" t="n">
        <v>44909</v>
      </c>
      <c r="C491" s="1" t="n">
        <v>45796</v>
      </c>
      <c r="D491" t="inlineStr">
        <is>
          <t>UPPSALA LÄN</t>
        </is>
      </c>
      <c r="E491" t="inlineStr">
        <is>
          <t>TIERP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60505-2022</t>
        </is>
      </c>
      <c r="B492" s="1" t="n">
        <v>44911</v>
      </c>
      <c r="C492" s="1" t="n">
        <v>45796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61615-2022</t>
        </is>
      </c>
      <c r="B493" s="1" t="n">
        <v>44916</v>
      </c>
      <c r="C493" s="1" t="n">
        <v>45796</v>
      </c>
      <c r="D493" t="inlineStr">
        <is>
          <t>UPPSALA LÄN</t>
        </is>
      </c>
      <c r="E493" t="inlineStr">
        <is>
          <t>TIERP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61617-2022</t>
        </is>
      </c>
      <c r="B494" s="1" t="n">
        <v>44916</v>
      </c>
      <c r="C494" s="1" t="n">
        <v>45796</v>
      </c>
      <c r="D494" t="inlineStr">
        <is>
          <t>UPPSALA LÄN</t>
        </is>
      </c>
      <c r="E494" t="inlineStr">
        <is>
          <t>TIERP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61694-2022</t>
        </is>
      </c>
      <c r="B495" s="1" t="n">
        <v>44917</v>
      </c>
      <c r="C495" s="1" t="n">
        <v>45796</v>
      </c>
      <c r="D495" t="inlineStr">
        <is>
          <t>UPPSALA LÄN</t>
        </is>
      </c>
      <c r="E495" t="inlineStr">
        <is>
          <t>TIERP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61715-2022</t>
        </is>
      </c>
      <c r="B496" s="1" t="n">
        <v>44917</v>
      </c>
      <c r="C496" s="1" t="n">
        <v>45796</v>
      </c>
      <c r="D496" t="inlineStr">
        <is>
          <t>UPPSALA LÄN</t>
        </is>
      </c>
      <c r="E496" t="inlineStr">
        <is>
          <t>TIERP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61717-2022</t>
        </is>
      </c>
      <c r="B497" s="1" t="n">
        <v>44917</v>
      </c>
      <c r="C497" s="1" t="n">
        <v>45796</v>
      </c>
      <c r="D497" t="inlineStr">
        <is>
          <t>UPPSALA LÄN</t>
        </is>
      </c>
      <c r="E497" t="inlineStr">
        <is>
          <t>TIERP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62138-2022</t>
        </is>
      </c>
      <c r="B498" s="1" t="n">
        <v>44922</v>
      </c>
      <c r="C498" s="1" t="n">
        <v>45796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16.9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439-2023</t>
        </is>
      </c>
      <c r="B499" s="1" t="n">
        <v>44924</v>
      </c>
      <c r="C499" s="1" t="n">
        <v>45796</v>
      </c>
      <c r="D499" t="inlineStr">
        <is>
          <t>UPPSALA LÄN</t>
        </is>
      </c>
      <c r="E499" t="inlineStr">
        <is>
          <t>TIERP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437-2023</t>
        </is>
      </c>
      <c r="B500" s="1" t="n">
        <v>44924</v>
      </c>
      <c r="C500" s="1" t="n">
        <v>45796</v>
      </c>
      <c r="D500" t="inlineStr">
        <is>
          <t>UPPSALA LÄN</t>
        </is>
      </c>
      <c r="E500" t="inlineStr">
        <is>
          <t>TIERP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73-2023</t>
        </is>
      </c>
      <c r="B501" s="1" t="n">
        <v>44928</v>
      </c>
      <c r="C501" s="1" t="n">
        <v>45796</v>
      </c>
      <c r="D501" t="inlineStr">
        <is>
          <t>UPPSALA LÄN</t>
        </is>
      </c>
      <c r="E501" t="inlineStr">
        <is>
          <t>TIERP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319-2023</t>
        </is>
      </c>
      <c r="B502" s="1" t="n">
        <v>44929</v>
      </c>
      <c r="C502" s="1" t="n">
        <v>45796</v>
      </c>
      <c r="D502" t="inlineStr">
        <is>
          <t>UPPSALA LÄN</t>
        </is>
      </c>
      <c r="E502" t="inlineStr">
        <is>
          <t>TIERP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1384-2023</t>
        </is>
      </c>
      <c r="B503" s="1" t="n">
        <v>44936</v>
      </c>
      <c r="C503" s="1" t="n">
        <v>45796</v>
      </c>
      <c r="D503" t="inlineStr">
        <is>
          <t>UPPSALA LÄN</t>
        </is>
      </c>
      <c r="E503" t="inlineStr">
        <is>
          <t>TIERP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1383-2023</t>
        </is>
      </c>
      <c r="B504" s="1" t="n">
        <v>44936</v>
      </c>
      <c r="C504" s="1" t="n">
        <v>45796</v>
      </c>
      <c r="D504" t="inlineStr">
        <is>
          <t>UPPSALA LÄN</t>
        </is>
      </c>
      <c r="E504" t="inlineStr">
        <is>
          <t>TIERP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1572-2023</t>
        </is>
      </c>
      <c r="B505" s="1" t="n">
        <v>44937</v>
      </c>
      <c r="C505" s="1" t="n">
        <v>45796</v>
      </c>
      <c r="D505" t="inlineStr">
        <is>
          <t>UPPSALA LÄN</t>
        </is>
      </c>
      <c r="E505" t="inlineStr">
        <is>
          <t>TIERP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2102-2023</t>
        </is>
      </c>
      <c r="B506" s="1" t="n">
        <v>44939</v>
      </c>
      <c r="C506" s="1" t="n">
        <v>45796</v>
      </c>
      <c r="D506" t="inlineStr">
        <is>
          <t>UPPSALA LÄN</t>
        </is>
      </c>
      <c r="E506" t="inlineStr">
        <is>
          <t>TIERP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2266-2023</t>
        </is>
      </c>
      <c r="B507" s="1" t="n">
        <v>44942</v>
      </c>
      <c r="C507" s="1" t="n">
        <v>45796</v>
      </c>
      <c r="D507" t="inlineStr">
        <is>
          <t>UPPSALA LÄN</t>
        </is>
      </c>
      <c r="E507" t="inlineStr">
        <is>
          <t>TIERP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2735-2023</t>
        </is>
      </c>
      <c r="B508" s="1" t="n">
        <v>44944</v>
      </c>
      <c r="C508" s="1" t="n">
        <v>45796</v>
      </c>
      <c r="D508" t="inlineStr">
        <is>
          <t>UPPSALA LÄN</t>
        </is>
      </c>
      <c r="E508" t="inlineStr">
        <is>
          <t>TIERP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2899-2023</t>
        </is>
      </c>
      <c r="B509" s="1" t="n">
        <v>44945</v>
      </c>
      <c r="C509" s="1" t="n">
        <v>45796</v>
      </c>
      <c r="D509" t="inlineStr">
        <is>
          <t>UPPSALA LÄN</t>
        </is>
      </c>
      <c r="E509" t="inlineStr">
        <is>
          <t>TIERP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2902-2023</t>
        </is>
      </c>
      <c r="B510" s="1" t="n">
        <v>44945</v>
      </c>
      <c r="C510" s="1" t="n">
        <v>45796</v>
      </c>
      <c r="D510" t="inlineStr">
        <is>
          <t>UPPSALA LÄN</t>
        </is>
      </c>
      <c r="E510" t="inlineStr">
        <is>
          <t>TIERP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2901-2023</t>
        </is>
      </c>
      <c r="B511" s="1" t="n">
        <v>44945</v>
      </c>
      <c r="C511" s="1" t="n">
        <v>45796</v>
      </c>
      <c r="D511" t="inlineStr">
        <is>
          <t>UPPSALA LÄN</t>
        </is>
      </c>
      <c r="E511" t="inlineStr">
        <is>
          <t>TIERP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3545-2023</t>
        </is>
      </c>
      <c r="B512" s="1" t="n">
        <v>44950</v>
      </c>
      <c r="C512" s="1" t="n">
        <v>45796</v>
      </c>
      <c r="D512" t="inlineStr">
        <is>
          <t>UPPSALA LÄN</t>
        </is>
      </c>
      <c r="E512" t="inlineStr">
        <is>
          <t>TIERP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3561-2023</t>
        </is>
      </c>
      <c r="B513" s="1" t="n">
        <v>44950</v>
      </c>
      <c r="C513" s="1" t="n">
        <v>45796</v>
      </c>
      <c r="D513" t="inlineStr">
        <is>
          <t>UPPSALA LÄN</t>
        </is>
      </c>
      <c r="E513" t="inlineStr">
        <is>
          <t>TIERP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4276-2023</t>
        </is>
      </c>
      <c r="B514" s="1" t="n">
        <v>44953</v>
      </c>
      <c r="C514" s="1" t="n">
        <v>45796</v>
      </c>
      <c r="D514" t="inlineStr">
        <is>
          <t>UPPSALA LÄN</t>
        </is>
      </c>
      <c r="E514" t="inlineStr">
        <is>
          <t>TIERP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4329-2023</t>
        </is>
      </c>
      <c r="B515" s="1" t="n">
        <v>44953</v>
      </c>
      <c r="C515" s="1" t="n">
        <v>45796</v>
      </c>
      <c r="D515" t="inlineStr">
        <is>
          <t>UPPSALA LÄN</t>
        </is>
      </c>
      <c r="E515" t="inlineStr">
        <is>
          <t>TIERP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4409-2023</t>
        </is>
      </c>
      <c r="B516" s="1" t="n">
        <v>44956</v>
      </c>
      <c r="C516" s="1" t="n">
        <v>45796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4531-2023</t>
        </is>
      </c>
      <c r="B517" s="1" t="n">
        <v>44956</v>
      </c>
      <c r="C517" s="1" t="n">
        <v>45796</v>
      </c>
      <c r="D517" t="inlineStr">
        <is>
          <t>UPPSALA LÄN</t>
        </is>
      </c>
      <c r="E517" t="inlineStr">
        <is>
          <t>TIERP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4511-2023</t>
        </is>
      </c>
      <c r="B518" s="1" t="n">
        <v>44956</v>
      </c>
      <c r="C518" s="1" t="n">
        <v>45796</v>
      </c>
      <c r="D518" t="inlineStr">
        <is>
          <t>UPPSALA LÄN</t>
        </is>
      </c>
      <c r="E518" t="inlineStr">
        <is>
          <t>TIERP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4530-2023</t>
        </is>
      </c>
      <c r="B519" s="1" t="n">
        <v>44956</v>
      </c>
      <c r="C519" s="1" t="n">
        <v>45796</v>
      </c>
      <c r="D519" t="inlineStr">
        <is>
          <t>UPPSALA LÄN</t>
        </is>
      </c>
      <c r="E519" t="inlineStr">
        <is>
          <t>TIERP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5289-2023</t>
        </is>
      </c>
      <c r="B520" s="1" t="n">
        <v>44959</v>
      </c>
      <c r="C520" s="1" t="n">
        <v>45796</v>
      </c>
      <c r="D520" t="inlineStr">
        <is>
          <t>UPPSALA LÄN</t>
        </is>
      </c>
      <c r="E520" t="inlineStr">
        <is>
          <t>TIERP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5967-2023</t>
        </is>
      </c>
      <c r="B521" s="1" t="n">
        <v>44964</v>
      </c>
      <c r="C521" s="1" t="n">
        <v>45796</v>
      </c>
      <c r="D521" t="inlineStr">
        <is>
          <t>UPPSALA LÄN</t>
        </is>
      </c>
      <c r="E521" t="inlineStr">
        <is>
          <t>TIERP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5987-2023</t>
        </is>
      </c>
      <c r="B522" s="1" t="n">
        <v>44964</v>
      </c>
      <c r="C522" s="1" t="n">
        <v>45796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5994-2023</t>
        </is>
      </c>
      <c r="B523" s="1" t="n">
        <v>44964</v>
      </c>
      <c r="C523" s="1" t="n">
        <v>45796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6075-2023</t>
        </is>
      </c>
      <c r="B524" s="1" t="n">
        <v>44964</v>
      </c>
      <c r="C524" s="1" t="n">
        <v>45796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5963-2023</t>
        </is>
      </c>
      <c r="B525" s="1" t="n">
        <v>44964</v>
      </c>
      <c r="C525" s="1" t="n">
        <v>45796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5995-2023</t>
        </is>
      </c>
      <c r="B526" s="1" t="n">
        <v>44964</v>
      </c>
      <c r="C526" s="1" t="n">
        <v>45796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6048-2023</t>
        </is>
      </c>
      <c r="B527" s="1" t="n">
        <v>44964</v>
      </c>
      <c r="C527" s="1" t="n">
        <v>45796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6071-2023</t>
        </is>
      </c>
      <c r="B528" s="1" t="n">
        <v>44964</v>
      </c>
      <c r="C528" s="1" t="n">
        <v>45796</v>
      </c>
      <c r="D528" t="inlineStr">
        <is>
          <t>UPPSALA LÄN</t>
        </is>
      </c>
      <c r="E528" t="inlineStr">
        <is>
          <t>TIERP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5993-2023</t>
        </is>
      </c>
      <c r="B529" s="1" t="n">
        <v>44964</v>
      </c>
      <c r="C529" s="1" t="n">
        <v>45796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5997-2023</t>
        </is>
      </c>
      <c r="B530" s="1" t="n">
        <v>44964</v>
      </c>
      <c r="C530" s="1" t="n">
        <v>45796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6049-2023</t>
        </is>
      </c>
      <c r="B531" s="1" t="n">
        <v>44964</v>
      </c>
      <c r="C531" s="1" t="n">
        <v>45796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öst AB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6288-2023</t>
        </is>
      </c>
      <c r="B532" s="1" t="n">
        <v>44965</v>
      </c>
      <c r="C532" s="1" t="n">
        <v>45796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6364-2023</t>
        </is>
      </c>
      <c r="B533" s="1" t="n">
        <v>44965</v>
      </c>
      <c r="C533" s="1" t="n">
        <v>45796</v>
      </c>
      <c r="D533" t="inlineStr">
        <is>
          <t>UPPSALA LÄN</t>
        </is>
      </c>
      <c r="E533" t="inlineStr">
        <is>
          <t>TIERP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6497-2023</t>
        </is>
      </c>
      <c r="B534" s="1" t="n">
        <v>44966</v>
      </c>
      <c r="C534" s="1" t="n">
        <v>45796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12.9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7352-2023</t>
        </is>
      </c>
      <c r="B535" s="1" t="n">
        <v>44966</v>
      </c>
      <c r="C535" s="1" t="n">
        <v>45796</v>
      </c>
      <c r="D535" t="inlineStr">
        <is>
          <t>UPPSALA LÄN</t>
        </is>
      </c>
      <c r="E535" t="inlineStr">
        <is>
          <t>TIERP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7359-2023</t>
        </is>
      </c>
      <c r="B536" s="1" t="n">
        <v>44966</v>
      </c>
      <c r="C536" s="1" t="n">
        <v>45796</v>
      </c>
      <c r="D536" t="inlineStr">
        <is>
          <t>UPPSALA LÄN</t>
        </is>
      </c>
      <c r="E536" t="inlineStr">
        <is>
          <t>TIERP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7392-2023</t>
        </is>
      </c>
      <c r="B537" s="1" t="n">
        <v>44971</v>
      </c>
      <c r="C537" s="1" t="n">
        <v>45796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öst AB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7370-2023</t>
        </is>
      </c>
      <c r="B538" s="1" t="n">
        <v>44971</v>
      </c>
      <c r="C538" s="1" t="n">
        <v>45796</v>
      </c>
      <c r="D538" t="inlineStr">
        <is>
          <t>UPPSALA LÄN</t>
        </is>
      </c>
      <c r="E538" t="inlineStr">
        <is>
          <t>TIERP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7591-2023</t>
        </is>
      </c>
      <c r="B539" s="1" t="n">
        <v>44972</v>
      </c>
      <c r="C539" s="1" t="n">
        <v>45796</v>
      </c>
      <c r="D539" t="inlineStr">
        <is>
          <t>UPPSALA LÄN</t>
        </is>
      </c>
      <c r="E539" t="inlineStr">
        <is>
          <t>TIERP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8914-2023</t>
        </is>
      </c>
      <c r="B540" s="1" t="n">
        <v>44973</v>
      </c>
      <c r="C540" s="1" t="n">
        <v>45796</v>
      </c>
      <c r="D540" t="inlineStr">
        <is>
          <t>UPPSALA LÄN</t>
        </is>
      </c>
      <c r="E540" t="inlineStr">
        <is>
          <t>TIERP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8767-2023</t>
        </is>
      </c>
      <c r="B541" s="1" t="n">
        <v>44978</v>
      </c>
      <c r="C541" s="1" t="n">
        <v>45796</v>
      </c>
      <c r="D541" t="inlineStr">
        <is>
          <t>UPPSALA LÄN</t>
        </is>
      </c>
      <c r="E541" t="inlineStr">
        <is>
          <t>TIERP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8768-2023</t>
        </is>
      </c>
      <c r="B542" s="1" t="n">
        <v>44978</v>
      </c>
      <c r="C542" s="1" t="n">
        <v>45796</v>
      </c>
      <c r="D542" t="inlineStr">
        <is>
          <t>UPPSALA LÄN</t>
        </is>
      </c>
      <c r="E542" t="inlineStr">
        <is>
          <t>TIERP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8774-2023</t>
        </is>
      </c>
      <c r="B543" s="1" t="n">
        <v>44978</v>
      </c>
      <c r="C543" s="1" t="n">
        <v>45796</v>
      </c>
      <c r="D543" t="inlineStr">
        <is>
          <t>UPPSALA LÄN</t>
        </is>
      </c>
      <c r="E543" t="inlineStr">
        <is>
          <t>TIERP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8772-2023</t>
        </is>
      </c>
      <c r="B544" s="1" t="n">
        <v>44978</v>
      </c>
      <c r="C544" s="1" t="n">
        <v>45796</v>
      </c>
      <c r="D544" t="inlineStr">
        <is>
          <t>UPPSALA LÄN</t>
        </is>
      </c>
      <c r="E544" t="inlineStr">
        <is>
          <t>TIERP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9030-2023</t>
        </is>
      </c>
      <c r="B545" s="1" t="n">
        <v>44979</v>
      </c>
      <c r="C545" s="1" t="n">
        <v>45796</v>
      </c>
      <c r="D545" t="inlineStr">
        <is>
          <t>UPPSALA LÄN</t>
        </is>
      </c>
      <c r="E545" t="inlineStr">
        <is>
          <t>TIERP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9230-2023</t>
        </is>
      </c>
      <c r="B546" s="1" t="n">
        <v>44980</v>
      </c>
      <c r="C546" s="1" t="n">
        <v>45796</v>
      </c>
      <c r="D546" t="inlineStr">
        <is>
          <t>UPPSALA LÄN</t>
        </is>
      </c>
      <c r="E546" t="inlineStr">
        <is>
          <t>TIERP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9238-2023</t>
        </is>
      </c>
      <c r="B547" s="1" t="n">
        <v>44980</v>
      </c>
      <c r="C547" s="1" t="n">
        <v>45796</v>
      </c>
      <c r="D547" t="inlineStr">
        <is>
          <t>UPPSALA LÄN</t>
        </is>
      </c>
      <c r="E547" t="inlineStr">
        <is>
          <t>TIERP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9290-2023</t>
        </is>
      </c>
      <c r="B548" s="1" t="n">
        <v>44980</v>
      </c>
      <c r="C548" s="1" t="n">
        <v>45796</v>
      </c>
      <c r="D548" t="inlineStr">
        <is>
          <t>UPPSALA LÄN</t>
        </is>
      </c>
      <c r="E548" t="inlineStr">
        <is>
          <t>TIERP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9432-2023</t>
        </is>
      </c>
      <c r="B549" s="1" t="n">
        <v>44981</v>
      </c>
      <c r="C549" s="1" t="n">
        <v>45796</v>
      </c>
      <c r="D549" t="inlineStr">
        <is>
          <t>UPPSALA LÄN</t>
        </is>
      </c>
      <c r="E549" t="inlineStr">
        <is>
          <t>TIERP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9664-2023</t>
        </is>
      </c>
      <c r="B550" s="1" t="n">
        <v>44984</v>
      </c>
      <c r="C550" s="1" t="n">
        <v>45796</v>
      </c>
      <c r="D550" t="inlineStr">
        <is>
          <t>UPPSALA LÄN</t>
        </is>
      </c>
      <c r="E550" t="inlineStr">
        <is>
          <t>TIERP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10204-2023</t>
        </is>
      </c>
      <c r="B551" s="1" t="n">
        <v>44986</v>
      </c>
      <c r="C551" s="1" t="n">
        <v>45796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11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10216-2023</t>
        </is>
      </c>
      <c r="B552" s="1" t="n">
        <v>44986</v>
      </c>
      <c r="C552" s="1" t="n">
        <v>45796</v>
      </c>
      <c r="D552" t="inlineStr">
        <is>
          <t>UPPSALA LÄN</t>
        </is>
      </c>
      <c r="E552" t="inlineStr">
        <is>
          <t>TIERP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10199-2023</t>
        </is>
      </c>
      <c r="B553" s="1" t="n">
        <v>44986</v>
      </c>
      <c r="C553" s="1" t="n">
        <v>45796</v>
      </c>
      <c r="D553" t="inlineStr">
        <is>
          <t>UPPSALA LÄN</t>
        </is>
      </c>
      <c r="E553" t="inlineStr">
        <is>
          <t>TIERP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10594-2023</t>
        </is>
      </c>
      <c r="B554" s="1" t="n">
        <v>44988</v>
      </c>
      <c r="C554" s="1" t="n">
        <v>45796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10943-2023</t>
        </is>
      </c>
      <c r="B555" s="1" t="n">
        <v>44991</v>
      </c>
      <c r="C555" s="1" t="n">
        <v>45796</v>
      </c>
      <c r="D555" t="inlineStr">
        <is>
          <t>UPPSALA LÄN</t>
        </is>
      </c>
      <c r="E555" t="inlineStr">
        <is>
          <t>TIERP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10940-2023</t>
        </is>
      </c>
      <c r="B556" s="1" t="n">
        <v>44991</v>
      </c>
      <c r="C556" s="1" t="n">
        <v>45796</v>
      </c>
      <c r="D556" t="inlineStr">
        <is>
          <t>UPPSALA LÄN</t>
        </is>
      </c>
      <c r="E556" t="inlineStr">
        <is>
          <t>TIERP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11574-2023</t>
        </is>
      </c>
      <c r="B557" s="1" t="n">
        <v>44994</v>
      </c>
      <c r="C557" s="1" t="n">
        <v>45796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öst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13448-2023</t>
        </is>
      </c>
      <c r="B558" s="1" t="n">
        <v>45005</v>
      </c>
      <c r="C558" s="1" t="n">
        <v>45796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15.7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13407-2023</t>
        </is>
      </c>
      <c r="B559" s="1" t="n">
        <v>45005</v>
      </c>
      <c r="C559" s="1" t="n">
        <v>45796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13428-2023</t>
        </is>
      </c>
      <c r="B560" s="1" t="n">
        <v>45005</v>
      </c>
      <c r="C560" s="1" t="n">
        <v>45796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13447-2023</t>
        </is>
      </c>
      <c r="B561" s="1" t="n">
        <v>45005</v>
      </c>
      <c r="C561" s="1" t="n">
        <v>45796</v>
      </c>
      <c r="D561" t="inlineStr">
        <is>
          <t>UPPSALA LÄN</t>
        </is>
      </c>
      <c r="E561" t="inlineStr">
        <is>
          <t>TIERP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13466-2023</t>
        </is>
      </c>
      <c r="B562" s="1" t="n">
        <v>45005</v>
      </c>
      <c r="C562" s="1" t="n">
        <v>45796</v>
      </c>
      <c r="D562" t="inlineStr">
        <is>
          <t>UPPSALA LÄN</t>
        </is>
      </c>
      <c r="E562" t="inlineStr">
        <is>
          <t>TIERP</t>
        </is>
      </c>
      <c r="F562" t="inlineStr">
        <is>
          <t>Övriga Aktiebolag</t>
        </is>
      </c>
      <c r="G562" t="n">
        <v>20.6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13304-2023</t>
        </is>
      </c>
      <c r="B563" s="1" t="n">
        <v>45005</v>
      </c>
      <c r="C563" s="1" t="n">
        <v>45796</v>
      </c>
      <c r="D563" t="inlineStr">
        <is>
          <t>UPPSALA LÄN</t>
        </is>
      </c>
      <c r="E563" t="inlineStr">
        <is>
          <t>TIERP</t>
        </is>
      </c>
      <c r="F563" t="inlineStr">
        <is>
          <t>Kyrkan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13412-2023</t>
        </is>
      </c>
      <c r="B564" s="1" t="n">
        <v>45005</v>
      </c>
      <c r="C564" s="1" t="n">
        <v>45796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13418-2023</t>
        </is>
      </c>
      <c r="B565" s="1" t="n">
        <v>45005</v>
      </c>
      <c r="C565" s="1" t="n">
        <v>45796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13572-2023</t>
        </is>
      </c>
      <c r="B566" s="1" t="n">
        <v>45006</v>
      </c>
      <c r="C566" s="1" t="n">
        <v>45796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14181-2023</t>
        </is>
      </c>
      <c r="B567" s="1" t="n">
        <v>45009</v>
      </c>
      <c r="C567" s="1" t="n">
        <v>45796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14086-2023</t>
        </is>
      </c>
      <c r="B568" s="1" t="n">
        <v>45009</v>
      </c>
      <c r="C568" s="1" t="n">
        <v>45796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19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14541-2023</t>
        </is>
      </c>
      <c r="B569" s="1" t="n">
        <v>45013</v>
      </c>
      <c r="C569" s="1" t="n">
        <v>45796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10.7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14553-2023</t>
        </is>
      </c>
      <c r="B570" s="1" t="n">
        <v>45013</v>
      </c>
      <c r="C570" s="1" t="n">
        <v>45796</v>
      </c>
      <c r="D570" t="inlineStr">
        <is>
          <t>UPPSALA LÄN</t>
        </is>
      </c>
      <c r="E570" t="inlineStr">
        <is>
          <t>TIERP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15578-2023</t>
        </is>
      </c>
      <c r="B571" s="1" t="n">
        <v>45020</v>
      </c>
      <c r="C571" s="1" t="n">
        <v>45796</v>
      </c>
      <c r="D571" t="inlineStr">
        <is>
          <t>UPPSALA LÄN</t>
        </is>
      </c>
      <c r="E571" t="inlineStr">
        <is>
          <t>TIERP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15763-2023</t>
        </is>
      </c>
      <c r="B572" s="1" t="n">
        <v>45021</v>
      </c>
      <c r="C572" s="1" t="n">
        <v>45796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15842-2023</t>
        </is>
      </c>
      <c r="B573" s="1" t="n">
        <v>45022</v>
      </c>
      <c r="C573" s="1" t="n">
        <v>45796</v>
      </c>
      <c r="D573" t="inlineStr">
        <is>
          <t>UPPSALA LÄN</t>
        </is>
      </c>
      <c r="E573" t="inlineStr">
        <is>
          <t>TIERP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15832-2023</t>
        </is>
      </c>
      <c r="B574" s="1" t="n">
        <v>45022</v>
      </c>
      <c r="C574" s="1" t="n">
        <v>45796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15851-2023</t>
        </is>
      </c>
      <c r="B575" s="1" t="n">
        <v>45022</v>
      </c>
      <c r="C575" s="1" t="n">
        <v>45796</v>
      </c>
      <c r="D575" t="inlineStr">
        <is>
          <t>UPPSALA LÄN</t>
        </is>
      </c>
      <c r="E575" t="inlineStr">
        <is>
          <t>TIERP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16058-2023</t>
        </is>
      </c>
      <c r="B576" s="1" t="n">
        <v>45027</v>
      </c>
      <c r="C576" s="1" t="n">
        <v>45796</v>
      </c>
      <c r="D576" t="inlineStr">
        <is>
          <t>UPPSALA LÄN</t>
        </is>
      </c>
      <c r="E576" t="inlineStr">
        <is>
          <t>TIERP</t>
        </is>
      </c>
      <c r="F576" t="inlineStr">
        <is>
          <t>Kyrkan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16054-2023</t>
        </is>
      </c>
      <c r="B577" s="1" t="n">
        <v>45027</v>
      </c>
      <c r="C577" s="1" t="n">
        <v>45796</v>
      </c>
      <c r="D577" t="inlineStr">
        <is>
          <t>UPPSALA LÄN</t>
        </is>
      </c>
      <c r="E577" t="inlineStr">
        <is>
          <t>TIERP</t>
        </is>
      </c>
      <c r="F577" t="inlineStr">
        <is>
          <t>Kyrkan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16295-2023</t>
        </is>
      </c>
      <c r="B578" s="1" t="n">
        <v>45028</v>
      </c>
      <c r="C578" s="1" t="n">
        <v>45796</v>
      </c>
      <c r="D578" t="inlineStr">
        <is>
          <t>UPPSALA LÄN</t>
        </is>
      </c>
      <c r="E578" t="inlineStr">
        <is>
          <t>TIERP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16405-2023</t>
        </is>
      </c>
      <c r="B579" s="1" t="n">
        <v>45029</v>
      </c>
      <c r="C579" s="1" t="n">
        <v>45796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16587-2023</t>
        </is>
      </c>
      <c r="B580" s="1" t="n">
        <v>45030</v>
      </c>
      <c r="C580" s="1" t="n">
        <v>45796</v>
      </c>
      <c r="D580" t="inlineStr">
        <is>
          <t>UPPSALA LÄN</t>
        </is>
      </c>
      <c r="E580" t="inlineStr">
        <is>
          <t>TIERP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16631-2023</t>
        </is>
      </c>
      <c r="B581" s="1" t="n">
        <v>45030</v>
      </c>
      <c r="C581" s="1" t="n">
        <v>45796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väst AB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16791-2023</t>
        </is>
      </c>
      <c r="B582" s="1" t="n">
        <v>45033</v>
      </c>
      <c r="C582" s="1" t="n">
        <v>45796</v>
      </c>
      <c r="D582" t="inlineStr">
        <is>
          <t>UPPSALA LÄN</t>
        </is>
      </c>
      <c r="E582" t="inlineStr">
        <is>
          <t>TIERP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17979-2023</t>
        </is>
      </c>
      <c r="B583" s="1" t="n">
        <v>45040</v>
      </c>
      <c r="C583" s="1" t="n">
        <v>45796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17950-2023</t>
        </is>
      </c>
      <c r="B584" s="1" t="n">
        <v>45040</v>
      </c>
      <c r="C584" s="1" t="n">
        <v>45796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18038-2023</t>
        </is>
      </c>
      <c r="B585" s="1" t="n">
        <v>45040</v>
      </c>
      <c r="C585" s="1" t="n">
        <v>45796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17944-2023</t>
        </is>
      </c>
      <c r="B586" s="1" t="n">
        <v>45040</v>
      </c>
      <c r="C586" s="1" t="n">
        <v>45796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17958-2023</t>
        </is>
      </c>
      <c r="B587" s="1" t="n">
        <v>45040</v>
      </c>
      <c r="C587" s="1" t="n">
        <v>45796</v>
      </c>
      <c r="D587" t="inlineStr">
        <is>
          <t>UPPSALA LÄN</t>
        </is>
      </c>
      <c r="E587" t="inlineStr">
        <is>
          <t>TIERP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18014-2023</t>
        </is>
      </c>
      <c r="B588" s="1" t="n">
        <v>45040</v>
      </c>
      <c r="C588" s="1" t="n">
        <v>45796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17.3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18190-2023</t>
        </is>
      </c>
      <c r="B589" s="1" t="n">
        <v>45041</v>
      </c>
      <c r="C589" s="1" t="n">
        <v>45796</v>
      </c>
      <c r="D589" t="inlineStr">
        <is>
          <t>UPPSALA LÄN</t>
        </is>
      </c>
      <c r="E589" t="inlineStr">
        <is>
          <t>TIERP</t>
        </is>
      </c>
      <c r="F589" t="inlineStr">
        <is>
          <t>Kyrkan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18641-2023</t>
        </is>
      </c>
      <c r="B590" s="1" t="n">
        <v>45043</v>
      </c>
      <c r="C590" s="1" t="n">
        <v>45796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19172-2023</t>
        </is>
      </c>
      <c r="B591" s="1" t="n">
        <v>45046</v>
      </c>
      <c r="C591" s="1" t="n">
        <v>45796</v>
      </c>
      <c r="D591" t="inlineStr">
        <is>
          <t>UPPSALA LÄN</t>
        </is>
      </c>
      <c r="E591" t="inlineStr">
        <is>
          <t>TIERP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19174-2023</t>
        </is>
      </c>
      <c r="B592" s="1" t="n">
        <v>45046</v>
      </c>
      <c r="C592" s="1" t="n">
        <v>45796</v>
      </c>
      <c r="D592" t="inlineStr">
        <is>
          <t>UPPSALA LÄN</t>
        </is>
      </c>
      <c r="E592" t="inlineStr">
        <is>
          <t>TIERP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19175-2023</t>
        </is>
      </c>
      <c r="B593" s="1" t="n">
        <v>45046</v>
      </c>
      <c r="C593" s="1" t="n">
        <v>45796</v>
      </c>
      <c r="D593" t="inlineStr">
        <is>
          <t>UPPSALA LÄN</t>
        </is>
      </c>
      <c r="E593" t="inlineStr">
        <is>
          <t>TIERP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19129-2023</t>
        </is>
      </c>
      <c r="B594" s="1" t="n">
        <v>45048</v>
      </c>
      <c r="C594" s="1" t="n">
        <v>45796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väst AB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19127-2023</t>
        </is>
      </c>
      <c r="B595" s="1" t="n">
        <v>45048</v>
      </c>
      <c r="C595" s="1" t="n">
        <v>45796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väst AB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19283-2023</t>
        </is>
      </c>
      <c r="B596" s="1" t="n">
        <v>45049</v>
      </c>
      <c r="C596" s="1" t="n">
        <v>45796</v>
      </c>
      <c r="D596" t="inlineStr">
        <is>
          <t>UPPSALA LÄN</t>
        </is>
      </c>
      <c r="E596" t="inlineStr">
        <is>
          <t>TIERP</t>
        </is>
      </c>
      <c r="G596" t="n">
        <v>7.5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19791-2023</t>
        </is>
      </c>
      <c r="B597" s="1" t="n">
        <v>45051</v>
      </c>
      <c r="C597" s="1" t="n">
        <v>45796</v>
      </c>
      <c r="D597" t="inlineStr">
        <is>
          <t>UPPSALA LÄN</t>
        </is>
      </c>
      <c r="E597" t="inlineStr">
        <is>
          <t>TIERP</t>
        </is>
      </c>
      <c r="G597" t="n">
        <v>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20116-2023</t>
        </is>
      </c>
      <c r="B598" s="1" t="n">
        <v>45055</v>
      </c>
      <c r="C598" s="1" t="n">
        <v>45796</v>
      </c>
      <c r="D598" t="inlineStr">
        <is>
          <t>UPPSALA LÄN</t>
        </is>
      </c>
      <c r="E598" t="inlineStr">
        <is>
          <t>TIERP</t>
        </is>
      </c>
      <c r="G598" t="n">
        <v>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20508-2023</t>
        </is>
      </c>
      <c r="B599" s="1" t="n">
        <v>45057</v>
      </c>
      <c r="C599" s="1" t="n">
        <v>45796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20495-2023</t>
        </is>
      </c>
      <c r="B600" s="1" t="n">
        <v>45057</v>
      </c>
      <c r="C600" s="1" t="n">
        <v>45796</v>
      </c>
      <c r="D600" t="inlineStr">
        <is>
          <t>UPPSALA LÄN</t>
        </is>
      </c>
      <c r="E600" t="inlineStr">
        <is>
          <t>TIERP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20496-2023</t>
        </is>
      </c>
      <c r="B601" s="1" t="n">
        <v>45057</v>
      </c>
      <c r="C601" s="1" t="n">
        <v>45796</v>
      </c>
      <c r="D601" t="inlineStr">
        <is>
          <t>UPPSALA LÄN</t>
        </is>
      </c>
      <c r="E601" t="inlineStr">
        <is>
          <t>TIERP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20748-2023</t>
        </is>
      </c>
      <c r="B602" s="1" t="n">
        <v>45058</v>
      </c>
      <c r="C602" s="1" t="n">
        <v>45796</v>
      </c>
      <c r="D602" t="inlineStr">
        <is>
          <t>UPPSALA LÄN</t>
        </is>
      </c>
      <c r="E602" t="inlineStr">
        <is>
          <t>TIERP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20750-2023</t>
        </is>
      </c>
      <c r="B603" s="1" t="n">
        <v>45058</v>
      </c>
      <c r="C603" s="1" t="n">
        <v>45796</v>
      </c>
      <c r="D603" t="inlineStr">
        <is>
          <t>UPPSALA LÄN</t>
        </is>
      </c>
      <c r="E603" t="inlineStr">
        <is>
          <t>TIERP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20767-2023</t>
        </is>
      </c>
      <c r="B604" s="1" t="n">
        <v>45058</v>
      </c>
      <c r="C604" s="1" t="n">
        <v>45796</v>
      </c>
      <c r="D604" t="inlineStr">
        <is>
          <t>UPPSALA LÄN</t>
        </is>
      </c>
      <c r="E604" t="inlineStr">
        <is>
          <t>TIERP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21051-2023</t>
        </is>
      </c>
      <c r="B605" s="1" t="n">
        <v>45061</v>
      </c>
      <c r="C605" s="1" t="n">
        <v>45796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40.2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21053-2023</t>
        </is>
      </c>
      <c r="B606" s="1" t="n">
        <v>45061</v>
      </c>
      <c r="C606" s="1" t="n">
        <v>45796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13.4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21170-2023</t>
        </is>
      </c>
      <c r="B607" s="1" t="n">
        <v>45062</v>
      </c>
      <c r="C607" s="1" t="n">
        <v>45796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21547-2023</t>
        </is>
      </c>
      <c r="B608" s="1" t="n">
        <v>45063</v>
      </c>
      <c r="C608" s="1" t="n">
        <v>45796</v>
      </c>
      <c r="D608" t="inlineStr">
        <is>
          <t>UPPSALA LÄN</t>
        </is>
      </c>
      <c r="E608" t="inlineStr">
        <is>
          <t>TIERP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21550-2023</t>
        </is>
      </c>
      <c r="B609" s="1" t="n">
        <v>45063</v>
      </c>
      <c r="C609" s="1" t="n">
        <v>45796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väst AB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22321-2023</t>
        </is>
      </c>
      <c r="B610" s="1" t="n">
        <v>45070</v>
      </c>
      <c r="C610" s="1" t="n">
        <v>45796</v>
      </c>
      <c r="D610" t="inlineStr">
        <is>
          <t>UPPSALA LÄN</t>
        </is>
      </c>
      <c r="E610" t="inlineStr">
        <is>
          <t>TIERP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22672-2023</t>
        </is>
      </c>
      <c r="B611" s="1" t="n">
        <v>45071</v>
      </c>
      <c r="C611" s="1" t="n">
        <v>45796</v>
      </c>
      <c r="D611" t="inlineStr">
        <is>
          <t>UPPSALA LÄN</t>
        </is>
      </c>
      <c r="E611" t="inlineStr">
        <is>
          <t>TIERP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22901-2023</t>
        </is>
      </c>
      <c r="B612" s="1" t="n">
        <v>45072</v>
      </c>
      <c r="C612" s="1" t="n">
        <v>45796</v>
      </c>
      <c r="D612" t="inlineStr">
        <is>
          <t>UPPSALA LÄN</t>
        </is>
      </c>
      <c r="E612" t="inlineStr">
        <is>
          <t>TIERP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23164-2023</t>
        </is>
      </c>
      <c r="B613" s="1" t="n">
        <v>45075</v>
      </c>
      <c r="C613" s="1" t="n">
        <v>45796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16.5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23154-2023</t>
        </is>
      </c>
      <c r="B614" s="1" t="n">
        <v>45075</v>
      </c>
      <c r="C614" s="1" t="n">
        <v>45796</v>
      </c>
      <c r="D614" t="inlineStr">
        <is>
          <t>UPPSALA LÄN</t>
        </is>
      </c>
      <c r="E614" t="inlineStr">
        <is>
          <t>TIERP</t>
        </is>
      </c>
      <c r="F614" t="inlineStr">
        <is>
          <t>Kyrkan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24110-2023</t>
        </is>
      </c>
      <c r="B615" s="1" t="n">
        <v>45079</v>
      </c>
      <c r="C615" s="1" t="n">
        <v>45796</v>
      </c>
      <c r="D615" t="inlineStr">
        <is>
          <t>UPPSALA LÄN</t>
        </is>
      </c>
      <c r="E615" t="inlineStr">
        <is>
          <t>TIERP</t>
        </is>
      </c>
      <c r="F615" t="inlineStr">
        <is>
          <t>Kyrkan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25408-2023</t>
        </is>
      </c>
      <c r="B616" s="1" t="n">
        <v>45080</v>
      </c>
      <c r="C616" s="1" t="n">
        <v>45796</v>
      </c>
      <c r="D616" t="inlineStr">
        <is>
          <t>UPPSALA LÄN</t>
        </is>
      </c>
      <c r="E616" t="inlineStr">
        <is>
          <t>TIERP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25784-2023</t>
        </is>
      </c>
      <c r="B617" s="1" t="n">
        <v>45090</v>
      </c>
      <c r="C617" s="1" t="n">
        <v>45796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väst AB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26275-2023</t>
        </is>
      </c>
      <c r="B618" s="1" t="n">
        <v>45091</v>
      </c>
      <c r="C618" s="1" t="n">
        <v>45796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väst AB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26380-2023</t>
        </is>
      </c>
      <c r="B619" s="1" t="n">
        <v>45092</v>
      </c>
      <c r="C619" s="1" t="n">
        <v>45796</v>
      </c>
      <c r="D619" t="inlineStr">
        <is>
          <t>UPPSALA LÄN</t>
        </is>
      </c>
      <c r="E619" t="inlineStr">
        <is>
          <t>TIERP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26546-2023</t>
        </is>
      </c>
      <c r="B620" s="1" t="n">
        <v>45092</v>
      </c>
      <c r="C620" s="1" t="n">
        <v>45796</v>
      </c>
      <c r="D620" t="inlineStr">
        <is>
          <t>UPPSALA LÄN</t>
        </is>
      </c>
      <c r="E620" t="inlineStr">
        <is>
          <t>TIERP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26541-2023</t>
        </is>
      </c>
      <c r="B621" s="1" t="n">
        <v>45092</v>
      </c>
      <c r="C621" s="1" t="n">
        <v>45796</v>
      </c>
      <c r="D621" t="inlineStr">
        <is>
          <t>UPPSALA LÄN</t>
        </is>
      </c>
      <c r="E621" t="inlineStr">
        <is>
          <t>TIERP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27168-2023</t>
        </is>
      </c>
      <c r="B622" s="1" t="n">
        <v>45096</v>
      </c>
      <c r="C622" s="1" t="n">
        <v>45796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27074-2023</t>
        </is>
      </c>
      <c r="B623" s="1" t="n">
        <v>45096</v>
      </c>
      <c r="C623" s="1" t="n">
        <v>45796</v>
      </c>
      <c r="D623" t="inlineStr">
        <is>
          <t>UPPSALA LÄN</t>
        </is>
      </c>
      <c r="E623" t="inlineStr">
        <is>
          <t>TIERP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27266-2023</t>
        </is>
      </c>
      <c r="B624" s="1" t="n">
        <v>45096</v>
      </c>
      <c r="C624" s="1" t="n">
        <v>45796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27856-2023</t>
        </is>
      </c>
      <c r="B625" s="1" t="n">
        <v>45098</v>
      </c>
      <c r="C625" s="1" t="n">
        <v>45796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28252-2023</t>
        </is>
      </c>
      <c r="B626" s="1" t="n">
        <v>45099</v>
      </c>
      <c r="C626" s="1" t="n">
        <v>45796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väst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28564-2023</t>
        </is>
      </c>
      <c r="B627" s="1" t="n">
        <v>45103</v>
      </c>
      <c r="C627" s="1" t="n">
        <v>45796</v>
      </c>
      <c r="D627" t="inlineStr">
        <is>
          <t>UPPSALA LÄN</t>
        </is>
      </c>
      <c r="E627" t="inlineStr">
        <is>
          <t>TIERP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28912-2023</t>
        </is>
      </c>
      <c r="B628" s="1" t="n">
        <v>45104</v>
      </c>
      <c r="C628" s="1" t="n">
        <v>45796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28909-2023</t>
        </is>
      </c>
      <c r="B629" s="1" t="n">
        <v>45104</v>
      </c>
      <c r="C629" s="1" t="n">
        <v>45796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öst AB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29109-2023</t>
        </is>
      </c>
      <c r="B630" s="1" t="n">
        <v>45105</v>
      </c>
      <c r="C630" s="1" t="n">
        <v>45796</v>
      </c>
      <c r="D630" t="inlineStr">
        <is>
          <t>UPPSALA LÄN</t>
        </is>
      </c>
      <c r="E630" t="inlineStr">
        <is>
          <t>TIERP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29113-2023</t>
        </is>
      </c>
      <c r="B631" s="1" t="n">
        <v>45105</v>
      </c>
      <c r="C631" s="1" t="n">
        <v>45796</v>
      </c>
      <c r="D631" t="inlineStr">
        <is>
          <t>UPPSALA LÄN</t>
        </is>
      </c>
      <c r="E631" t="inlineStr">
        <is>
          <t>TIERP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29110-2023</t>
        </is>
      </c>
      <c r="B632" s="1" t="n">
        <v>45105</v>
      </c>
      <c r="C632" s="1" t="n">
        <v>45796</v>
      </c>
      <c r="D632" t="inlineStr">
        <is>
          <t>UPPSALA LÄN</t>
        </is>
      </c>
      <c r="E632" t="inlineStr">
        <is>
          <t>TIERP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29115-2023</t>
        </is>
      </c>
      <c r="B633" s="1" t="n">
        <v>45105</v>
      </c>
      <c r="C633" s="1" t="n">
        <v>45796</v>
      </c>
      <c r="D633" t="inlineStr">
        <is>
          <t>UPPSALA LÄN</t>
        </is>
      </c>
      <c r="E633" t="inlineStr">
        <is>
          <t>TIERP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29099-2023</t>
        </is>
      </c>
      <c r="B634" s="1" t="n">
        <v>45105</v>
      </c>
      <c r="C634" s="1" t="n">
        <v>45796</v>
      </c>
      <c r="D634" t="inlineStr">
        <is>
          <t>UPPSALA LÄN</t>
        </is>
      </c>
      <c r="E634" t="inlineStr">
        <is>
          <t>TIERP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29098-2023</t>
        </is>
      </c>
      <c r="B635" s="1" t="n">
        <v>45105</v>
      </c>
      <c r="C635" s="1" t="n">
        <v>45796</v>
      </c>
      <c r="D635" t="inlineStr">
        <is>
          <t>UPPSALA LÄN</t>
        </is>
      </c>
      <c r="E635" t="inlineStr">
        <is>
          <t>TIERP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29107-2023</t>
        </is>
      </c>
      <c r="B636" s="1" t="n">
        <v>45105</v>
      </c>
      <c r="C636" s="1" t="n">
        <v>45796</v>
      </c>
      <c r="D636" t="inlineStr">
        <is>
          <t>UPPSALA LÄN</t>
        </is>
      </c>
      <c r="E636" t="inlineStr">
        <is>
          <t>TIERP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29480-2023</t>
        </is>
      </c>
      <c r="B637" s="1" t="n">
        <v>45106</v>
      </c>
      <c r="C637" s="1" t="n">
        <v>45796</v>
      </c>
      <c r="D637" t="inlineStr">
        <is>
          <t>UPPSALA LÄN</t>
        </is>
      </c>
      <c r="E637" t="inlineStr">
        <is>
          <t>TIERP</t>
        </is>
      </c>
      <c r="G637" t="n">
        <v>10.3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31279-2023</t>
        </is>
      </c>
      <c r="B638" s="1" t="n">
        <v>45114</v>
      </c>
      <c r="C638" s="1" t="n">
        <v>45796</v>
      </c>
      <c r="D638" t="inlineStr">
        <is>
          <t>UPPSALA LÄN</t>
        </is>
      </c>
      <c r="E638" t="inlineStr">
        <is>
          <t>TIERP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31273-2023</t>
        </is>
      </c>
      <c r="B639" s="1" t="n">
        <v>45114</v>
      </c>
      <c r="C639" s="1" t="n">
        <v>45796</v>
      </c>
      <c r="D639" t="inlineStr">
        <is>
          <t>UPPSALA LÄN</t>
        </is>
      </c>
      <c r="E639" t="inlineStr">
        <is>
          <t>TIERP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33677-2023</t>
        </is>
      </c>
      <c r="B640" s="1" t="n">
        <v>45119</v>
      </c>
      <c r="C640" s="1" t="n">
        <v>45796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väst AB</t>
        </is>
      </c>
      <c r="G640" t="n">
        <v>57.7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32665-2023</t>
        </is>
      </c>
      <c r="B641" s="1" t="n">
        <v>45121</v>
      </c>
      <c r="C641" s="1" t="n">
        <v>45796</v>
      </c>
      <c r="D641" t="inlineStr">
        <is>
          <t>UPPSALA LÄN</t>
        </is>
      </c>
      <c r="E641" t="inlineStr">
        <is>
          <t>TIERP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33307-2023</t>
        </is>
      </c>
      <c r="B642" s="1" t="n">
        <v>45127</v>
      </c>
      <c r="C642" s="1" t="n">
        <v>45796</v>
      </c>
      <c r="D642" t="inlineStr">
        <is>
          <t>UPPSALA LÄN</t>
        </is>
      </c>
      <c r="E642" t="inlineStr">
        <is>
          <t>TIERP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33339-2023</t>
        </is>
      </c>
      <c r="B643" s="1" t="n">
        <v>45128</v>
      </c>
      <c r="C643" s="1" t="n">
        <v>45796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33338-2023</t>
        </is>
      </c>
      <c r="B644" s="1" t="n">
        <v>45128</v>
      </c>
      <c r="C644" s="1" t="n">
        <v>45796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33451-2023</t>
        </is>
      </c>
      <c r="B645" s="1" t="n">
        <v>45130</v>
      </c>
      <c r="C645" s="1" t="n">
        <v>45796</v>
      </c>
      <c r="D645" t="inlineStr">
        <is>
          <t>UPPSALA LÄN</t>
        </is>
      </c>
      <c r="E645" t="inlineStr">
        <is>
          <t>TIERP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33797-2023</t>
        </is>
      </c>
      <c r="B646" s="1" t="n">
        <v>45133</v>
      </c>
      <c r="C646" s="1" t="n">
        <v>45796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HYPERLINK("https://klasma.github.io/Logging_0360/knärot/A 33797-2023 karta knärot.png", "A 33797-2023")</f>
        <v/>
      </c>
      <c r="V646">
        <f>HYPERLINK("https://klasma.github.io/Logging_0360/klagomål/A 33797-2023 FSC-klagomål.docx", "A 33797-2023")</f>
        <v/>
      </c>
      <c r="W646">
        <f>HYPERLINK("https://klasma.github.io/Logging_0360/klagomålsmail/A 33797-2023 FSC-klagomål mail.docx", "A 33797-2023")</f>
        <v/>
      </c>
      <c r="X646">
        <f>HYPERLINK("https://klasma.github.io/Logging_0360/tillsyn/A 33797-2023 tillsynsbegäran.docx", "A 33797-2023")</f>
        <v/>
      </c>
      <c r="Y646">
        <f>HYPERLINK("https://klasma.github.io/Logging_0360/tillsynsmail/A 33797-2023 tillsynsbegäran mail.docx", "A 33797-2023")</f>
        <v/>
      </c>
    </row>
    <row r="647" ht="15" customHeight="1">
      <c r="A647" t="inlineStr">
        <is>
          <t>A 34082-2023</t>
        </is>
      </c>
      <c r="B647" s="1" t="n">
        <v>45135</v>
      </c>
      <c r="C647" s="1" t="n">
        <v>45796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34079-2023</t>
        </is>
      </c>
      <c r="B648" s="1" t="n">
        <v>45135</v>
      </c>
      <c r="C648" s="1" t="n">
        <v>45796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34198-2023</t>
        </is>
      </c>
      <c r="B649" s="1" t="n">
        <v>45138</v>
      </c>
      <c r="C649" s="1" t="n">
        <v>45796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11.5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35375-2023</t>
        </is>
      </c>
      <c r="B650" s="1" t="n">
        <v>45146</v>
      </c>
      <c r="C650" s="1" t="n">
        <v>45796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35926-2023</t>
        </is>
      </c>
      <c r="B651" s="1" t="n">
        <v>45148</v>
      </c>
      <c r="C651" s="1" t="n">
        <v>45796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36544-2023</t>
        </is>
      </c>
      <c r="B652" s="1" t="n">
        <v>45153</v>
      </c>
      <c r="C652" s="1" t="n">
        <v>45796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38297-2023</t>
        </is>
      </c>
      <c r="B653" s="1" t="n">
        <v>45161</v>
      </c>
      <c r="C653" s="1" t="n">
        <v>45796</v>
      </c>
      <c r="D653" t="inlineStr">
        <is>
          <t>UPPSALA LÄN</t>
        </is>
      </c>
      <c r="E653" t="inlineStr">
        <is>
          <t>TIERP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38105-2023</t>
        </is>
      </c>
      <c r="B654" s="1" t="n">
        <v>45161</v>
      </c>
      <c r="C654" s="1" t="n">
        <v>45796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15.1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38109-2023</t>
        </is>
      </c>
      <c r="B655" s="1" t="n">
        <v>45161</v>
      </c>
      <c r="C655" s="1" t="n">
        <v>45796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38298-2023</t>
        </is>
      </c>
      <c r="B656" s="1" t="n">
        <v>45161</v>
      </c>
      <c r="C656" s="1" t="n">
        <v>45796</v>
      </c>
      <c r="D656" t="inlineStr">
        <is>
          <t>UPPSALA LÄN</t>
        </is>
      </c>
      <c r="E656" t="inlineStr">
        <is>
          <t>TIERP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38464-2023</t>
        </is>
      </c>
      <c r="B657" s="1" t="n">
        <v>45162</v>
      </c>
      <c r="C657" s="1" t="n">
        <v>45796</v>
      </c>
      <c r="D657" t="inlineStr">
        <is>
          <t>UPPSALA LÄN</t>
        </is>
      </c>
      <c r="E657" t="inlineStr">
        <is>
          <t>TIERP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38524-2023</t>
        </is>
      </c>
      <c r="B658" s="1" t="n">
        <v>45162</v>
      </c>
      <c r="C658" s="1" t="n">
        <v>45796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väst AB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38875-2023</t>
        </is>
      </c>
      <c r="B659" s="1" t="n">
        <v>45163</v>
      </c>
      <c r="C659" s="1" t="n">
        <v>45796</v>
      </c>
      <c r="D659" t="inlineStr">
        <is>
          <t>UPPSALA LÄN</t>
        </is>
      </c>
      <c r="E659" t="inlineStr">
        <is>
          <t>TIERP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38702-2023</t>
        </is>
      </c>
      <c r="B660" s="1" t="n">
        <v>45163</v>
      </c>
      <c r="C660" s="1" t="n">
        <v>45796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öst AB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38807-2023</t>
        </is>
      </c>
      <c r="B661" s="1" t="n">
        <v>45163</v>
      </c>
      <c r="C661" s="1" t="n">
        <v>45796</v>
      </c>
      <c r="D661" t="inlineStr">
        <is>
          <t>UPPSALA LÄN</t>
        </is>
      </c>
      <c r="E661" t="inlineStr">
        <is>
          <t>TIERP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39259-2023</t>
        </is>
      </c>
      <c r="B662" s="1" t="n">
        <v>45166</v>
      </c>
      <c r="C662" s="1" t="n">
        <v>45796</v>
      </c>
      <c r="D662" t="inlineStr">
        <is>
          <t>UPPSALA LÄN</t>
        </is>
      </c>
      <c r="E662" t="inlineStr">
        <is>
          <t>TIERP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39403-2023</t>
        </is>
      </c>
      <c r="B663" s="1" t="n">
        <v>45166</v>
      </c>
      <c r="C663" s="1" t="n">
        <v>45796</v>
      </c>
      <c r="D663" t="inlineStr">
        <is>
          <t>UPPSALA LÄN</t>
        </is>
      </c>
      <c r="E663" t="inlineStr">
        <is>
          <t>TIERP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39421-2023</t>
        </is>
      </c>
      <c r="B664" s="1" t="n">
        <v>45166</v>
      </c>
      <c r="C664" s="1" t="n">
        <v>45796</v>
      </c>
      <c r="D664" t="inlineStr">
        <is>
          <t>UPPSALA LÄN</t>
        </is>
      </c>
      <c r="E664" t="inlineStr">
        <is>
          <t>TIERP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39411-2023</t>
        </is>
      </c>
      <c r="B665" s="1" t="n">
        <v>45166</v>
      </c>
      <c r="C665" s="1" t="n">
        <v>45796</v>
      </c>
      <c r="D665" t="inlineStr">
        <is>
          <t>UPPSALA LÄN</t>
        </is>
      </c>
      <c r="E665" t="inlineStr">
        <is>
          <t>TIERP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39938-2023</t>
        </is>
      </c>
      <c r="B666" s="1" t="n">
        <v>45166</v>
      </c>
      <c r="C666" s="1" t="n">
        <v>45796</v>
      </c>
      <c r="D666" t="inlineStr">
        <is>
          <t>UPPSALA LÄN</t>
        </is>
      </c>
      <c r="E666" t="inlineStr">
        <is>
          <t>TIERP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39928-2023</t>
        </is>
      </c>
      <c r="B667" s="1" t="n">
        <v>45167</v>
      </c>
      <c r="C667" s="1" t="n">
        <v>45796</v>
      </c>
      <c r="D667" t="inlineStr">
        <is>
          <t>UPPSALA LÄN</t>
        </is>
      </c>
      <c r="E667" t="inlineStr">
        <is>
          <t>TIERP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39927-2023</t>
        </is>
      </c>
      <c r="B668" s="1" t="n">
        <v>45168</v>
      </c>
      <c r="C668" s="1" t="n">
        <v>45796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40534-2023</t>
        </is>
      </c>
      <c r="B669" s="1" t="n">
        <v>45170</v>
      </c>
      <c r="C669" s="1" t="n">
        <v>45796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7.4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40624-2023</t>
        </is>
      </c>
      <c r="B670" s="1" t="n">
        <v>45170</v>
      </c>
      <c r="C670" s="1" t="n">
        <v>45796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40916-2023</t>
        </is>
      </c>
      <c r="B671" s="1" t="n">
        <v>45173</v>
      </c>
      <c r="C671" s="1" t="n">
        <v>45796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40864-2023</t>
        </is>
      </c>
      <c r="B672" s="1" t="n">
        <v>45173</v>
      </c>
      <c r="C672" s="1" t="n">
        <v>45796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40913-2023</t>
        </is>
      </c>
      <c r="B673" s="1" t="n">
        <v>45173</v>
      </c>
      <c r="C673" s="1" t="n">
        <v>45796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41225-2023</t>
        </is>
      </c>
      <c r="B674" s="1" t="n">
        <v>45174</v>
      </c>
      <c r="C674" s="1" t="n">
        <v>45796</v>
      </c>
      <c r="D674" t="inlineStr">
        <is>
          <t>UPPSALA LÄN</t>
        </is>
      </c>
      <c r="E674" t="inlineStr">
        <is>
          <t>TIERP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41223-2023</t>
        </is>
      </c>
      <c r="B675" s="1" t="n">
        <v>45174</v>
      </c>
      <c r="C675" s="1" t="n">
        <v>45796</v>
      </c>
      <c r="D675" t="inlineStr">
        <is>
          <t>UPPSALA LÄN</t>
        </is>
      </c>
      <c r="E675" t="inlineStr">
        <is>
          <t>TIERP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41182-2023</t>
        </is>
      </c>
      <c r="B676" s="1" t="n">
        <v>45174</v>
      </c>
      <c r="C676" s="1" t="n">
        <v>45796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14.8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41726-2023</t>
        </is>
      </c>
      <c r="B677" s="1" t="n">
        <v>45176</v>
      </c>
      <c r="C677" s="1" t="n">
        <v>45796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42083-2023</t>
        </is>
      </c>
      <c r="B678" s="1" t="n">
        <v>45176</v>
      </c>
      <c r="C678" s="1" t="n">
        <v>45796</v>
      </c>
      <c r="D678" t="inlineStr">
        <is>
          <t>UPPSALA LÄN</t>
        </is>
      </c>
      <c r="E678" t="inlineStr">
        <is>
          <t>TIERP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42270-2023</t>
        </is>
      </c>
      <c r="B679" s="1" t="n">
        <v>45180</v>
      </c>
      <c r="C679" s="1" t="n">
        <v>45796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9.699999999999999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43605-2023</t>
        </is>
      </c>
      <c r="B680" s="1" t="n">
        <v>45181</v>
      </c>
      <c r="C680" s="1" t="n">
        <v>45796</v>
      </c>
      <c r="D680" t="inlineStr">
        <is>
          <t>UPPSALA LÄN</t>
        </is>
      </c>
      <c r="E680" t="inlineStr">
        <is>
          <t>TIERP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42642-2023</t>
        </is>
      </c>
      <c r="B681" s="1" t="n">
        <v>45181</v>
      </c>
      <c r="C681" s="1" t="n">
        <v>45796</v>
      </c>
      <c r="D681" t="inlineStr">
        <is>
          <t>UPPSALA LÄN</t>
        </is>
      </c>
      <c r="E681" t="inlineStr">
        <is>
          <t>TIERP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42877-2023</t>
        </is>
      </c>
      <c r="B682" s="1" t="n">
        <v>45182</v>
      </c>
      <c r="C682" s="1" t="n">
        <v>45796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väst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42873-2023</t>
        </is>
      </c>
      <c r="B683" s="1" t="n">
        <v>45182</v>
      </c>
      <c r="C683" s="1" t="n">
        <v>45796</v>
      </c>
      <c r="D683" t="inlineStr">
        <is>
          <t>UPPSALA LÄN</t>
        </is>
      </c>
      <c r="E683" t="inlineStr">
        <is>
          <t>TIERP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43722-2023</t>
        </is>
      </c>
      <c r="B684" s="1" t="n">
        <v>45187</v>
      </c>
      <c r="C684" s="1" t="n">
        <v>45796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26.7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44228-2023</t>
        </is>
      </c>
      <c r="B685" s="1" t="n">
        <v>45188</v>
      </c>
      <c r="C685" s="1" t="n">
        <v>45796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44438-2023</t>
        </is>
      </c>
      <c r="B686" s="1" t="n">
        <v>45189</v>
      </c>
      <c r="C686" s="1" t="n">
        <v>45796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44430-2023</t>
        </is>
      </c>
      <c r="B687" s="1" t="n">
        <v>45189</v>
      </c>
      <c r="C687" s="1" t="n">
        <v>45796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44739-2023</t>
        </is>
      </c>
      <c r="B688" s="1" t="n">
        <v>45190</v>
      </c>
      <c r="C688" s="1" t="n">
        <v>45796</v>
      </c>
      <c r="D688" t="inlineStr">
        <is>
          <t>UPPSALA LÄN</t>
        </is>
      </c>
      <c r="E688" t="inlineStr">
        <is>
          <t>TIERP</t>
        </is>
      </c>
      <c r="G688" t="n">
        <v>11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44756-2023</t>
        </is>
      </c>
      <c r="B689" s="1" t="n">
        <v>45190</v>
      </c>
      <c r="C689" s="1" t="n">
        <v>45796</v>
      </c>
      <c r="D689" t="inlineStr">
        <is>
          <t>UPPSALA LÄN</t>
        </is>
      </c>
      <c r="E689" t="inlineStr">
        <is>
          <t>TIERP</t>
        </is>
      </c>
      <c r="G689" t="n">
        <v>18.1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44762-2023</t>
        </is>
      </c>
      <c r="B690" s="1" t="n">
        <v>45190</v>
      </c>
      <c r="C690" s="1" t="n">
        <v>45796</v>
      </c>
      <c r="D690" t="inlineStr">
        <is>
          <t>UPPSALA LÄN</t>
        </is>
      </c>
      <c r="E690" t="inlineStr">
        <is>
          <t>TIERP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44831-2023</t>
        </is>
      </c>
      <c r="B691" s="1" t="n">
        <v>45190</v>
      </c>
      <c r="C691" s="1" t="n">
        <v>45796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öst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46188-2023</t>
        </is>
      </c>
      <c r="B692" s="1" t="n">
        <v>45190</v>
      </c>
      <c r="C692" s="1" t="n">
        <v>45796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väst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45080-2023</t>
        </is>
      </c>
      <c r="B693" s="1" t="n">
        <v>45191</v>
      </c>
      <c r="C693" s="1" t="n">
        <v>45796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öst AB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45141-2023</t>
        </is>
      </c>
      <c r="B694" s="1" t="n">
        <v>45191</v>
      </c>
      <c r="C694" s="1" t="n">
        <v>45796</v>
      </c>
      <c r="D694" t="inlineStr">
        <is>
          <t>UPPSALA LÄN</t>
        </is>
      </c>
      <c r="E694" t="inlineStr">
        <is>
          <t>TIERP</t>
        </is>
      </c>
      <c r="F694" t="inlineStr">
        <is>
          <t>Kyrkan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46495-2023</t>
        </is>
      </c>
      <c r="B695" s="1" t="n">
        <v>45194</v>
      </c>
      <c r="C695" s="1" t="n">
        <v>45796</v>
      </c>
      <c r="D695" t="inlineStr">
        <is>
          <t>UPPSALA LÄN</t>
        </is>
      </c>
      <c r="E695" t="inlineStr">
        <is>
          <t>TIERP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46522-2023</t>
        </is>
      </c>
      <c r="B696" s="1" t="n">
        <v>45197</v>
      </c>
      <c r="C696" s="1" t="n">
        <v>45796</v>
      </c>
      <c r="D696" t="inlineStr">
        <is>
          <t>UPPSALA LÄN</t>
        </is>
      </c>
      <c r="E696" t="inlineStr">
        <is>
          <t>TIERP</t>
        </is>
      </c>
      <c r="G696" t="n">
        <v>16.1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46730-2023</t>
        </is>
      </c>
      <c r="B697" s="1" t="n">
        <v>45198</v>
      </c>
      <c r="C697" s="1" t="n">
        <v>45796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öst AB</t>
        </is>
      </c>
      <c r="G697" t="n">
        <v>8.800000000000001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47034-2023</t>
        </is>
      </c>
      <c r="B698" s="1" t="n">
        <v>45201</v>
      </c>
      <c r="C698" s="1" t="n">
        <v>45796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öst AB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48736-2023</t>
        </is>
      </c>
      <c r="B699" s="1" t="n">
        <v>45203</v>
      </c>
      <c r="C699" s="1" t="n">
        <v>45796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väst AB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48735-2023</t>
        </is>
      </c>
      <c r="B700" s="1" t="n">
        <v>45203</v>
      </c>
      <c r="C700" s="1" t="n">
        <v>45796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47960-2023</t>
        </is>
      </c>
      <c r="B701" s="1" t="n">
        <v>45204</v>
      </c>
      <c r="C701" s="1" t="n">
        <v>45796</v>
      </c>
      <c r="D701" t="inlineStr">
        <is>
          <t>UPPSALA LÄN</t>
        </is>
      </c>
      <c r="E701" t="inlineStr">
        <is>
          <t>TIERP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47977-2023</t>
        </is>
      </c>
      <c r="B702" s="1" t="n">
        <v>45204</v>
      </c>
      <c r="C702" s="1" t="n">
        <v>45796</v>
      </c>
      <c r="D702" t="inlineStr">
        <is>
          <t>UPPSALA LÄN</t>
        </is>
      </c>
      <c r="E702" t="inlineStr">
        <is>
          <t>TIERP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47968-2023</t>
        </is>
      </c>
      <c r="B703" s="1" t="n">
        <v>45204</v>
      </c>
      <c r="C703" s="1" t="n">
        <v>45796</v>
      </c>
      <c r="D703" t="inlineStr">
        <is>
          <t>UPPSALA LÄN</t>
        </is>
      </c>
      <c r="E703" t="inlineStr">
        <is>
          <t>TIERP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48905-2023</t>
        </is>
      </c>
      <c r="B704" s="1" t="n">
        <v>45209</v>
      </c>
      <c r="C704" s="1" t="n">
        <v>45796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öst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48958-2023</t>
        </is>
      </c>
      <c r="B705" s="1" t="n">
        <v>45209</v>
      </c>
      <c r="C705" s="1" t="n">
        <v>45796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öst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50644-2023</t>
        </is>
      </c>
      <c r="B706" s="1" t="n">
        <v>45217</v>
      </c>
      <c r="C706" s="1" t="n">
        <v>45796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väst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50683-2023</t>
        </is>
      </c>
      <c r="B707" s="1" t="n">
        <v>45217</v>
      </c>
      <c r="C707" s="1" t="n">
        <v>45796</v>
      </c>
      <c r="D707" t="inlineStr">
        <is>
          <t>UPPSALA LÄN</t>
        </is>
      </c>
      <c r="E707" t="inlineStr">
        <is>
          <t>TIERP</t>
        </is>
      </c>
      <c r="F707" t="inlineStr">
        <is>
          <t>Övriga Aktiebolag</t>
        </is>
      </c>
      <c r="G707" t="n">
        <v>28.8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50574-2023</t>
        </is>
      </c>
      <c r="B708" s="1" t="n">
        <v>45217</v>
      </c>
      <c r="C708" s="1" t="n">
        <v>45796</v>
      </c>
      <c r="D708" t="inlineStr">
        <is>
          <t>UPPSALA LÄN</t>
        </is>
      </c>
      <c r="E708" t="inlineStr">
        <is>
          <t>TIERP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50656-2023</t>
        </is>
      </c>
      <c r="B709" s="1" t="n">
        <v>45217</v>
      </c>
      <c r="C709" s="1" t="n">
        <v>45796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51030-2023</t>
        </is>
      </c>
      <c r="B710" s="1" t="n">
        <v>45218</v>
      </c>
      <c r="C710" s="1" t="n">
        <v>45796</v>
      </c>
      <c r="D710" t="inlineStr">
        <is>
          <t>UPPSALA LÄN</t>
        </is>
      </c>
      <c r="E710" t="inlineStr">
        <is>
          <t>TIERP</t>
        </is>
      </c>
      <c r="F710" t="inlineStr">
        <is>
          <t>Bergvik skog öst AB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51361-2023</t>
        </is>
      </c>
      <c r="B711" s="1" t="n">
        <v>45219</v>
      </c>
      <c r="C711" s="1" t="n">
        <v>45796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8.300000000000001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51364-2023</t>
        </is>
      </c>
      <c r="B712" s="1" t="n">
        <v>45219</v>
      </c>
      <c r="C712" s="1" t="n">
        <v>45796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9.699999999999999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51707-2023</t>
        </is>
      </c>
      <c r="B713" s="1" t="n">
        <v>45222</v>
      </c>
      <c r="C713" s="1" t="n">
        <v>45796</v>
      </c>
      <c r="D713" t="inlineStr">
        <is>
          <t>UPPSALA LÄN</t>
        </is>
      </c>
      <c r="E713" t="inlineStr">
        <is>
          <t>TIERP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51716-2023</t>
        </is>
      </c>
      <c r="B714" s="1" t="n">
        <v>45222</v>
      </c>
      <c r="C714" s="1" t="n">
        <v>45796</v>
      </c>
      <c r="D714" t="inlineStr">
        <is>
          <t>UPPSALA LÄN</t>
        </is>
      </c>
      <c r="E714" t="inlineStr">
        <is>
          <t>TIERP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51755-2023</t>
        </is>
      </c>
      <c r="B715" s="1" t="n">
        <v>45222</v>
      </c>
      <c r="C715" s="1" t="n">
        <v>45796</v>
      </c>
      <c r="D715" t="inlineStr">
        <is>
          <t>UPPSALA LÄN</t>
        </is>
      </c>
      <c r="E715" t="inlineStr">
        <is>
          <t>TIERP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51767-2023</t>
        </is>
      </c>
      <c r="B716" s="1" t="n">
        <v>45222</v>
      </c>
      <c r="C716" s="1" t="n">
        <v>45796</v>
      </c>
      <c r="D716" t="inlineStr">
        <is>
          <t>UPPSALA LÄN</t>
        </is>
      </c>
      <c r="E716" t="inlineStr">
        <is>
          <t>TIERP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51756-2023</t>
        </is>
      </c>
      <c r="B717" s="1" t="n">
        <v>45222</v>
      </c>
      <c r="C717" s="1" t="n">
        <v>45796</v>
      </c>
      <c r="D717" t="inlineStr">
        <is>
          <t>UPPSALA LÄN</t>
        </is>
      </c>
      <c r="E717" t="inlineStr">
        <is>
          <t>TIERP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51741-2023</t>
        </is>
      </c>
      <c r="B718" s="1" t="n">
        <v>45222</v>
      </c>
      <c r="C718" s="1" t="n">
        <v>45796</v>
      </c>
      <c r="D718" t="inlineStr">
        <is>
          <t>UPPSALA LÄN</t>
        </is>
      </c>
      <c r="E718" t="inlineStr">
        <is>
          <t>TIERP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51769-2023</t>
        </is>
      </c>
      <c r="B719" s="1" t="n">
        <v>45222</v>
      </c>
      <c r="C719" s="1" t="n">
        <v>45796</v>
      </c>
      <c r="D719" t="inlineStr">
        <is>
          <t>UPPSALA LÄN</t>
        </is>
      </c>
      <c r="E719" t="inlineStr">
        <is>
          <t>TIERP</t>
        </is>
      </c>
      <c r="G719" t="n">
        <v>7.3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51706-2023</t>
        </is>
      </c>
      <c r="B720" s="1" t="n">
        <v>45222</v>
      </c>
      <c r="C720" s="1" t="n">
        <v>45796</v>
      </c>
      <c r="D720" t="inlineStr">
        <is>
          <t>UPPSALA LÄN</t>
        </is>
      </c>
      <c r="E720" t="inlineStr">
        <is>
          <t>TIERP</t>
        </is>
      </c>
      <c r="F720" t="inlineStr">
        <is>
          <t>Bergvik skog öst AB</t>
        </is>
      </c>
      <c r="G720" t="n">
        <v>20.4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51738-2023</t>
        </is>
      </c>
      <c r="B721" s="1" t="n">
        <v>45222</v>
      </c>
      <c r="C721" s="1" t="n">
        <v>45796</v>
      </c>
      <c r="D721" t="inlineStr">
        <is>
          <t>UPPSALA LÄN</t>
        </is>
      </c>
      <c r="E721" t="inlineStr">
        <is>
          <t>TIERP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51974-2023</t>
        </is>
      </c>
      <c r="B722" s="1" t="n">
        <v>45223</v>
      </c>
      <c r="C722" s="1" t="n">
        <v>45796</v>
      </c>
      <c r="D722" t="inlineStr">
        <is>
          <t>UPPSALA LÄN</t>
        </is>
      </c>
      <c r="E722" t="inlineStr">
        <is>
          <t>TIERP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51984-2023</t>
        </is>
      </c>
      <c r="B723" s="1" t="n">
        <v>45223</v>
      </c>
      <c r="C723" s="1" t="n">
        <v>45796</v>
      </c>
      <c r="D723" t="inlineStr">
        <is>
          <t>UPPSALA LÄN</t>
        </is>
      </c>
      <c r="E723" t="inlineStr">
        <is>
          <t>TIERP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52380-2023</t>
        </is>
      </c>
      <c r="B724" s="1" t="n">
        <v>45224</v>
      </c>
      <c r="C724" s="1" t="n">
        <v>45796</v>
      </c>
      <c r="D724" t="inlineStr">
        <is>
          <t>UPPSALA LÄN</t>
        </is>
      </c>
      <c r="E724" t="inlineStr">
        <is>
          <t>TIERP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52969-2023</t>
        </is>
      </c>
      <c r="B725" s="1" t="n">
        <v>45226</v>
      </c>
      <c r="C725" s="1" t="n">
        <v>45796</v>
      </c>
      <c r="D725" t="inlineStr">
        <is>
          <t>UPPSALA LÄN</t>
        </is>
      </c>
      <c r="E725" t="inlineStr">
        <is>
          <t>TIERP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52966-2023</t>
        </is>
      </c>
      <c r="B726" s="1" t="n">
        <v>45226</v>
      </c>
      <c r="C726" s="1" t="n">
        <v>45796</v>
      </c>
      <c r="D726" t="inlineStr">
        <is>
          <t>UPPSALA LÄN</t>
        </is>
      </c>
      <c r="E726" t="inlineStr">
        <is>
          <t>TIERP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53490-2023</t>
        </is>
      </c>
      <c r="B727" s="1" t="n">
        <v>45229</v>
      </c>
      <c r="C727" s="1" t="n">
        <v>45796</v>
      </c>
      <c r="D727" t="inlineStr">
        <is>
          <t>UPPSALA LÄN</t>
        </is>
      </c>
      <c r="E727" t="inlineStr">
        <is>
          <t>TIERP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54737-2023</t>
        </is>
      </c>
      <c r="B728" s="1" t="n">
        <v>45229</v>
      </c>
      <c r="C728" s="1" t="n">
        <v>45796</v>
      </c>
      <c r="D728" t="inlineStr">
        <is>
          <t>UPPSALA LÄN</t>
        </is>
      </c>
      <c r="E728" t="inlineStr">
        <is>
          <t>TIERP</t>
        </is>
      </c>
      <c r="F728" t="inlineStr">
        <is>
          <t>Bergvik skog väst AB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53646-2023</t>
        </is>
      </c>
      <c r="B729" s="1" t="n">
        <v>45230</v>
      </c>
      <c r="C729" s="1" t="n">
        <v>45796</v>
      </c>
      <c r="D729" t="inlineStr">
        <is>
          <t>UPPSALA LÄN</t>
        </is>
      </c>
      <c r="E729" t="inlineStr">
        <is>
          <t>TIERP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54104-2023</t>
        </is>
      </c>
      <c r="B730" s="1" t="n">
        <v>45232</v>
      </c>
      <c r="C730" s="1" t="n">
        <v>45796</v>
      </c>
      <c r="D730" t="inlineStr">
        <is>
          <t>UPPSALA LÄN</t>
        </is>
      </c>
      <c r="E730" t="inlineStr">
        <is>
          <t>TIERP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55252-2023</t>
        </is>
      </c>
      <c r="B731" s="1" t="n">
        <v>45237</v>
      </c>
      <c r="C731" s="1" t="n">
        <v>45796</v>
      </c>
      <c r="D731" t="inlineStr">
        <is>
          <t>UPPSALA LÄN</t>
        </is>
      </c>
      <c r="E731" t="inlineStr">
        <is>
          <t>TIERP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55530-2023</t>
        </is>
      </c>
      <c r="B732" s="1" t="n">
        <v>45238</v>
      </c>
      <c r="C732" s="1" t="n">
        <v>45796</v>
      </c>
      <c r="D732" t="inlineStr">
        <is>
          <t>UPPSALA LÄN</t>
        </is>
      </c>
      <c r="E732" t="inlineStr">
        <is>
          <t>TIERP</t>
        </is>
      </c>
      <c r="F732" t="inlineStr">
        <is>
          <t>Bergvik skog väst AB</t>
        </is>
      </c>
      <c r="G732" t="n">
        <v>9.199999999999999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55711-2023</t>
        </is>
      </c>
      <c r="B733" s="1" t="n">
        <v>45239</v>
      </c>
      <c r="C733" s="1" t="n">
        <v>45796</v>
      </c>
      <c r="D733" t="inlineStr">
        <is>
          <t>UPPSALA LÄN</t>
        </is>
      </c>
      <c r="E733" t="inlineStr">
        <is>
          <t>TIERP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55807-2023</t>
        </is>
      </c>
      <c r="B734" s="1" t="n">
        <v>45239</v>
      </c>
      <c r="C734" s="1" t="n">
        <v>45796</v>
      </c>
      <c r="D734" t="inlineStr">
        <is>
          <t>UPPSALA LÄN</t>
        </is>
      </c>
      <c r="E734" t="inlineStr">
        <is>
          <t>TIERP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57201-2023</t>
        </is>
      </c>
      <c r="B735" s="1" t="n">
        <v>45239</v>
      </c>
      <c r="C735" s="1" t="n">
        <v>45796</v>
      </c>
      <c r="D735" t="inlineStr">
        <is>
          <t>UPPSALA LÄN</t>
        </is>
      </c>
      <c r="E735" t="inlineStr">
        <is>
          <t>TIERP</t>
        </is>
      </c>
      <c r="F735" t="inlineStr">
        <is>
          <t>Bergvik skog väst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55818-2023</t>
        </is>
      </c>
      <c r="B736" s="1" t="n">
        <v>45239</v>
      </c>
      <c r="C736" s="1" t="n">
        <v>45796</v>
      </c>
      <c r="D736" t="inlineStr">
        <is>
          <t>UPPSALA LÄN</t>
        </is>
      </c>
      <c r="E736" t="inlineStr">
        <is>
          <t>TIERP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56292-2023</t>
        </is>
      </c>
      <c r="B737" s="1" t="n">
        <v>45242</v>
      </c>
      <c r="C737" s="1" t="n">
        <v>45796</v>
      </c>
      <c r="D737" t="inlineStr">
        <is>
          <t>UPPSALA LÄN</t>
        </is>
      </c>
      <c r="E737" t="inlineStr">
        <is>
          <t>TIERP</t>
        </is>
      </c>
      <c r="G737" t="n">
        <v>11.5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56497-2023</t>
        </is>
      </c>
      <c r="B738" s="1" t="n">
        <v>45243</v>
      </c>
      <c r="C738" s="1" t="n">
        <v>45796</v>
      </c>
      <c r="D738" t="inlineStr">
        <is>
          <t>UPPSALA LÄN</t>
        </is>
      </c>
      <c r="E738" t="inlineStr">
        <is>
          <t>TIERP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56583-2023</t>
        </is>
      </c>
      <c r="B739" s="1" t="n">
        <v>45243</v>
      </c>
      <c r="C739" s="1" t="n">
        <v>45796</v>
      </c>
      <c r="D739" t="inlineStr">
        <is>
          <t>UPPSALA LÄN</t>
        </is>
      </c>
      <c r="E739" t="inlineStr">
        <is>
          <t>TIERP</t>
        </is>
      </c>
      <c r="F739" t="inlineStr">
        <is>
          <t>Bergvik skog väst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56939-2023</t>
        </is>
      </c>
      <c r="B740" s="1" t="n">
        <v>45244</v>
      </c>
      <c r="C740" s="1" t="n">
        <v>45796</v>
      </c>
      <c r="D740" t="inlineStr">
        <is>
          <t>UPPSALA LÄN</t>
        </is>
      </c>
      <c r="E740" t="inlineStr">
        <is>
          <t>TIERP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56946-2023</t>
        </is>
      </c>
      <c r="B741" s="1" t="n">
        <v>45244</v>
      </c>
      <c r="C741" s="1" t="n">
        <v>45796</v>
      </c>
      <c r="D741" t="inlineStr">
        <is>
          <t>UPPSALA LÄN</t>
        </is>
      </c>
      <c r="E741" t="inlineStr">
        <is>
          <t>TIERP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56971-2023</t>
        </is>
      </c>
      <c r="B742" s="1" t="n">
        <v>45244</v>
      </c>
      <c r="C742" s="1" t="n">
        <v>45796</v>
      </c>
      <c r="D742" t="inlineStr">
        <is>
          <t>UPPSALA LÄN</t>
        </is>
      </c>
      <c r="E742" t="inlineStr">
        <is>
          <t>TIERP</t>
        </is>
      </c>
      <c r="F742" t="inlineStr">
        <is>
          <t>Bergvik skog öst AB</t>
        </is>
      </c>
      <c r="G742" t="n">
        <v>8.5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57142-2023</t>
        </is>
      </c>
      <c r="B743" s="1" t="n">
        <v>45245</v>
      </c>
      <c r="C743" s="1" t="n">
        <v>45796</v>
      </c>
      <c r="D743" t="inlineStr">
        <is>
          <t>UPPSALA LÄN</t>
        </is>
      </c>
      <c r="E743" t="inlineStr">
        <is>
          <t>TIERP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57144-2023</t>
        </is>
      </c>
      <c r="B744" s="1" t="n">
        <v>45245</v>
      </c>
      <c r="C744" s="1" t="n">
        <v>45796</v>
      </c>
      <c r="D744" t="inlineStr">
        <is>
          <t>UPPSALA LÄN</t>
        </is>
      </c>
      <c r="E744" t="inlineStr">
        <is>
          <t>TIERP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57358-2023</t>
        </is>
      </c>
      <c r="B745" s="1" t="n">
        <v>45245</v>
      </c>
      <c r="C745" s="1" t="n">
        <v>45796</v>
      </c>
      <c r="D745" t="inlineStr">
        <is>
          <t>UPPSALA LÄN</t>
        </is>
      </c>
      <c r="E745" t="inlineStr">
        <is>
          <t>TIERP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57502-2023</t>
        </is>
      </c>
      <c r="B746" s="1" t="n">
        <v>45246</v>
      </c>
      <c r="C746" s="1" t="n">
        <v>45796</v>
      </c>
      <c r="D746" t="inlineStr">
        <is>
          <t>UPPSALA LÄN</t>
        </is>
      </c>
      <c r="E746" t="inlineStr">
        <is>
          <t>TIERP</t>
        </is>
      </c>
      <c r="F746" t="inlineStr">
        <is>
          <t>Kyrkan</t>
        </is>
      </c>
      <c r="G746" t="n">
        <v>15.9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57526-2023</t>
        </is>
      </c>
      <c r="B747" s="1" t="n">
        <v>45246</v>
      </c>
      <c r="C747" s="1" t="n">
        <v>45796</v>
      </c>
      <c r="D747" t="inlineStr">
        <is>
          <t>UPPSALA LÄN</t>
        </is>
      </c>
      <c r="E747" t="inlineStr">
        <is>
          <t>TIERP</t>
        </is>
      </c>
      <c r="F747" t="inlineStr">
        <is>
          <t>Kyrkan</t>
        </is>
      </c>
      <c r="G747" t="n">
        <v>8.699999999999999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57959-2023</t>
        </is>
      </c>
      <c r="B748" s="1" t="n">
        <v>45247</v>
      </c>
      <c r="C748" s="1" t="n">
        <v>45796</v>
      </c>
      <c r="D748" t="inlineStr">
        <is>
          <t>UPPSALA LÄN</t>
        </is>
      </c>
      <c r="E748" t="inlineStr">
        <is>
          <t>TIERP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57826-2023</t>
        </is>
      </c>
      <c r="B749" s="1" t="n">
        <v>45247</v>
      </c>
      <c r="C749" s="1" t="n">
        <v>45796</v>
      </c>
      <c r="D749" t="inlineStr">
        <is>
          <t>UPPSALA LÄN</t>
        </is>
      </c>
      <c r="E749" t="inlineStr">
        <is>
          <t>TIERP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57969-2023</t>
        </is>
      </c>
      <c r="B750" s="1" t="n">
        <v>45247</v>
      </c>
      <c r="C750" s="1" t="n">
        <v>45796</v>
      </c>
      <c r="D750" t="inlineStr">
        <is>
          <t>UPPSALA LÄN</t>
        </is>
      </c>
      <c r="E750" t="inlineStr">
        <is>
          <t>TIERP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58042-2023</t>
        </is>
      </c>
      <c r="B751" s="1" t="n">
        <v>45247</v>
      </c>
      <c r="C751" s="1" t="n">
        <v>45796</v>
      </c>
      <c r="D751" t="inlineStr">
        <is>
          <t>UPPSALA LÄN</t>
        </is>
      </c>
      <c r="E751" t="inlineStr">
        <is>
          <t>TIERP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58034-2023</t>
        </is>
      </c>
      <c r="B752" s="1" t="n">
        <v>45247</v>
      </c>
      <c r="C752" s="1" t="n">
        <v>45796</v>
      </c>
      <c r="D752" t="inlineStr">
        <is>
          <t>UPPSALA LÄN</t>
        </is>
      </c>
      <c r="E752" t="inlineStr">
        <is>
          <t>TIERP</t>
        </is>
      </c>
      <c r="G752" t="n">
        <v>7.8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57828-2023</t>
        </is>
      </c>
      <c r="B753" s="1" t="n">
        <v>45247</v>
      </c>
      <c r="C753" s="1" t="n">
        <v>45796</v>
      </c>
      <c r="D753" t="inlineStr">
        <is>
          <t>UPPSALA LÄN</t>
        </is>
      </c>
      <c r="E753" t="inlineStr">
        <is>
          <t>TIERP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58492-2023</t>
        </is>
      </c>
      <c r="B754" s="1" t="n">
        <v>45251</v>
      </c>
      <c r="C754" s="1" t="n">
        <v>45796</v>
      </c>
      <c r="D754" t="inlineStr">
        <is>
          <t>UPPSALA LÄN</t>
        </is>
      </c>
      <c r="E754" t="inlineStr">
        <is>
          <t>TIERP</t>
        </is>
      </c>
      <c r="F754" t="inlineStr">
        <is>
          <t>Bergvik skog väst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58947-2023</t>
        </is>
      </c>
      <c r="B755" s="1" t="n">
        <v>45252</v>
      </c>
      <c r="C755" s="1" t="n">
        <v>45796</v>
      </c>
      <c r="D755" t="inlineStr">
        <is>
          <t>UPPSALA LÄN</t>
        </is>
      </c>
      <c r="E755" t="inlineStr">
        <is>
          <t>TIERP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58900-2023</t>
        </is>
      </c>
      <c r="B756" s="1" t="n">
        <v>45252</v>
      </c>
      <c r="C756" s="1" t="n">
        <v>45796</v>
      </c>
      <c r="D756" t="inlineStr">
        <is>
          <t>UPPSALA LÄN</t>
        </is>
      </c>
      <c r="E756" t="inlineStr">
        <is>
          <t>TIERP</t>
        </is>
      </c>
      <c r="G756" t="n">
        <v>25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58931-2023</t>
        </is>
      </c>
      <c r="B757" s="1" t="n">
        <v>45252</v>
      </c>
      <c r="C757" s="1" t="n">
        <v>45796</v>
      </c>
      <c r="D757" t="inlineStr">
        <is>
          <t>UPPSALA LÄN</t>
        </is>
      </c>
      <c r="E757" t="inlineStr">
        <is>
          <t>TIERP</t>
        </is>
      </c>
      <c r="F757" t="inlineStr">
        <is>
          <t>Bergvik skog öst AB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59473-2023</t>
        </is>
      </c>
      <c r="B758" s="1" t="n">
        <v>45253</v>
      </c>
      <c r="C758" s="1" t="n">
        <v>45796</v>
      </c>
      <c r="D758" t="inlineStr">
        <is>
          <t>UPPSALA LÄN</t>
        </is>
      </c>
      <c r="E758" t="inlineStr">
        <is>
          <t>TIERP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59493-2023</t>
        </is>
      </c>
      <c r="B759" s="1" t="n">
        <v>45253</v>
      </c>
      <c r="C759" s="1" t="n">
        <v>45796</v>
      </c>
      <c r="D759" t="inlineStr">
        <is>
          <t>UPPSALA LÄN</t>
        </is>
      </c>
      <c r="E759" t="inlineStr">
        <is>
          <t>TIERP</t>
        </is>
      </c>
      <c r="G759" t="n">
        <v>14.9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59482-2023</t>
        </is>
      </c>
      <c r="B760" s="1" t="n">
        <v>45253</v>
      </c>
      <c r="C760" s="1" t="n">
        <v>45796</v>
      </c>
      <c r="D760" t="inlineStr">
        <is>
          <t>UPPSALA LÄN</t>
        </is>
      </c>
      <c r="E760" t="inlineStr">
        <is>
          <t>TIERP</t>
        </is>
      </c>
      <c r="G760" t="n">
        <v>11.3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59961-2023</t>
        </is>
      </c>
      <c r="B761" s="1" t="n">
        <v>45257</v>
      </c>
      <c r="C761" s="1" t="n">
        <v>45796</v>
      </c>
      <c r="D761" t="inlineStr">
        <is>
          <t>UPPSALA LÄN</t>
        </is>
      </c>
      <c r="E761" t="inlineStr">
        <is>
          <t>TIERP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59923-2023</t>
        </is>
      </c>
      <c r="B762" s="1" t="n">
        <v>45257</v>
      </c>
      <c r="C762" s="1" t="n">
        <v>45796</v>
      </c>
      <c r="D762" t="inlineStr">
        <is>
          <t>UPPSALA LÄN</t>
        </is>
      </c>
      <c r="E762" t="inlineStr">
        <is>
          <t>TIERP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59942-2023</t>
        </is>
      </c>
      <c r="B763" s="1" t="n">
        <v>45257</v>
      </c>
      <c r="C763" s="1" t="n">
        <v>45796</v>
      </c>
      <c r="D763" t="inlineStr">
        <is>
          <t>UPPSALA LÄN</t>
        </is>
      </c>
      <c r="E763" t="inlineStr">
        <is>
          <t>TIERP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60079-2023</t>
        </is>
      </c>
      <c r="B764" s="1" t="n">
        <v>45258</v>
      </c>
      <c r="C764" s="1" t="n">
        <v>45796</v>
      </c>
      <c r="D764" t="inlineStr">
        <is>
          <t>UPPSALA LÄN</t>
        </is>
      </c>
      <c r="E764" t="inlineStr">
        <is>
          <t>TIERP</t>
        </is>
      </c>
      <c r="G764" t="n">
        <v>7.5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60212-2023</t>
        </is>
      </c>
      <c r="B765" s="1" t="n">
        <v>45258</v>
      </c>
      <c r="C765" s="1" t="n">
        <v>45796</v>
      </c>
      <c r="D765" t="inlineStr">
        <is>
          <t>UPPSALA LÄN</t>
        </is>
      </c>
      <c r="E765" t="inlineStr">
        <is>
          <t>TIERP</t>
        </is>
      </c>
      <c r="F765" t="inlineStr">
        <is>
          <t>Bergvik skog väst AB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60989-2023</t>
        </is>
      </c>
      <c r="B766" s="1" t="n">
        <v>45259</v>
      </c>
      <c r="C766" s="1" t="n">
        <v>45796</v>
      </c>
      <c r="D766" t="inlineStr">
        <is>
          <t>UPPSALA LÄN</t>
        </is>
      </c>
      <c r="E766" t="inlineStr">
        <is>
          <t>TIERP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60993-2023</t>
        </is>
      </c>
      <c r="B767" s="1" t="n">
        <v>45259</v>
      </c>
      <c r="C767" s="1" t="n">
        <v>45796</v>
      </c>
      <c r="D767" t="inlineStr">
        <is>
          <t>UPPSALA LÄN</t>
        </is>
      </c>
      <c r="E767" t="inlineStr">
        <is>
          <t>TIERP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60924-2023</t>
        </is>
      </c>
      <c r="B768" s="1" t="n">
        <v>45261</v>
      </c>
      <c r="C768" s="1" t="n">
        <v>45796</v>
      </c>
      <c r="D768" t="inlineStr">
        <is>
          <t>UPPSALA LÄN</t>
        </is>
      </c>
      <c r="E768" t="inlineStr">
        <is>
          <t>TIERP</t>
        </is>
      </c>
      <c r="F768" t="inlineStr">
        <is>
          <t>Bergvik skog öst AB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61612-2023</t>
        </is>
      </c>
      <c r="B769" s="1" t="n">
        <v>45265</v>
      </c>
      <c r="C769" s="1" t="n">
        <v>45796</v>
      </c>
      <c r="D769" t="inlineStr">
        <is>
          <t>UPPSALA LÄN</t>
        </is>
      </c>
      <c r="E769" t="inlineStr">
        <is>
          <t>TIERP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61640-2023</t>
        </is>
      </c>
      <c r="B770" s="1" t="n">
        <v>45265</v>
      </c>
      <c r="C770" s="1" t="n">
        <v>45796</v>
      </c>
      <c r="D770" t="inlineStr">
        <is>
          <t>UPPSALA LÄN</t>
        </is>
      </c>
      <c r="E770" t="inlineStr">
        <is>
          <t>TIERP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61677-2023</t>
        </is>
      </c>
      <c r="B771" s="1" t="n">
        <v>45265</v>
      </c>
      <c r="C771" s="1" t="n">
        <v>45796</v>
      </c>
      <c r="D771" t="inlineStr">
        <is>
          <t>UPPSALA LÄN</t>
        </is>
      </c>
      <c r="E771" t="inlineStr">
        <is>
          <t>TIERP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63646-2023</t>
        </is>
      </c>
      <c r="B772" s="1" t="n">
        <v>45275</v>
      </c>
      <c r="C772" s="1" t="n">
        <v>45796</v>
      </c>
      <c r="D772" t="inlineStr">
        <is>
          <t>UPPSALA LÄN</t>
        </is>
      </c>
      <c r="E772" t="inlineStr">
        <is>
          <t>TIERP</t>
        </is>
      </c>
      <c r="F772" t="inlineStr">
        <is>
          <t>Övriga Aktiebolag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63663-2023</t>
        </is>
      </c>
      <c r="B773" s="1" t="n">
        <v>45275</v>
      </c>
      <c r="C773" s="1" t="n">
        <v>45796</v>
      </c>
      <c r="D773" t="inlineStr">
        <is>
          <t>UPPSALA LÄN</t>
        </is>
      </c>
      <c r="E773" t="inlineStr">
        <is>
          <t>TIERP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63641-2023</t>
        </is>
      </c>
      <c r="B774" s="1" t="n">
        <v>45275</v>
      </c>
      <c r="C774" s="1" t="n">
        <v>45796</v>
      </c>
      <c r="D774" t="inlineStr">
        <is>
          <t>UPPSALA LÄN</t>
        </is>
      </c>
      <c r="E774" t="inlineStr">
        <is>
          <t>TIERP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63649-2023</t>
        </is>
      </c>
      <c r="B775" s="1" t="n">
        <v>45275</v>
      </c>
      <c r="C775" s="1" t="n">
        <v>45796</v>
      </c>
      <c r="D775" t="inlineStr">
        <is>
          <t>UPPSALA LÄN</t>
        </is>
      </c>
      <c r="E775" t="inlineStr">
        <is>
          <t>TIERP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64128-2023</t>
        </is>
      </c>
      <c r="B776" s="1" t="n">
        <v>45279</v>
      </c>
      <c r="C776" s="1" t="n">
        <v>45796</v>
      </c>
      <c r="D776" t="inlineStr">
        <is>
          <t>UPPSALA LÄN</t>
        </is>
      </c>
      <c r="E776" t="inlineStr">
        <is>
          <t>TIERP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64132-2023</t>
        </is>
      </c>
      <c r="B777" s="1" t="n">
        <v>45279</v>
      </c>
      <c r="C777" s="1" t="n">
        <v>45796</v>
      </c>
      <c r="D777" t="inlineStr">
        <is>
          <t>UPPSALA LÄN</t>
        </is>
      </c>
      <c r="E777" t="inlineStr">
        <is>
          <t>TIERP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64129-2023</t>
        </is>
      </c>
      <c r="B778" s="1" t="n">
        <v>45279</v>
      </c>
      <c r="C778" s="1" t="n">
        <v>45796</v>
      </c>
      <c r="D778" t="inlineStr">
        <is>
          <t>UPPSALA LÄN</t>
        </is>
      </c>
      <c r="E778" t="inlineStr">
        <is>
          <t>TIERP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64135-2023</t>
        </is>
      </c>
      <c r="B779" s="1" t="n">
        <v>45279</v>
      </c>
      <c r="C779" s="1" t="n">
        <v>45796</v>
      </c>
      <c r="D779" t="inlineStr">
        <is>
          <t>UPPSALA LÄN</t>
        </is>
      </c>
      <c r="E779" t="inlineStr">
        <is>
          <t>TIERP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64180-2023</t>
        </is>
      </c>
      <c r="B780" s="1" t="n">
        <v>45279</v>
      </c>
      <c r="C780" s="1" t="n">
        <v>45796</v>
      </c>
      <c r="D780" t="inlineStr">
        <is>
          <t>UPPSALA LÄN</t>
        </is>
      </c>
      <c r="E780" t="inlineStr">
        <is>
          <t>TIERP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64540-2023</t>
        </is>
      </c>
      <c r="B781" s="1" t="n">
        <v>45281</v>
      </c>
      <c r="C781" s="1" t="n">
        <v>45796</v>
      </c>
      <c r="D781" t="inlineStr">
        <is>
          <t>UPPSALA LÄN</t>
        </is>
      </c>
      <c r="E781" t="inlineStr">
        <is>
          <t>TIERP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64557-2023</t>
        </is>
      </c>
      <c r="B782" s="1" t="n">
        <v>45281</v>
      </c>
      <c r="C782" s="1" t="n">
        <v>45796</v>
      </c>
      <c r="D782" t="inlineStr">
        <is>
          <t>UPPSALA LÄN</t>
        </is>
      </c>
      <c r="E782" t="inlineStr">
        <is>
          <t>TIERP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64624-2023</t>
        </is>
      </c>
      <c r="B783" s="1" t="n">
        <v>45281</v>
      </c>
      <c r="C783" s="1" t="n">
        <v>45796</v>
      </c>
      <c r="D783" t="inlineStr">
        <is>
          <t>UPPSALA LÄN</t>
        </is>
      </c>
      <c r="E783" t="inlineStr">
        <is>
          <t>TIERP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64628-2023</t>
        </is>
      </c>
      <c r="B784" s="1" t="n">
        <v>45281</v>
      </c>
      <c r="C784" s="1" t="n">
        <v>45796</v>
      </c>
      <c r="D784" t="inlineStr">
        <is>
          <t>UPPSALA LÄN</t>
        </is>
      </c>
      <c r="E784" t="inlineStr">
        <is>
          <t>TIERP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64782-2023</t>
        </is>
      </c>
      <c r="B785" s="1" t="n">
        <v>45282</v>
      </c>
      <c r="C785" s="1" t="n">
        <v>45796</v>
      </c>
      <c r="D785" t="inlineStr">
        <is>
          <t>UPPSALA LÄN</t>
        </is>
      </c>
      <c r="E785" t="inlineStr">
        <is>
          <t>TIERP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64914-2023</t>
        </is>
      </c>
      <c r="B786" s="1" t="n">
        <v>45282</v>
      </c>
      <c r="C786" s="1" t="n">
        <v>45796</v>
      </c>
      <c r="D786" t="inlineStr">
        <is>
          <t>UPPSALA LÄN</t>
        </is>
      </c>
      <c r="E786" t="inlineStr">
        <is>
          <t>TIERP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64911-2023</t>
        </is>
      </c>
      <c r="B787" s="1" t="n">
        <v>45282</v>
      </c>
      <c r="C787" s="1" t="n">
        <v>45796</v>
      </c>
      <c r="D787" t="inlineStr">
        <is>
          <t>UPPSALA LÄN</t>
        </is>
      </c>
      <c r="E787" t="inlineStr">
        <is>
          <t>TIERP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408-2024</t>
        </is>
      </c>
      <c r="B788" s="1" t="n">
        <v>45296</v>
      </c>
      <c r="C788" s="1" t="n">
        <v>45796</v>
      </c>
      <c r="D788" t="inlineStr">
        <is>
          <t>UPPSALA LÄN</t>
        </is>
      </c>
      <c r="E788" t="inlineStr">
        <is>
          <t>TIERP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429-2024</t>
        </is>
      </c>
      <c r="B789" s="1" t="n">
        <v>45296</v>
      </c>
      <c r="C789" s="1" t="n">
        <v>45796</v>
      </c>
      <c r="D789" t="inlineStr">
        <is>
          <t>UPPSALA LÄN</t>
        </is>
      </c>
      <c r="E789" t="inlineStr">
        <is>
          <t>TIERP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967-2024</t>
        </is>
      </c>
      <c r="B790" s="1" t="n">
        <v>45301</v>
      </c>
      <c r="C790" s="1" t="n">
        <v>45796</v>
      </c>
      <c r="D790" t="inlineStr">
        <is>
          <t>UPPSALA LÄN</t>
        </is>
      </c>
      <c r="E790" t="inlineStr">
        <is>
          <t>TIERP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953-2024</t>
        </is>
      </c>
      <c r="B791" s="1" t="n">
        <v>45301</v>
      </c>
      <c r="C791" s="1" t="n">
        <v>45796</v>
      </c>
      <c r="D791" t="inlineStr">
        <is>
          <t>UPPSALA LÄN</t>
        </is>
      </c>
      <c r="E791" t="inlineStr">
        <is>
          <t>TIERP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986-2024</t>
        </is>
      </c>
      <c r="B792" s="1" t="n">
        <v>45301</v>
      </c>
      <c r="C792" s="1" t="n">
        <v>45796</v>
      </c>
      <c r="D792" t="inlineStr">
        <is>
          <t>UPPSALA LÄN</t>
        </is>
      </c>
      <c r="E792" t="inlineStr">
        <is>
          <t>TIERP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1692-2024</t>
        </is>
      </c>
      <c r="B793" s="1" t="n">
        <v>45307</v>
      </c>
      <c r="C793" s="1" t="n">
        <v>45796</v>
      </c>
      <c r="D793" t="inlineStr">
        <is>
          <t>UPPSALA LÄN</t>
        </is>
      </c>
      <c r="E793" t="inlineStr">
        <is>
          <t>TIERP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1951-2024</t>
        </is>
      </c>
      <c r="B794" s="1" t="n">
        <v>45308</v>
      </c>
      <c r="C794" s="1" t="n">
        <v>45796</v>
      </c>
      <c r="D794" t="inlineStr">
        <is>
          <t>UPPSALA LÄN</t>
        </is>
      </c>
      <c r="E794" t="inlineStr">
        <is>
          <t>TIERP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2011-2024</t>
        </is>
      </c>
      <c r="B795" s="1" t="n">
        <v>45308</v>
      </c>
      <c r="C795" s="1" t="n">
        <v>45796</v>
      </c>
      <c r="D795" t="inlineStr">
        <is>
          <t>UPPSALA LÄN</t>
        </is>
      </c>
      <c r="E795" t="inlineStr">
        <is>
          <t>TIERP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2301-2024</t>
        </is>
      </c>
      <c r="B796" s="1" t="n">
        <v>45310</v>
      </c>
      <c r="C796" s="1" t="n">
        <v>45796</v>
      </c>
      <c r="D796" t="inlineStr">
        <is>
          <t>UPPSALA LÄN</t>
        </is>
      </c>
      <c r="E796" t="inlineStr">
        <is>
          <t>TIERP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2454-2024</t>
        </is>
      </c>
      <c r="B797" s="1" t="n">
        <v>45312</v>
      </c>
      <c r="C797" s="1" t="n">
        <v>45796</v>
      </c>
      <c r="D797" t="inlineStr">
        <is>
          <t>UPPSALA LÄN</t>
        </is>
      </c>
      <c r="E797" t="inlineStr">
        <is>
          <t>TIERP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2676-2024</t>
        </is>
      </c>
      <c r="B798" s="1" t="n">
        <v>45314</v>
      </c>
      <c r="C798" s="1" t="n">
        <v>45796</v>
      </c>
      <c r="D798" t="inlineStr">
        <is>
          <t>UPPSALA LÄN</t>
        </is>
      </c>
      <c r="E798" t="inlineStr">
        <is>
          <t>TIERP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3305-2024</t>
        </is>
      </c>
      <c r="B799" s="1" t="n">
        <v>45316</v>
      </c>
      <c r="C799" s="1" t="n">
        <v>45796</v>
      </c>
      <c r="D799" t="inlineStr">
        <is>
          <t>UPPSALA LÄN</t>
        </is>
      </c>
      <c r="E799" t="inlineStr">
        <is>
          <t>TIERP</t>
        </is>
      </c>
      <c r="G799" t="n">
        <v>47.8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3503-2024</t>
        </is>
      </c>
      <c r="B800" s="1" t="n">
        <v>45320</v>
      </c>
      <c r="C800" s="1" t="n">
        <v>45796</v>
      </c>
      <c r="D800" t="inlineStr">
        <is>
          <t>UPPSALA LÄN</t>
        </is>
      </c>
      <c r="E800" t="inlineStr">
        <is>
          <t>TIERP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5126-2024</t>
        </is>
      </c>
      <c r="B801" s="1" t="n">
        <v>45330</v>
      </c>
      <c r="C801" s="1" t="n">
        <v>45796</v>
      </c>
      <c r="D801" t="inlineStr">
        <is>
          <t>UPPSALA LÄN</t>
        </is>
      </c>
      <c r="E801" t="inlineStr">
        <is>
          <t>TIERP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6385-2024</t>
        </is>
      </c>
      <c r="B802" s="1" t="n">
        <v>45338</v>
      </c>
      <c r="C802" s="1" t="n">
        <v>45796</v>
      </c>
      <c r="D802" t="inlineStr">
        <is>
          <t>UPPSALA LÄN</t>
        </is>
      </c>
      <c r="E802" t="inlineStr">
        <is>
          <t>TIERP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6395-2024</t>
        </is>
      </c>
      <c r="B803" s="1" t="n">
        <v>45338</v>
      </c>
      <c r="C803" s="1" t="n">
        <v>45796</v>
      </c>
      <c r="D803" t="inlineStr">
        <is>
          <t>UPPSALA LÄN</t>
        </is>
      </c>
      <c r="E803" t="inlineStr">
        <is>
          <t>TIERP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7048-2024</t>
        </is>
      </c>
      <c r="B804" s="1" t="n">
        <v>45343</v>
      </c>
      <c r="C804" s="1" t="n">
        <v>45796</v>
      </c>
      <c r="D804" t="inlineStr">
        <is>
          <t>UPPSALA LÄN</t>
        </is>
      </c>
      <c r="E804" t="inlineStr">
        <is>
          <t>TIERP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7065-2024</t>
        </is>
      </c>
      <c r="B805" s="1" t="n">
        <v>45343</v>
      </c>
      <c r="C805" s="1" t="n">
        <v>45796</v>
      </c>
      <c r="D805" t="inlineStr">
        <is>
          <t>UPPSALA LÄN</t>
        </is>
      </c>
      <c r="E805" t="inlineStr">
        <is>
          <t>TIERP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7127-2024</t>
        </is>
      </c>
      <c r="B806" s="1" t="n">
        <v>45344</v>
      </c>
      <c r="C806" s="1" t="n">
        <v>45796</v>
      </c>
      <c r="D806" t="inlineStr">
        <is>
          <t>UPPSALA LÄN</t>
        </is>
      </c>
      <c r="E806" t="inlineStr">
        <is>
          <t>TIERP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8958-2024</t>
        </is>
      </c>
      <c r="B807" s="1" t="n">
        <v>45357</v>
      </c>
      <c r="C807" s="1" t="n">
        <v>45796</v>
      </c>
      <c r="D807" t="inlineStr">
        <is>
          <t>UPPSALA LÄN</t>
        </is>
      </c>
      <c r="E807" t="inlineStr">
        <is>
          <t>TIERP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9130-2024</t>
        </is>
      </c>
      <c r="B808" s="1" t="n">
        <v>45358</v>
      </c>
      <c r="C808" s="1" t="n">
        <v>45796</v>
      </c>
      <c r="D808" t="inlineStr">
        <is>
          <t>UPPSALA LÄN</t>
        </is>
      </c>
      <c r="E808" t="inlineStr">
        <is>
          <t>TIERP</t>
        </is>
      </c>
      <c r="G808" t="n">
        <v>6.3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10550-2024</t>
        </is>
      </c>
      <c r="B809" s="1" t="n">
        <v>45366</v>
      </c>
      <c r="C809" s="1" t="n">
        <v>45796</v>
      </c>
      <c r="D809" t="inlineStr">
        <is>
          <t>UPPSALA LÄN</t>
        </is>
      </c>
      <c r="E809" t="inlineStr">
        <is>
          <t>TIERP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10551-2024</t>
        </is>
      </c>
      <c r="B810" s="1" t="n">
        <v>45366</v>
      </c>
      <c r="C810" s="1" t="n">
        <v>45796</v>
      </c>
      <c r="D810" t="inlineStr">
        <is>
          <t>UPPSALA LÄN</t>
        </is>
      </c>
      <c r="E810" t="inlineStr">
        <is>
          <t>TIERP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10660-2024</t>
        </is>
      </c>
      <c r="B811" s="1" t="n">
        <v>45369</v>
      </c>
      <c r="C811" s="1" t="n">
        <v>45796</v>
      </c>
      <c r="D811" t="inlineStr">
        <is>
          <t>UPPSALA LÄN</t>
        </is>
      </c>
      <c r="E811" t="inlineStr">
        <is>
          <t>TIERP</t>
        </is>
      </c>
      <c r="G811" t="n">
        <v>9.5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11445-2024</t>
        </is>
      </c>
      <c r="B812" s="1" t="n">
        <v>45372</v>
      </c>
      <c r="C812" s="1" t="n">
        <v>45796</v>
      </c>
      <c r="D812" t="inlineStr">
        <is>
          <t>UPPSALA LÄN</t>
        </is>
      </c>
      <c r="E812" t="inlineStr">
        <is>
          <t>TIERP</t>
        </is>
      </c>
      <c r="G812" t="n">
        <v>7.2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11447-2024</t>
        </is>
      </c>
      <c r="B813" s="1" t="n">
        <v>45372</v>
      </c>
      <c r="C813" s="1" t="n">
        <v>45796</v>
      </c>
      <c r="D813" t="inlineStr">
        <is>
          <t>UPPSALA LÄN</t>
        </is>
      </c>
      <c r="E813" t="inlineStr">
        <is>
          <t>TIERP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11446-2024</t>
        </is>
      </c>
      <c r="B814" s="1" t="n">
        <v>45372</v>
      </c>
      <c r="C814" s="1" t="n">
        <v>45796</v>
      </c>
      <c r="D814" t="inlineStr">
        <is>
          <t>UPPSALA LÄN</t>
        </is>
      </c>
      <c r="E814" t="inlineStr">
        <is>
          <t>TIERP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11448-2024</t>
        </is>
      </c>
      <c r="B815" s="1" t="n">
        <v>45372</v>
      </c>
      <c r="C815" s="1" t="n">
        <v>45796</v>
      </c>
      <c r="D815" t="inlineStr">
        <is>
          <t>UPPSALA LÄN</t>
        </is>
      </c>
      <c r="E815" t="inlineStr">
        <is>
          <t>TIERP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12129-2024</t>
        </is>
      </c>
      <c r="B816" s="1" t="n">
        <v>45377</v>
      </c>
      <c r="C816" s="1" t="n">
        <v>45796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12133-2024</t>
        </is>
      </c>
      <c r="B817" s="1" t="n">
        <v>45377</v>
      </c>
      <c r="C817" s="1" t="n">
        <v>45796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12137-2024</t>
        </is>
      </c>
      <c r="B818" s="1" t="n">
        <v>45377</v>
      </c>
      <c r="C818" s="1" t="n">
        <v>45796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12225-2024</t>
        </is>
      </c>
      <c r="B819" s="1" t="n">
        <v>45378</v>
      </c>
      <c r="C819" s="1" t="n">
        <v>45796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12424-2024</t>
        </is>
      </c>
      <c r="B820" s="1" t="n">
        <v>45379</v>
      </c>
      <c r="C820" s="1" t="n">
        <v>45796</v>
      </c>
      <c r="D820" t="inlineStr">
        <is>
          <t>UPPSALA LÄN</t>
        </is>
      </c>
      <c r="E820" t="inlineStr">
        <is>
          <t>TIERP</t>
        </is>
      </c>
      <c r="G820" t="n">
        <v>11.6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12741-2024</t>
        </is>
      </c>
      <c r="B821" s="1" t="n">
        <v>45384</v>
      </c>
      <c r="C821" s="1" t="n">
        <v>45796</v>
      </c>
      <c r="D821" t="inlineStr">
        <is>
          <t>UPPSALA LÄN</t>
        </is>
      </c>
      <c r="E821" t="inlineStr">
        <is>
          <t>TIERP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12786-2024</t>
        </is>
      </c>
      <c r="B822" s="1" t="n">
        <v>45384</v>
      </c>
      <c r="C822" s="1" t="n">
        <v>45796</v>
      </c>
      <c r="D822" t="inlineStr">
        <is>
          <t>UPPSALA LÄN</t>
        </is>
      </c>
      <c r="E822" t="inlineStr">
        <is>
          <t>TIERP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12776-2024</t>
        </is>
      </c>
      <c r="B823" s="1" t="n">
        <v>45384</v>
      </c>
      <c r="C823" s="1" t="n">
        <v>45796</v>
      </c>
      <c r="D823" t="inlineStr">
        <is>
          <t>UPPSALA LÄN</t>
        </is>
      </c>
      <c r="E823" t="inlineStr">
        <is>
          <t>TIERP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12994-2024</t>
        </is>
      </c>
      <c r="B824" s="1" t="n">
        <v>45385</v>
      </c>
      <c r="C824" s="1" t="n">
        <v>45796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12885-2024</t>
        </is>
      </c>
      <c r="B825" s="1" t="n">
        <v>45385</v>
      </c>
      <c r="C825" s="1" t="n">
        <v>45796</v>
      </c>
      <c r="D825" t="inlineStr">
        <is>
          <t>UPPSALA LÄN</t>
        </is>
      </c>
      <c r="E825" t="inlineStr">
        <is>
          <t>TIERP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12976-2024</t>
        </is>
      </c>
      <c r="B826" s="1" t="n">
        <v>45385</v>
      </c>
      <c r="C826" s="1" t="n">
        <v>45796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13066-2024</t>
        </is>
      </c>
      <c r="B827" s="1" t="n">
        <v>45385</v>
      </c>
      <c r="C827" s="1" t="n">
        <v>45796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8.699999999999999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13182-2024</t>
        </is>
      </c>
      <c r="B828" s="1" t="n">
        <v>45386</v>
      </c>
      <c r="C828" s="1" t="n">
        <v>45796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13356-2024</t>
        </is>
      </c>
      <c r="B829" s="1" t="n">
        <v>45387</v>
      </c>
      <c r="C829" s="1" t="n">
        <v>45796</v>
      </c>
      <c r="D829" t="inlineStr">
        <is>
          <t>UPPSALA LÄN</t>
        </is>
      </c>
      <c r="E829" t="inlineStr">
        <is>
          <t>TIERP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13368-2024</t>
        </is>
      </c>
      <c r="B830" s="1" t="n">
        <v>45387</v>
      </c>
      <c r="C830" s="1" t="n">
        <v>45796</v>
      </c>
      <c r="D830" t="inlineStr">
        <is>
          <t>UPPSALA LÄN</t>
        </is>
      </c>
      <c r="E830" t="inlineStr">
        <is>
          <t>TIERP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13354-2024</t>
        </is>
      </c>
      <c r="B831" s="1" t="n">
        <v>45387</v>
      </c>
      <c r="C831" s="1" t="n">
        <v>45796</v>
      </c>
      <c r="D831" t="inlineStr">
        <is>
          <t>UPPSALA LÄN</t>
        </is>
      </c>
      <c r="E831" t="inlineStr">
        <is>
          <t>TIERP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13464-2024</t>
        </is>
      </c>
      <c r="B832" s="1" t="n">
        <v>45387</v>
      </c>
      <c r="C832" s="1" t="n">
        <v>45796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väst AB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13460-2024</t>
        </is>
      </c>
      <c r="B833" s="1" t="n">
        <v>45387</v>
      </c>
      <c r="C833" s="1" t="n">
        <v>45796</v>
      </c>
      <c r="D833" t="inlineStr">
        <is>
          <t>UPPSALA LÄN</t>
        </is>
      </c>
      <c r="E833" t="inlineStr">
        <is>
          <t>TIERP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13681-2024</t>
        </is>
      </c>
      <c r="B834" s="1" t="n">
        <v>45390</v>
      </c>
      <c r="C834" s="1" t="n">
        <v>45796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11.2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13684-2024</t>
        </is>
      </c>
      <c r="B835" s="1" t="n">
        <v>45390</v>
      </c>
      <c r="C835" s="1" t="n">
        <v>45796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13.8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13692-2024</t>
        </is>
      </c>
      <c r="B836" s="1" t="n">
        <v>45390</v>
      </c>
      <c r="C836" s="1" t="n">
        <v>45796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13687-2024</t>
        </is>
      </c>
      <c r="B837" s="1" t="n">
        <v>45390</v>
      </c>
      <c r="C837" s="1" t="n">
        <v>45796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13691-2024</t>
        </is>
      </c>
      <c r="B838" s="1" t="n">
        <v>45390</v>
      </c>
      <c r="C838" s="1" t="n">
        <v>45796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14108-2024</t>
        </is>
      </c>
      <c r="B839" s="1" t="n">
        <v>45392</v>
      </c>
      <c r="C839" s="1" t="n">
        <v>45796</v>
      </c>
      <c r="D839" t="inlineStr">
        <is>
          <t>UPPSALA LÄN</t>
        </is>
      </c>
      <c r="E839" t="inlineStr">
        <is>
          <t>TIERP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14116-2024</t>
        </is>
      </c>
      <c r="B840" s="1" t="n">
        <v>45392</v>
      </c>
      <c r="C840" s="1" t="n">
        <v>45796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14284-2024</t>
        </is>
      </c>
      <c r="B841" s="1" t="n">
        <v>45393</v>
      </c>
      <c r="C841" s="1" t="n">
        <v>45796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14241-2024</t>
        </is>
      </c>
      <c r="B842" s="1" t="n">
        <v>45393</v>
      </c>
      <c r="C842" s="1" t="n">
        <v>45796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14395-2024</t>
        </is>
      </c>
      <c r="B843" s="1" t="n">
        <v>45394</v>
      </c>
      <c r="C843" s="1" t="n">
        <v>45796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väst AB</t>
        </is>
      </c>
      <c r="G843" t="n">
        <v>12.1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14483-2024</t>
        </is>
      </c>
      <c r="B844" s="1" t="n">
        <v>45394</v>
      </c>
      <c r="C844" s="1" t="n">
        <v>45796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14745-2024</t>
        </is>
      </c>
      <c r="B845" s="1" t="n">
        <v>45397</v>
      </c>
      <c r="C845" s="1" t="n">
        <v>45796</v>
      </c>
      <c r="D845" t="inlineStr">
        <is>
          <t>UPPSALA LÄN</t>
        </is>
      </c>
      <c r="E845" t="inlineStr">
        <is>
          <t>TIERP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14909-2024</t>
        </is>
      </c>
      <c r="B846" s="1" t="n">
        <v>45398</v>
      </c>
      <c r="C846" s="1" t="n">
        <v>45796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14921-2024</t>
        </is>
      </c>
      <c r="B847" s="1" t="n">
        <v>45398</v>
      </c>
      <c r="C847" s="1" t="n">
        <v>45796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14896-2024</t>
        </is>
      </c>
      <c r="B848" s="1" t="n">
        <v>45398</v>
      </c>
      <c r="C848" s="1" t="n">
        <v>45796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14900-2024</t>
        </is>
      </c>
      <c r="B849" s="1" t="n">
        <v>45398</v>
      </c>
      <c r="C849" s="1" t="n">
        <v>45796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14904-2024</t>
        </is>
      </c>
      <c r="B850" s="1" t="n">
        <v>45398</v>
      </c>
      <c r="C850" s="1" t="n">
        <v>45796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14928-2024</t>
        </is>
      </c>
      <c r="B851" s="1" t="n">
        <v>45398</v>
      </c>
      <c r="C851" s="1" t="n">
        <v>45796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8.9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14902-2024</t>
        </is>
      </c>
      <c r="B852" s="1" t="n">
        <v>45398</v>
      </c>
      <c r="C852" s="1" t="n">
        <v>45796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14947-2024</t>
        </is>
      </c>
      <c r="B853" s="1" t="n">
        <v>45398</v>
      </c>
      <c r="C853" s="1" t="n">
        <v>45796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13.6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14907-2024</t>
        </is>
      </c>
      <c r="B854" s="1" t="n">
        <v>45398</v>
      </c>
      <c r="C854" s="1" t="n">
        <v>45796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20.6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14911-2024</t>
        </is>
      </c>
      <c r="B855" s="1" t="n">
        <v>45398</v>
      </c>
      <c r="C855" s="1" t="n">
        <v>45796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7.8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15055-2024</t>
        </is>
      </c>
      <c r="B856" s="1" t="n">
        <v>45399</v>
      </c>
      <c r="C856" s="1" t="n">
        <v>45796</v>
      </c>
      <c r="D856" t="inlineStr">
        <is>
          <t>UPPSALA LÄN</t>
        </is>
      </c>
      <c r="E856" t="inlineStr">
        <is>
          <t>TIERP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15076-2024</t>
        </is>
      </c>
      <c r="B857" s="1" t="n">
        <v>45399</v>
      </c>
      <c r="C857" s="1" t="n">
        <v>45796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öst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15093-2024</t>
        </is>
      </c>
      <c r="B858" s="1" t="n">
        <v>45399</v>
      </c>
      <c r="C858" s="1" t="n">
        <v>45796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15135-2024</t>
        </is>
      </c>
      <c r="B859" s="1" t="n">
        <v>45399</v>
      </c>
      <c r="C859" s="1" t="n">
        <v>45796</v>
      </c>
      <c r="D859" t="inlineStr">
        <is>
          <t>UPPSALA LÄN</t>
        </is>
      </c>
      <c r="E859" t="inlineStr">
        <is>
          <t>TIERP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15193-2024</t>
        </is>
      </c>
      <c r="B860" s="1" t="n">
        <v>45400</v>
      </c>
      <c r="C860" s="1" t="n">
        <v>45796</v>
      </c>
      <c r="D860" t="inlineStr">
        <is>
          <t>UPPSALA LÄN</t>
        </is>
      </c>
      <c r="E860" t="inlineStr">
        <is>
          <t>TIERP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15167-2024</t>
        </is>
      </c>
      <c r="B861" s="1" t="n">
        <v>45400</v>
      </c>
      <c r="C861" s="1" t="n">
        <v>45796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väst AB</t>
        </is>
      </c>
      <c r="G861" t="n">
        <v>11.5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15195-2024</t>
        </is>
      </c>
      <c r="B862" s="1" t="n">
        <v>45400</v>
      </c>
      <c r="C862" s="1" t="n">
        <v>45796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6.9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15567-2024</t>
        </is>
      </c>
      <c r="B863" s="1" t="n">
        <v>45401</v>
      </c>
      <c r="C863" s="1" t="n">
        <v>45796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33.8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15579-2024</t>
        </is>
      </c>
      <c r="B864" s="1" t="n">
        <v>45401</v>
      </c>
      <c r="C864" s="1" t="n">
        <v>45796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15574-2024</t>
        </is>
      </c>
      <c r="B865" s="1" t="n">
        <v>45401</v>
      </c>
      <c r="C865" s="1" t="n">
        <v>45796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15935-2024</t>
        </is>
      </c>
      <c r="B866" s="1" t="n">
        <v>45405</v>
      </c>
      <c r="C866" s="1" t="n">
        <v>45796</v>
      </c>
      <c r="D866" t="inlineStr">
        <is>
          <t>UPPSALA LÄN</t>
        </is>
      </c>
      <c r="E866" t="inlineStr">
        <is>
          <t>TIERP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16022-2024</t>
        </is>
      </c>
      <c r="B867" s="1" t="n">
        <v>45405</v>
      </c>
      <c r="C867" s="1" t="n">
        <v>45796</v>
      </c>
      <c r="D867" t="inlineStr">
        <is>
          <t>UPPSALA LÄN</t>
        </is>
      </c>
      <c r="E867" t="inlineStr">
        <is>
          <t>TIERP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16345-2024</t>
        </is>
      </c>
      <c r="B868" s="1" t="n">
        <v>45407</v>
      </c>
      <c r="C868" s="1" t="n">
        <v>45796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öst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16421-2024</t>
        </is>
      </c>
      <c r="B869" s="1" t="n">
        <v>45407</v>
      </c>
      <c r="C869" s="1" t="n">
        <v>45796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öst AB</t>
        </is>
      </c>
      <c r="G869" t="n">
        <v>16.7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16489-2024</t>
        </is>
      </c>
      <c r="B870" s="1" t="n">
        <v>45408</v>
      </c>
      <c r="C870" s="1" t="n">
        <v>45796</v>
      </c>
      <c r="D870" t="inlineStr">
        <is>
          <t>UPPSALA LÄN</t>
        </is>
      </c>
      <c r="E870" t="inlineStr">
        <is>
          <t>TIERP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16500-2024</t>
        </is>
      </c>
      <c r="B871" s="1" t="n">
        <v>45408</v>
      </c>
      <c r="C871" s="1" t="n">
        <v>45796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16566-2024</t>
        </is>
      </c>
      <c r="B872" s="1" t="n">
        <v>45408</v>
      </c>
      <c r="C872" s="1" t="n">
        <v>45796</v>
      </c>
      <c r="D872" t="inlineStr">
        <is>
          <t>UPPSALA LÄN</t>
        </is>
      </c>
      <c r="E872" t="inlineStr">
        <is>
          <t>TIERP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16865-2024</t>
        </is>
      </c>
      <c r="B873" s="1" t="n">
        <v>45411</v>
      </c>
      <c r="C873" s="1" t="n">
        <v>45796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17094-2024</t>
        </is>
      </c>
      <c r="B874" s="1" t="n">
        <v>45412</v>
      </c>
      <c r="C874" s="1" t="n">
        <v>45796</v>
      </c>
      <c r="D874" t="inlineStr">
        <is>
          <t>UPPSALA LÄN</t>
        </is>
      </c>
      <c r="E874" t="inlineStr">
        <is>
          <t>TIERP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17119-2024</t>
        </is>
      </c>
      <c r="B875" s="1" t="n">
        <v>45412</v>
      </c>
      <c r="C875" s="1" t="n">
        <v>45796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väst AB</t>
        </is>
      </c>
      <c r="G875" t="n">
        <v>11.9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17117-2024</t>
        </is>
      </c>
      <c r="B876" s="1" t="n">
        <v>45412</v>
      </c>
      <c r="C876" s="1" t="n">
        <v>45796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väst AB</t>
        </is>
      </c>
      <c r="G876" t="n">
        <v>33.6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18039-2024</t>
        </is>
      </c>
      <c r="B877" s="1" t="n">
        <v>45420</v>
      </c>
      <c r="C877" s="1" t="n">
        <v>45796</v>
      </c>
      <c r="D877" t="inlineStr">
        <is>
          <t>UPPSALA LÄN</t>
        </is>
      </c>
      <c r="E877" t="inlineStr">
        <is>
          <t>TIERP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18394-2024</t>
        </is>
      </c>
      <c r="B878" s="1" t="n">
        <v>45424</v>
      </c>
      <c r="C878" s="1" t="n">
        <v>45796</v>
      </c>
      <c r="D878" t="inlineStr">
        <is>
          <t>UPPSALA LÄN</t>
        </is>
      </c>
      <c r="E878" t="inlineStr">
        <is>
          <t>TIERP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18929-2024</t>
        </is>
      </c>
      <c r="B879" s="1" t="n">
        <v>45427</v>
      </c>
      <c r="C879" s="1" t="n">
        <v>45796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öst AB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19758-2024</t>
        </is>
      </c>
      <c r="B880" s="1" t="n">
        <v>45432</v>
      </c>
      <c r="C880" s="1" t="n">
        <v>45796</v>
      </c>
      <c r="D880" t="inlineStr">
        <is>
          <t>UPPSALA LÄN</t>
        </is>
      </c>
      <c r="E880" t="inlineStr">
        <is>
          <t>TIERP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19766-2024</t>
        </is>
      </c>
      <c r="B881" s="1" t="n">
        <v>45432</v>
      </c>
      <c r="C881" s="1" t="n">
        <v>45796</v>
      </c>
      <c r="D881" t="inlineStr">
        <is>
          <t>UPPSALA LÄN</t>
        </is>
      </c>
      <c r="E881" t="inlineStr">
        <is>
          <t>TIERP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20326-2024</t>
        </is>
      </c>
      <c r="B882" s="1" t="n">
        <v>45435</v>
      </c>
      <c r="C882" s="1" t="n">
        <v>45796</v>
      </c>
      <c r="D882" t="inlineStr">
        <is>
          <t>UPPSALA LÄN</t>
        </is>
      </c>
      <c r="E882" t="inlineStr">
        <is>
          <t>TIERP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20658-2024</t>
        </is>
      </c>
      <c r="B883" s="1" t="n">
        <v>45436</v>
      </c>
      <c r="C883" s="1" t="n">
        <v>45796</v>
      </c>
      <c r="D883" t="inlineStr">
        <is>
          <t>UPPSALA LÄN</t>
        </is>
      </c>
      <c r="E883" t="inlineStr">
        <is>
          <t>TIERP</t>
        </is>
      </c>
      <c r="F883" t="inlineStr">
        <is>
          <t>Bergvik skog väst AB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20565-2024</t>
        </is>
      </c>
      <c r="B884" s="1" t="n">
        <v>45436</v>
      </c>
      <c r="C884" s="1" t="n">
        <v>45796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15.6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20860-2024</t>
        </is>
      </c>
      <c r="B885" s="1" t="n">
        <v>45439</v>
      </c>
      <c r="C885" s="1" t="n">
        <v>45796</v>
      </c>
      <c r="D885" t="inlineStr">
        <is>
          <t>UPPSALA LÄN</t>
        </is>
      </c>
      <c r="E885" t="inlineStr">
        <is>
          <t>TIERP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20857-2024</t>
        </is>
      </c>
      <c r="B886" s="1" t="n">
        <v>45439</v>
      </c>
      <c r="C886" s="1" t="n">
        <v>45796</v>
      </c>
      <c r="D886" t="inlineStr">
        <is>
          <t>UPPSALA LÄN</t>
        </is>
      </c>
      <c r="E886" t="inlineStr">
        <is>
          <t>TIERP</t>
        </is>
      </c>
      <c r="G886" t="n">
        <v>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20854-2024</t>
        </is>
      </c>
      <c r="B887" s="1" t="n">
        <v>45439</v>
      </c>
      <c r="C887" s="1" t="n">
        <v>45796</v>
      </c>
      <c r="D887" t="inlineStr">
        <is>
          <t>UPPSALA LÄN</t>
        </is>
      </c>
      <c r="E887" t="inlineStr">
        <is>
          <t>TIERP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20850-2024</t>
        </is>
      </c>
      <c r="B888" s="1" t="n">
        <v>45439</v>
      </c>
      <c r="C888" s="1" t="n">
        <v>45796</v>
      </c>
      <c r="D888" t="inlineStr">
        <is>
          <t>UPPSALA LÄN</t>
        </is>
      </c>
      <c r="E888" t="inlineStr">
        <is>
          <t>TIERP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20846-2024</t>
        </is>
      </c>
      <c r="B889" s="1" t="n">
        <v>45439</v>
      </c>
      <c r="C889" s="1" t="n">
        <v>45796</v>
      </c>
      <c r="D889" t="inlineStr">
        <is>
          <t>UPPSALA LÄN</t>
        </is>
      </c>
      <c r="E889" t="inlineStr">
        <is>
          <t>TIERP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21139-2024</t>
        </is>
      </c>
      <c r="B890" s="1" t="n">
        <v>45440</v>
      </c>
      <c r="C890" s="1" t="n">
        <v>45796</v>
      </c>
      <c r="D890" t="inlineStr">
        <is>
          <t>UPPSALA LÄN</t>
        </is>
      </c>
      <c r="E890" t="inlineStr">
        <is>
          <t>TIERP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21892-2024</t>
        </is>
      </c>
      <c r="B891" s="1" t="n">
        <v>45443</v>
      </c>
      <c r="C891" s="1" t="n">
        <v>45796</v>
      </c>
      <c r="D891" t="inlineStr">
        <is>
          <t>UPPSALA LÄN</t>
        </is>
      </c>
      <c r="E891" t="inlineStr">
        <is>
          <t>TIERP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22393-2024</t>
        </is>
      </c>
      <c r="B892" s="1" t="n">
        <v>45446</v>
      </c>
      <c r="C892" s="1" t="n">
        <v>45796</v>
      </c>
      <c r="D892" t="inlineStr">
        <is>
          <t>UPPSALA LÄN</t>
        </is>
      </c>
      <c r="E892" t="inlineStr">
        <is>
          <t>TIERP</t>
        </is>
      </c>
      <c r="F892" t="inlineStr">
        <is>
          <t>Bergvik skog väst AB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22403-2024</t>
        </is>
      </c>
      <c r="B893" s="1" t="n">
        <v>45446</v>
      </c>
      <c r="C893" s="1" t="n">
        <v>45796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väst AB</t>
        </is>
      </c>
      <c r="G893" t="n">
        <v>31.3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22320-2024</t>
        </is>
      </c>
      <c r="B894" s="1" t="n">
        <v>45446</v>
      </c>
      <c r="C894" s="1" t="n">
        <v>45796</v>
      </c>
      <c r="D894" t="inlineStr">
        <is>
          <t>UPPSALA LÄN</t>
        </is>
      </c>
      <c r="E894" t="inlineStr">
        <is>
          <t>TIERP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22636-2024</t>
        </is>
      </c>
      <c r="B895" s="1" t="n">
        <v>45447</v>
      </c>
      <c r="C895" s="1" t="n">
        <v>45796</v>
      </c>
      <c r="D895" t="inlineStr">
        <is>
          <t>UPPSALA LÄN</t>
        </is>
      </c>
      <c r="E895" t="inlineStr">
        <is>
          <t>TIERP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22759-2024</t>
        </is>
      </c>
      <c r="B896" s="1" t="n">
        <v>45448</v>
      </c>
      <c r="C896" s="1" t="n">
        <v>45796</v>
      </c>
      <c r="D896" t="inlineStr">
        <is>
          <t>UPPSALA LÄN</t>
        </is>
      </c>
      <c r="E896" t="inlineStr">
        <is>
          <t>TIERP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23720-2024</t>
        </is>
      </c>
      <c r="B897" s="1" t="n">
        <v>45454</v>
      </c>
      <c r="C897" s="1" t="n">
        <v>45796</v>
      </c>
      <c r="D897" t="inlineStr">
        <is>
          <t>UPPSALA LÄN</t>
        </is>
      </c>
      <c r="E897" t="inlineStr">
        <is>
          <t>TIERP</t>
        </is>
      </c>
      <c r="G897" t="n">
        <v>22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23759-2024</t>
        </is>
      </c>
      <c r="B898" s="1" t="n">
        <v>45455</v>
      </c>
      <c r="C898" s="1" t="n">
        <v>45796</v>
      </c>
      <c r="D898" t="inlineStr">
        <is>
          <t>UPPSALA LÄN</t>
        </is>
      </c>
      <c r="E898" t="inlineStr">
        <is>
          <t>TIERP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24029-2024</t>
        </is>
      </c>
      <c r="B899" s="1" t="n">
        <v>45456</v>
      </c>
      <c r="C899" s="1" t="n">
        <v>45796</v>
      </c>
      <c r="D899" t="inlineStr">
        <is>
          <t>UPPSALA LÄN</t>
        </is>
      </c>
      <c r="E899" t="inlineStr">
        <is>
          <t>TIERP</t>
        </is>
      </c>
      <c r="F899" t="inlineStr">
        <is>
          <t>Bergvik skog öst AB</t>
        </is>
      </c>
      <c r="G899" t="n">
        <v>7.6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24238-2024</t>
        </is>
      </c>
      <c r="B900" s="1" t="n">
        <v>45457</v>
      </c>
      <c r="C900" s="1" t="n">
        <v>45796</v>
      </c>
      <c r="D900" t="inlineStr">
        <is>
          <t>UPPSALA LÄN</t>
        </is>
      </c>
      <c r="E900" t="inlineStr">
        <is>
          <t>TIERP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25188-2024</t>
        </is>
      </c>
      <c r="B901" s="1" t="n">
        <v>45462</v>
      </c>
      <c r="C901" s="1" t="n">
        <v>45796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öst AB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26242-2024</t>
        </is>
      </c>
      <c r="B902" s="1" t="n">
        <v>45468</v>
      </c>
      <c r="C902" s="1" t="n">
        <v>45796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öst AB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26192-2024</t>
        </is>
      </c>
      <c r="B903" s="1" t="n">
        <v>45468</v>
      </c>
      <c r="C903" s="1" t="n">
        <v>45796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19.3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26404-2024</t>
        </is>
      </c>
      <c r="B904" s="1" t="n">
        <v>45469</v>
      </c>
      <c r="C904" s="1" t="n">
        <v>45796</v>
      </c>
      <c r="D904" t="inlineStr">
        <is>
          <t>UPPSALA LÄN</t>
        </is>
      </c>
      <c r="E904" t="inlineStr">
        <is>
          <t>TIERP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26458-2024</t>
        </is>
      </c>
      <c r="B905" s="1" t="n">
        <v>45469</v>
      </c>
      <c r="C905" s="1" t="n">
        <v>45796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väst AB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26462-2024</t>
        </is>
      </c>
      <c r="B906" s="1" t="n">
        <v>45469</v>
      </c>
      <c r="C906" s="1" t="n">
        <v>45796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26455-2024</t>
        </is>
      </c>
      <c r="B907" s="1" t="n">
        <v>45469</v>
      </c>
      <c r="C907" s="1" t="n">
        <v>45796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26427-2024</t>
        </is>
      </c>
      <c r="B908" s="1" t="n">
        <v>45469</v>
      </c>
      <c r="C908" s="1" t="n">
        <v>45796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26398-2024</t>
        </is>
      </c>
      <c r="B909" s="1" t="n">
        <v>45469</v>
      </c>
      <c r="C909" s="1" t="n">
        <v>45796</v>
      </c>
      <c r="D909" t="inlineStr">
        <is>
          <t>UPPSALA LÄN</t>
        </is>
      </c>
      <c r="E909" t="inlineStr">
        <is>
          <t>TIERP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26528-2024</t>
        </is>
      </c>
      <c r="B910" s="1" t="n">
        <v>45469</v>
      </c>
      <c r="C910" s="1" t="n">
        <v>45796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väst AB</t>
        </is>
      </c>
      <c r="G910" t="n">
        <v>10.3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26771-2024</t>
        </is>
      </c>
      <c r="B911" s="1" t="n">
        <v>45470</v>
      </c>
      <c r="C911" s="1" t="n">
        <v>45796</v>
      </c>
      <c r="D911" t="inlineStr">
        <is>
          <t>UPPSALA LÄN</t>
        </is>
      </c>
      <c r="E911" t="inlineStr">
        <is>
          <t>TIERP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26884-2024</t>
        </is>
      </c>
      <c r="B912" s="1" t="n">
        <v>45470</v>
      </c>
      <c r="C912" s="1" t="n">
        <v>45796</v>
      </c>
      <c r="D912" t="inlineStr">
        <is>
          <t>UPPSALA LÄN</t>
        </is>
      </c>
      <c r="E912" t="inlineStr">
        <is>
          <t>TIERP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27773-2024</t>
        </is>
      </c>
      <c r="B913" s="1" t="n">
        <v>45475</v>
      </c>
      <c r="C913" s="1" t="n">
        <v>45796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öst AB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28538-2024</t>
        </is>
      </c>
      <c r="B914" s="1" t="n">
        <v>45478</v>
      </c>
      <c r="C914" s="1" t="n">
        <v>45796</v>
      </c>
      <c r="D914" t="inlineStr">
        <is>
          <t>UPPSALA LÄN</t>
        </is>
      </c>
      <c r="E914" t="inlineStr">
        <is>
          <t>TIERP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28666-2024</t>
        </is>
      </c>
      <c r="B915" s="1" t="n">
        <v>45478</v>
      </c>
      <c r="C915" s="1" t="n">
        <v>45796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öst AB</t>
        </is>
      </c>
      <c r="G915" t="n">
        <v>8.699999999999999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28944-2024</t>
        </is>
      </c>
      <c r="B916" s="1" t="n">
        <v>45481</v>
      </c>
      <c r="C916" s="1" t="n">
        <v>45796</v>
      </c>
      <c r="D916" t="inlineStr">
        <is>
          <t>UPPSALA LÄN</t>
        </is>
      </c>
      <c r="E916" t="inlineStr">
        <is>
          <t>TIERP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29174-2024</t>
        </is>
      </c>
      <c r="B917" s="1" t="n">
        <v>45482</v>
      </c>
      <c r="C917" s="1" t="n">
        <v>45796</v>
      </c>
      <c r="D917" t="inlineStr">
        <is>
          <t>UPPSALA LÄN</t>
        </is>
      </c>
      <c r="E917" t="inlineStr">
        <is>
          <t>TIERP</t>
        </is>
      </c>
      <c r="F917" t="inlineStr">
        <is>
          <t>Bergvik skog öst AB</t>
        </is>
      </c>
      <c r="G917" t="n">
        <v>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29145-2024</t>
        </is>
      </c>
      <c r="B918" s="1" t="n">
        <v>45482</v>
      </c>
      <c r="C918" s="1" t="n">
        <v>45796</v>
      </c>
      <c r="D918" t="inlineStr">
        <is>
          <t>UPPSALA LÄN</t>
        </is>
      </c>
      <c r="E918" t="inlineStr">
        <is>
          <t>TIERP</t>
        </is>
      </c>
      <c r="F918" t="inlineStr">
        <is>
          <t>Bergvik skog öst AB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30110-2024</t>
        </is>
      </c>
      <c r="B919" s="1" t="n">
        <v>45489</v>
      </c>
      <c r="C919" s="1" t="n">
        <v>45796</v>
      </c>
      <c r="D919" t="inlineStr">
        <is>
          <t>UPPSALA LÄN</t>
        </is>
      </c>
      <c r="E919" t="inlineStr">
        <is>
          <t>TIERP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30113-2024</t>
        </is>
      </c>
      <c r="B920" s="1" t="n">
        <v>45489</v>
      </c>
      <c r="C920" s="1" t="n">
        <v>45796</v>
      </c>
      <c r="D920" t="inlineStr">
        <is>
          <t>UPPSALA LÄN</t>
        </is>
      </c>
      <c r="E920" t="inlineStr">
        <is>
          <t>TIERP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30125-2024</t>
        </is>
      </c>
      <c r="B921" s="1" t="n">
        <v>45489</v>
      </c>
      <c r="C921" s="1" t="n">
        <v>45796</v>
      </c>
      <c r="D921" t="inlineStr">
        <is>
          <t>UPPSALA LÄN</t>
        </is>
      </c>
      <c r="E921" t="inlineStr">
        <is>
          <t>TIERP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30097-2024</t>
        </is>
      </c>
      <c r="B922" s="1" t="n">
        <v>45489</v>
      </c>
      <c r="C922" s="1" t="n">
        <v>45796</v>
      </c>
      <c r="D922" t="inlineStr">
        <is>
          <t>UPPSALA LÄN</t>
        </is>
      </c>
      <c r="E922" t="inlineStr">
        <is>
          <t>TIERP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30381-2024</t>
        </is>
      </c>
      <c r="B923" s="1" t="n">
        <v>45491</v>
      </c>
      <c r="C923" s="1" t="n">
        <v>45796</v>
      </c>
      <c r="D923" t="inlineStr">
        <is>
          <t>UPPSALA LÄN</t>
        </is>
      </c>
      <c r="E923" t="inlineStr">
        <is>
          <t>TIERP</t>
        </is>
      </c>
      <c r="F923" t="inlineStr">
        <is>
          <t>Bergvik skog öst AB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30509-2024</t>
        </is>
      </c>
      <c r="B924" s="1" t="n">
        <v>45492</v>
      </c>
      <c r="C924" s="1" t="n">
        <v>45796</v>
      </c>
      <c r="D924" t="inlineStr">
        <is>
          <t>UPPSALA LÄN</t>
        </is>
      </c>
      <c r="E924" t="inlineStr">
        <is>
          <t>TIERP</t>
        </is>
      </c>
      <c r="F924" t="inlineStr">
        <is>
          <t>Bergvik skog öst AB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31593-2024</t>
        </is>
      </c>
      <c r="B925" s="1" t="n">
        <v>45506</v>
      </c>
      <c r="C925" s="1" t="n">
        <v>45796</v>
      </c>
      <c r="D925" t="inlineStr">
        <is>
          <t>UPPSALA LÄN</t>
        </is>
      </c>
      <c r="E925" t="inlineStr">
        <is>
          <t>TIERP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31592-2024</t>
        </is>
      </c>
      <c r="B926" s="1" t="n">
        <v>45506</v>
      </c>
      <c r="C926" s="1" t="n">
        <v>45796</v>
      </c>
      <c r="D926" t="inlineStr">
        <is>
          <t>UPPSALA LÄN</t>
        </is>
      </c>
      <c r="E926" t="inlineStr">
        <is>
          <t>TIERP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31590-2024</t>
        </is>
      </c>
      <c r="B927" s="1" t="n">
        <v>45506</v>
      </c>
      <c r="C927" s="1" t="n">
        <v>45796</v>
      </c>
      <c r="D927" t="inlineStr">
        <is>
          <t>UPPSALA LÄN</t>
        </is>
      </c>
      <c r="E927" t="inlineStr">
        <is>
          <t>TIERP</t>
        </is>
      </c>
      <c r="G927" t="n">
        <v>9.800000000000001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31595-2024</t>
        </is>
      </c>
      <c r="B928" s="1" t="n">
        <v>45506</v>
      </c>
      <c r="C928" s="1" t="n">
        <v>45796</v>
      </c>
      <c r="D928" t="inlineStr">
        <is>
          <t>UPPSALA LÄN</t>
        </is>
      </c>
      <c r="E928" t="inlineStr">
        <is>
          <t>TIERP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32212-2024</t>
        </is>
      </c>
      <c r="B929" s="1" t="n">
        <v>45511</v>
      </c>
      <c r="C929" s="1" t="n">
        <v>45796</v>
      </c>
      <c r="D929" t="inlineStr">
        <is>
          <t>UPPSALA LÄN</t>
        </is>
      </c>
      <c r="E929" t="inlineStr">
        <is>
          <t>TIERP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32098-2024</t>
        </is>
      </c>
      <c r="B930" s="1" t="n">
        <v>45511</v>
      </c>
      <c r="C930" s="1" t="n">
        <v>45796</v>
      </c>
      <c r="D930" t="inlineStr">
        <is>
          <t>UPPSALA LÄN</t>
        </is>
      </c>
      <c r="E930" t="inlineStr">
        <is>
          <t>TIERP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32873-2024</t>
        </is>
      </c>
      <c r="B931" s="1" t="n">
        <v>45516</v>
      </c>
      <c r="C931" s="1" t="n">
        <v>45796</v>
      </c>
      <c r="D931" t="inlineStr">
        <is>
          <t>UPPSALA LÄN</t>
        </is>
      </c>
      <c r="E931" t="inlineStr">
        <is>
          <t>TIERP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32802-2024</t>
        </is>
      </c>
      <c r="B932" s="1" t="n">
        <v>45516</v>
      </c>
      <c r="C932" s="1" t="n">
        <v>45796</v>
      </c>
      <c r="D932" t="inlineStr">
        <is>
          <t>UPPSALA LÄN</t>
        </is>
      </c>
      <c r="E932" t="inlineStr">
        <is>
          <t>TIERP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32871-2024</t>
        </is>
      </c>
      <c r="B933" s="1" t="n">
        <v>45516</v>
      </c>
      <c r="C933" s="1" t="n">
        <v>45796</v>
      </c>
      <c r="D933" t="inlineStr">
        <is>
          <t>UPPSALA LÄN</t>
        </is>
      </c>
      <c r="E933" t="inlineStr">
        <is>
          <t>TIERP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33444-2024</t>
        </is>
      </c>
      <c r="B934" s="1" t="n">
        <v>45519</v>
      </c>
      <c r="C934" s="1" t="n">
        <v>45796</v>
      </c>
      <c r="D934" t="inlineStr">
        <is>
          <t>UPPSALA LÄN</t>
        </is>
      </c>
      <c r="E934" t="inlineStr">
        <is>
          <t>TIERP</t>
        </is>
      </c>
      <c r="F934" t="inlineStr">
        <is>
          <t>Bergvik skog väst AB</t>
        </is>
      </c>
      <c r="G934" t="n">
        <v>57.7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33492-2024</t>
        </is>
      </c>
      <c r="B935" s="1" t="n">
        <v>45519</v>
      </c>
      <c r="C935" s="1" t="n">
        <v>45796</v>
      </c>
      <c r="D935" t="inlineStr">
        <is>
          <t>UPPSALA LÄN</t>
        </is>
      </c>
      <c r="E935" t="inlineStr">
        <is>
          <t>TIERP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34095-2024</t>
        </is>
      </c>
      <c r="B936" s="1" t="n">
        <v>45523</v>
      </c>
      <c r="C936" s="1" t="n">
        <v>45796</v>
      </c>
      <c r="D936" t="inlineStr">
        <is>
          <t>UPPSALA LÄN</t>
        </is>
      </c>
      <c r="E936" t="inlineStr">
        <is>
          <t>TIERP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34494-2024</t>
        </is>
      </c>
      <c r="B937" s="1" t="n">
        <v>45525</v>
      </c>
      <c r="C937" s="1" t="n">
        <v>45796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11.6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34835-2024</t>
        </is>
      </c>
      <c r="B938" s="1" t="n">
        <v>45526</v>
      </c>
      <c r="C938" s="1" t="n">
        <v>45796</v>
      </c>
      <c r="D938" t="inlineStr">
        <is>
          <t>UPPSALA LÄN</t>
        </is>
      </c>
      <c r="E938" t="inlineStr">
        <is>
          <t>TIERP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34838-2024</t>
        </is>
      </c>
      <c r="B939" s="1" t="n">
        <v>45526</v>
      </c>
      <c r="C939" s="1" t="n">
        <v>45796</v>
      </c>
      <c r="D939" t="inlineStr">
        <is>
          <t>UPPSALA LÄN</t>
        </is>
      </c>
      <c r="E939" t="inlineStr">
        <is>
          <t>TIERP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34837-2024</t>
        </is>
      </c>
      <c r="B940" s="1" t="n">
        <v>45526</v>
      </c>
      <c r="C940" s="1" t="n">
        <v>45796</v>
      </c>
      <c r="D940" t="inlineStr">
        <is>
          <t>UPPSALA LÄN</t>
        </is>
      </c>
      <c r="E940" t="inlineStr">
        <is>
          <t>TIERP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35004-2024</t>
        </is>
      </c>
      <c r="B941" s="1" t="n">
        <v>45527</v>
      </c>
      <c r="C941" s="1" t="n">
        <v>45796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väst AB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35020-2024</t>
        </is>
      </c>
      <c r="B942" s="1" t="n">
        <v>45527</v>
      </c>
      <c r="C942" s="1" t="n">
        <v>45796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väst AB</t>
        </is>
      </c>
      <c r="G942" t="n">
        <v>19.8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34980-2024</t>
        </is>
      </c>
      <c r="B943" s="1" t="n">
        <v>45527</v>
      </c>
      <c r="C943" s="1" t="n">
        <v>45796</v>
      </c>
      <c r="D943" t="inlineStr">
        <is>
          <t>UPPSALA LÄN</t>
        </is>
      </c>
      <c r="E943" t="inlineStr">
        <is>
          <t>TIERP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35001-2024</t>
        </is>
      </c>
      <c r="B944" s="1" t="n">
        <v>45527</v>
      </c>
      <c r="C944" s="1" t="n">
        <v>45796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väst AB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34855-2024</t>
        </is>
      </c>
      <c r="B945" s="1" t="n">
        <v>45527</v>
      </c>
      <c r="C945" s="1" t="n">
        <v>45796</v>
      </c>
      <c r="D945" t="inlineStr">
        <is>
          <t>UPPSALA LÄN</t>
        </is>
      </c>
      <c r="E945" t="inlineStr">
        <is>
          <t>TIERP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35183-2024</t>
        </is>
      </c>
      <c r="B946" s="1" t="n">
        <v>45530</v>
      </c>
      <c r="C946" s="1" t="n">
        <v>45796</v>
      </c>
      <c r="D946" t="inlineStr">
        <is>
          <t>UPPSALA LÄN</t>
        </is>
      </c>
      <c r="E946" t="inlineStr">
        <is>
          <t>TIERP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35293-2024</t>
        </is>
      </c>
      <c r="B947" s="1" t="n">
        <v>45530</v>
      </c>
      <c r="C947" s="1" t="n">
        <v>45796</v>
      </c>
      <c r="D947" t="inlineStr">
        <is>
          <t>UPPSALA LÄN</t>
        </is>
      </c>
      <c r="E947" t="inlineStr">
        <is>
          <t>TIERP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35607-2024</t>
        </is>
      </c>
      <c r="B948" s="1" t="n">
        <v>45531</v>
      </c>
      <c r="C948" s="1" t="n">
        <v>45796</v>
      </c>
      <c r="D948" t="inlineStr">
        <is>
          <t>UPPSALA LÄN</t>
        </is>
      </c>
      <c r="E948" t="inlineStr">
        <is>
          <t>TIERP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35914-2024</t>
        </is>
      </c>
      <c r="B949" s="1" t="n">
        <v>45533</v>
      </c>
      <c r="C949" s="1" t="n">
        <v>45796</v>
      </c>
      <c r="D949" t="inlineStr">
        <is>
          <t>UPPSALA LÄN</t>
        </is>
      </c>
      <c r="E949" t="inlineStr">
        <is>
          <t>TIERP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36092-2024</t>
        </is>
      </c>
      <c r="B950" s="1" t="n">
        <v>45533</v>
      </c>
      <c r="C950" s="1" t="n">
        <v>45796</v>
      </c>
      <c r="D950" t="inlineStr">
        <is>
          <t>UPPSALA LÄN</t>
        </is>
      </c>
      <c r="E950" t="inlineStr">
        <is>
          <t>TIERP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36189-2024</t>
        </is>
      </c>
      <c r="B951" s="1" t="n">
        <v>45534</v>
      </c>
      <c r="C951" s="1" t="n">
        <v>45796</v>
      </c>
      <c r="D951" t="inlineStr">
        <is>
          <t>UPPSALA LÄN</t>
        </is>
      </c>
      <c r="E951" t="inlineStr">
        <is>
          <t>TIERP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36516-2024</t>
        </is>
      </c>
      <c r="B952" s="1" t="n">
        <v>45537</v>
      </c>
      <c r="C952" s="1" t="n">
        <v>45796</v>
      </c>
      <c r="D952" t="inlineStr">
        <is>
          <t>UPPSALA LÄN</t>
        </is>
      </c>
      <c r="E952" t="inlineStr">
        <is>
          <t>TIERP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36521-2024</t>
        </is>
      </c>
      <c r="B953" s="1" t="n">
        <v>45537</v>
      </c>
      <c r="C953" s="1" t="n">
        <v>45796</v>
      </c>
      <c r="D953" t="inlineStr">
        <is>
          <t>UPPSALA LÄN</t>
        </is>
      </c>
      <c r="E953" t="inlineStr">
        <is>
          <t>TIERP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36523-2024</t>
        </is>
      </c>
      <c r="B954" s="1" t="n">
        <v>45537</v>
      </c>
      <c r="C954" s="1" t="n">
        <v>45796</v>
      </c>
      <c r="D954" t="inlineStr">
        <is>
          <t>UPPSALA LÄN</t>
        </is>
      </c>
      <c r="E954" t="inlineStr">
        <is>
          <t>TIERP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36830-2024</t>
        </is>
      </c>
      <c r="B955" s="1" t="n">
        <v>45538</v>
      </c>
      <c r="C955" s="1" t="n">
        <v>45796</v>
      </c>
      <c r="D955" t="inlineStr">
        <is>
          <t>UPPSALA LÄN</t>
        </is>
      </c>
      <c r="E955" t="inlineStr">
        <is>
          <t>TIERP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36902-2024</t>
        </is>
      </c>
      <c r="B956" s="1" t="n">
        <v>45538</v>
      </c>
      <c r="C956" s="1" t="n">
        <v>45796</v>
      </c>
      <c r="D956" t="inlineStr">
        <is>
          <t>UPPSALA LÄN</t>
        </is>
      </c>
      <c r="E956" t="inlineStr">
        <is>
          <t>TIERP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36936-2024</t>
        </is>
      </c>
      <c r="B957" s="1" t="n">
        <v>45538</v>
      </c>
      <c r="C957" s="1" t="n">
        <v>45796</v>
      </c>
      <c r="D957" t="inlineStr">
        <is>
          <t>UPPSALA LÄN</t>
        </is>
      </c>
      <c r="E957" t="inlineStr">
        <is>
          <t>TIERP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37053-2024</t>
        </is>
      </c>
      <c r="B958" s="1" t="n">
        <v>45539</v>
      </c>
      <c r="C958" s="1" t="n">
        <v>45796</v>
      </c>
      <c r="D958" t="inlineStr">
        <is>
          <t>UPPSALA LÄN</t>
        </is>
      </c>
      <c r="E958" t="inlineStr">
        <is>
          <t>TIERP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37295-2024</t>
        </is>
      </c>
      <c r="B959" s="1" t="n">
        <v>45540</v>
      </c>
      <c r="C959" s="1" t="n">
        <v>45796</v>
      </c>
      <c r="D959" t="inlineStr">
        <is>
          <t>UPPSALA LÄN</t>
        </is>
      </c>
      <c r="E959" t="inlineStr">
        <is>
          <t>TIERP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37457-2024</t>
        </is>
      </c>
      <c r="B960" s="1" t="n">
        <v>45540</v>
      </c>
      <c r="C960" s="1" t="n">
        <v>45796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väst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37475-2024</t>
        </is>
      </c>
      <c r="B961" s="1" t="n">
        <v>45541</v>
      </c>
      <c r="C961" s="1" t="n">
        <v>45796</v>
      </c>
      <c r="D961" t="inlineStr">
        <is>
          <t>UPPSALA LÄN</t>
        </is>
      </c>
      <c r="E961" t="inlineStr">
        <is>
          <t>TIERP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37476-2024</t>
        </is>
      </c>
      <c r="B962" s="1" t="n">
        <v>45541</v>
      </c>
      <c r="C962" s="1" t="n">
        <v>45796</v>
      </c>
      <c r="D962" t="inlineStr">
        <is>
          <t>UPPSALA LÄN</t>
        </is>
      </c>
      <c r="E962" t="inlineStr">
        <is>
          <t>TIERP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38325-2024</t>
        </is>
      </c>
      <c r="B963" s="1" t="n">
        <v>45545</v>
      </c>
      <c r="C963" s="1" t="n">
        <v>45796</v>
      </c>
      <c r="D963" t="inlineStr">
        <is>
          <t>UPPSALA LÄN</t>
        </is>
      </c>
      <c r="E963" t="inlineStr">
        <is>
          <t>TIERP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38897-2024</t>
        </is>
      </c>
      <c r="B964" s="1" t="n">
        <v>45547</v>
      </c>
      <c r="C964" s="1" t="n">
        <v>45796</v>
      </c>
      <c r="D964" t="inlineStr">
        <is>
          <t>UPPSALA LÄN</t>
        </is>
      </c>
      <c r="E964" t="inlineStr">
        <is>
          <t>TIERP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39117-2024</t>
        </is>
      </c>
      <c r="B965" s="1" t="n">
        <v>45548</v>
      </c>
      <c r="C965" s="1" t="n">
        <v>45796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23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39333-2024</t>
        </is>
      </c>
      <c r="B966" s="1" t="n">
        <v>45551</v>
      </c>
      <c r="C966" s="1" t="n">
        <v>45796</v>
      </c>
      <c r="D966" t="inlineStr">
        <is>
          <t>UPPSALA LÄN</t>
        </is>
      </c>
      <c r="E966" t="inlineStr">
        <is>
          <t>TIERP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39477-2024</t>
        </is>
      </c>
      <c r="B967" s="1" t="n">
        <v>45551</v>
      </c>
      <c r="C967" s="1" t="n">
        <v>45796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39481-2024</t>
        </is>
      </c>
      <c r="B968" s="1" t="n">
        <v>45551</v>
      </c>
      <c r="C968" s="1" t="n">
        <v>45796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39484-2024</t>
        </is>
      </c>
      <c r="B969" s="1" t="n">
        <v>45551</v>
      </c>
      <c r="C969" s="1" t="n">
        <v>45796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40568-2024</t>
        </is>
      </c>
      <c r="B970" s="1" t="n">
        <v>45555</v>
      </c>
      <c r="C970" s="1" t="n">
        <v>45796</v>
      </c>
      <c r="D970" t="inlineStr">
        <is>
          <t>UPPSALA LÄN</t>
        </is>
      </c>
      <c r="E970" t="inlineStr">
        <is>
          <t>TIERP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40748-2024</t>
        </is>
      </c>
      <c r="B971" s="1" t="n">
        <v>45558</v>
      </c>
      <c r="C971" s="1" t="n">
        <v>45796</v>
      </c>
      <c r="D971" t="inlineStr">
        <is>
          <t>UPPSALA LÄN</t>
        </is>
      </c>
      <c r="E971" t="inlineStr">
        <is>
          <t>TIERP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41308-2024</t>
        </is>
      </c>
      <c r="B972" s="1" t="n">
        <v>45559</v>
      </c>
      <c r="C972" s="1" t="n">
        <v>45796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väst AB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41395-2024</t>
        </is>
      </c>
      <c r="B973" s="1" t="n">
        <v>45560</v>
      </c>
      <c r="C973" s="1" t="n">
        <v>45796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öst AB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41399-2024</t>
        </is>
      </c>
      <c r="B974" s="1" t="n">
        <v>45560</v>
      </c>
      <c r="C974" s="1" t="n">
        <v>45796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41393-2024</t>
        </is>
      </c>
      <c r="B975" s="1" t="n">
        <v>45560</v>
      </c>
      <c r="C975" s="1" t="n">
        <v>45796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41389-2024</t>
        </is>
      </c>
      <c r="B976" s="1" t="n">
        <v>45560</v>
      </c>
      <c r="C976" s="1" t="n">
        <v>45796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41392-2024</t>
        </is>
      </c>
      <c r="B977" s="1" t="n">
        <v>45560</v>
      </c>
      <c r="C977" s="1" t="n">
        <v>45796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41394-2024</t>
        </is>
      </c>
      <c r="B978" s="1" t="n">
        <v>45560</v>
      </c>
      <c r="C978" s="1" t="n">
        <v>45796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42453-2024</t>
        </is>
      </c>
      <c r="B979" s="1" t="n">
        <v>45565</v>
      </c>
      <c r="C979" s="1" t="n">
        <v>45796</v>
      </c>
      <c r="D979" t="inlineStr">
        <is>
          <t>UPPSALA LÄN</t>
        </is>
      </c>
      <c r="E979" t="inlineStr">
        <is>
          <t>TIERP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42874-2024</t>
        </is>
      </c>
      <c r="B980" s="1" t="n">
        <v>45566</v>
      </c>
      <c r="C980" s="1" t="n">
        <v>45796</v>
      </c>
      <c r="D980" t="inlineStr">
        <is>
          <t>UPPSALA LÄN</t>
        </is>
      </c>
      <c r="E980" t="inlineStr">
        <is>
          <t>TIERP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42872-2024</t>
        </is>
      </c>
      <c r="B981" s="1" t="n">
        <v>45566</v>
      </c>
      <c r="C981" s="1" t="n">
        <v>45796</v>
      </c>
      <c r="D981" t="inlineStr">
        <is>
          <t>UPPSALA LÄN</t>
        </is>
      </c>
      <c r="E981" t="inlineStr">
        <is>
          <t>TIERP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43341-2024</t>
        </is>
      </c>
      <c r="B982" s="1" t="n">
        <v>45568</v>
      </c>
      <c r="C982" s="1" t="n">
        <v>45796</v>
      </c>
      <c r="D982" t="inlineStr">
        <is>
          <t>UPPSALA LÄN</t>
        </is>
      </c>
      <c r="E982" t="inlineStr">
        <is>
          <t>TIERP</t>
        </is>
      </c>
      <c r="G982" t="n">
        <v>5.1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43639-2024</t>
        </is>
      </c>
      <c r="B983" s="1" t="n">
        <v>45569</v>
      </c>
      <c r="C983" s="1" t="n">
        <v>45796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öst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43641-2024</t>
        </is>
      </c>
      <c r="B984" s="1" t="n">
        <v>45569</v>
      </c>
      <c r="C984" s="1" t="n">
        <v>45796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43892-2024</t>
        </is>
      </c>
      <c r="B985" s="1" t="n">
        <v>45569</v>
      </c>
      <c r="C985" s="1" t="n">
        <v>45796</v>
      </c>
      <c r="D985" t="inlineStr">
        <is>
          <t>UPPSALA LÄN</t>
        </is>
      </c>
      <c r="E985" t="inlineStr">
        <is>
          <t>TIERP</t>
        </is>
      </c>
      <c r="G985" t="n">
        <v>20.7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43640-2024</t>
        </is>
      </c>
      <c r="B986" s="1" t="n">
        <v>45569</v>
      </c>
      <c r="C986" s="1" t="n">
        <v>45796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44090-2024</t>
        </is>
      </c>
      <c r="B987" s="1" t="n">
        <v>45572</v>
      </c>
      <c r="C987" s="1" t="n">
        <v>45796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10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44026-2024</t>
        </is>
      </c>
      <c r="B988" s="1" t="n">
        <v>45572</v>
      </c>
      <c r="C988" s="1" t="n">
        <v>45796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44382-2024</t>
        </is>
      </c>
      <c r="B989" s="1" t="n">
        <v>45573</v>
      </c>
      <c r="C989" s="1" t="n">
        <v>45796</v>
      </c>
      <c r="D989" t="inlineStr">
        <is>
          <t>UPPSALA LÄN</t>
        </is>
      </c>
      <c r="E989" t="inlineStr">
        <is>
          <t>TIERP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44775-2024</t>
        </is>
      </c>
      <c r="B990" s="1" t="n">
        <v>45574</v>
      </c>
      <c r="C990" s="1" t="n">
        <v>45796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öst AB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44762-2024</t>
        </is>
      </c>
      <c r="B991" s="1" t="n">
        <v>45574</v>
      </c>
      <c r="C991" s="1" t="n">
        <v>45796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9.800000000000001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44774-2024</t>
        </is>
      </c>
      <c r="B992" s="1" t="n">
        <v>45574</v>
      </c>
      <c r="C992" s="1" t="n">
        <v>45796</v>
      </c>
      <c r="D992" t="inlineStr">
        <is>
          <t>UPPSALA LÄN</t>
        </is>
      </c>
      <c r="E992" t="inlineStr">
        <is>
          <t>TIERP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44768-2024</t>
        </is>
      </c>
      <c r="B993" s="1" t="n">
        <v>45574</v>
      </c>
      <c r="C993" s="1" t="n">
        <v>45796</v>
      </c>
      <c r="D993" t="inlineStr">
        <is>
          <t>UPPSALA LÄN</t>
        </is>
      </c>
      <c r="E993" t="inlineStr">
        <is>
          <t>TIERP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44784-2024</t>
        </is>
      </c>
      <c r="B994" s="1" t="n">
        <v>45574</v>
      </c>
      <c r="C994" s="1" t="n">
        <v>45796</v>
      </c>
      <c r="D994" t="inlineStr">
        <is>
          <t>UPPSALA LÄN</t>
        </is>
      </c>
      <c r="E994" t="inlineStr">
        <is>
          <t>TIERP</t>
        </is>
      </c>
      <c r="F994" t="inlineStr">
        <is>
          <t>Bergvik skog öst AB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44935-2024</t>
        </is>
      </c>
      <c r="B995" s="1" t="n">
        <v>45575</v>
      </c>
      <c r="C995" s="1" t="n">
        <v>45796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45091-2024</t>
        </is>
      </c>
      <c r="B996" s="1" t="n">
        <v>45575</v>
      </c>
      <c r="C996" s="1" t="n">
        <v>45796</v>
      </c>
      <c r="D996" t="inlineStr">
        <is>
          <t>UPPSALA LÄN</t>
        </is>
      </c>
      <c r="E996" t="inlineStr">
        <is>
          <t>TIERP</t>
        </is>
      </c>
      <c r="G996" t="n">
        <v>11.7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44977-2024</t>
        </is>
      </c>
      <c r="B997" s="1" t="n">
        <v>45575</v>
      </c>
      <c r="C997" s="1" t="n">
        <v>45796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väst AB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44889-2024</t>
        </is>
      </c>
      <c r="B998" s="1" t="n">
        <v>45575</v>
      </c>
      <c r="C998" s="1" t="n">
        <v>45796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väst AB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45090-2024</t>
        </is>
      </c>
      <c r="B999" s="1" t="n">
        <v>45575</v>
      </c>
      <c r="C999" s="1" t="n">
        <v>45796</v>
      </c>
      <c r="D999" t="inlineStr">
        <is>
          <t>UPPSALA LÄN</t>
        </is>
      </c>
      <c r="E999" t="inlineStr">
        <is>
          <t>TIERP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44929-2024</t>
        </is>
      </c>
      <c r="B1000" s="1" t="n">
        <v>45575</v>
      </c>
      <c r="C1000" s="1" t="n">
        <v>45796</v>
      </c>
      <c r="D1000" t="inlineStr">
        <is>
          <t>UPPSALA LÄN</t>
        </is>
      </c>
      <c r="E1000" t="inlineStr">
        <is>
          <t>TIERP</t>
        </is>
      </c>
      <c r="G1000" t="n">
        <v>9.199999999999999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45915-2024</t>
        </is>
      </c>
      <c r="B1001" s="1" t="n">
        <v>45580</v>
      </c>
      <c r="C1001" s="1" t="n">
        <v>45796</v>
      </c>
      <c r="D1001" t="inlineStr">
        <is>
          <t>UPPSALA LÄN</t>
        </is>
      </c>
      <c r="E1001" t="inlineStr">
        <is>
          <t>TIERP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45848-2024</t>
        </is>
      </c>
      <c r="B1002" s="1" t="n">
        <v>45580</v>
      </c>
      <c r="C1002" s="1" t="n">
        <v>45796</v>
      </c>
      <c r="D1002" t="inlineStr">
        <is>
          <t>UPPSALA LÄN</t>
        </is>
      </c>
      <c r="E1002" t="inlineStr">
        <is>
          <t>TIERP</t>
        </is>
      </c>
      <c r="G1002" t="n">
        <v>6.4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45961-2024</t>
        </is>
      </c>
      <c r="B1003" s="1" t="n">
        <v>45580</v>
      </c>
      <c r="C1003" s="1" t="n">
        <v>45796</v>
      </c>
      <c r="D1003" t="inlineStr">
        <is>
          <t>UPPSALA LÄN</t>
        </is>
      </c>
      <c r="E1003" t="inlineStr">
        <is>
          <t>TIERP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46046-2024</t>
        </is>
      </c>
      <c r="B1004" s="1" t="n">
        <v>45580</v>
      </c>
      <c r="C1004" s="1" t="n">
        <v>45796</v>
      </c>
      <c r="D1004" t="inlineStr">
        <is>
          <t>UPPSALA LÄN</t>
        </is>
      </c>
      <c r="E1004" t="inlineStr">
        <is>
          <t>TIERP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46252-2024</t>
        </is>
      </c>
      <c r="B1005" s="1" t="n">
        <v>45581</v>
      </c>
      <c r="C1005" s="1" t="n">
        <v>45796</v>
      </c>
      <c r="D1005" t="inlineStr">
        <is>
          <t>UPPSALA LÄN</t>
        </is>
      </c>
      <c r="E1005" t="inlineStr">
        <is>
          <t>TIERP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46512-2024</t>
        </is>
      </c>
      <c r="B1006" s="1" t="n">
        <v>45582</v>
      </c>
      <c r="C1006" s="1" t="n">
        <v>45796</v>
      </c>
      <c r="D1006" t="inlineStr">
        <is>
          <t>UPPSALA LÄN</t>
        </is>
      </c>
      <c r="E1006" t="inlineStr">
        <is>
          <t>TIERP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46552-2024</t>
        </is>
      </c>
      <c r="B1007" s="1" t="n">
        <v>45582</v>
      </c>
      <c r="C1007" s="1" t="n">
        <v>45796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öst AB</t>
        </is>
      </c>
      <c r="G1007" t="n">
        <v>21.4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46530-2024</t>
        </is>
      </c>
      <c r="B1008" s="1" t="n">
        <v>45582</v>
      </c>
      <c r="C1008" s="1" t="n">
        <v>45796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6.6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46550-2024</t>
        </is>
      </c>
      <c r="B1009" s="1" t="n">
        <v>45582</v>
      </c>
      <c r="C1009" s="1" t="n">
        <v>45796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46551-2024</t>
        </is>
      </c>
      <c r="B1010" s="1" t="n">
        <v>45582</v>
      </c>
      <c r="C1010" s="1" t="n">
        <v>45796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46432-2024</t>
        </is>
      </c>
      <c r="B1011" s="1" t="n">
        <v>45582</v>
      </c>
      <c r="C1011" s="1" t="n">
        <v>45796</v>
      </c>
      <c r="D1011" t="inlineStr">
        <is>
          <t>UPPSALA LÄN</t>
        </is>
      </c>
      <c r="E1011" t="inlineStr">
        <is>
          <t>TIERP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46411-2024</t>
        </is>
      </c>
      <c r="B1012" s="1" t="n">
        <v>45582</v>
      </c>
      <c r="C1012" s="1" t="n">
        <v>45796</v>
      </c>
      <c r="D1012" t="inlineStr">
        <is>
          <t>UPPSALA LÄN</t>
        </is>
      </c>
      <c r="E1012" t="inlineStr">
        <is>
          <t>TIERP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46465-2024</t>
        </is>
      </c>
      <c r="B1013" s="1" t="n">
        <v>45582</v>
      </c>
      <c r="C1013" s="1" t="n">
        <v>45796</v>
      </c>
      <c r="D1013" t="inlineStr">
        <is>
          <t>UPPSALA LÄN</t>
        </is>
      </c>
      <c r="E1013" t="inlineStr">
        <is>
          <t>TIERP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46549-2024</t>
        </is>
      </c>
      <c r="B1014" s="1" t="n">
        <v>45582</v>
      </c>
      <c r="C1014" s="1" t="n">
        <v>45796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öst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47058-2024</t>
        </is>
      </c>
      <c r="B1015" s="1" t="n">
        <v>45586</v>
      </c>
      <c r="C1015" s="1" t="n">
        <v>45796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47027-2024</t>
        </is>
      </c>
      <c r="B1016" s="1" t="n">
        <v>45586</v>
      </c>
      <c r="C1016" s="1" t="n">
        <v>45796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47505-2024</t>
        </is>
      </c>
      <c r="B1017" s="1" t="n">
        <v>45587</v>
      </c>
      <c r="C1017" s="1" t="n">
        <v>45796</v>
      </c>
      <c r="D1017" t="inlineStr">
        <is>
          <t>UPPSALA LÄN</t>
        </is>
      </c>
      <c r="E1017" t="inlineStr">
        <is>
          <t>TIERP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48090-2024</t>
        </is>
      </c>
      <c r="B1018" s="1" t="n">
        <v>45589</v>
      </c>
      <c r="C1018" s="1" t="n">
        <v>45796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väst AB</t>
        </is>
      </c>
      <c r="G1018" t="n">
        <v>25.5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48139-2024</t>
        </is>
      </c>
      <c r="B1019" s="1" t="n">
        <v>45589</v>
      </c>
      <c r="C1019" s="1" t="n">
        <v>45796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öst AB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48152-2024</t>
        </is>
      </c>
      <c r="B1020" s="1" t="n">
        <v>45589</v>
      </c>
      <c r="C1020" s="1" t="n">
        <v>45796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öst AB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48566-2024</t>
        </is>
      </c>
      <c r="B1021" s="1" t="n">
        <v>45593</v>
      </c>
      <c r="C1021" s="1" t="n">
        <v>45796</v>
      </c>
      <c r="D1021" t="inlineStr">
        <is>
          <t>UPPSALA LÄN</t>
        </is>
      </c>
      <c r="E1021" t="inlineStr">
        <is>
          <t>TIERP</t>
        </is>
      </c>
      <c r="G1021" t="n">
        <v>7.7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48576-2024</t>
        </is>
      </c>
      <c r="B1022" s="1" t="n">
        <v>45593</v>
      </c>
      <c r="C1022" s="1" t="n">
        <v>45796</v>
      </c>
      <c r="D1022" t="inlineStr">
        <is>
          <t>UPPSALA LÄN</t>
        </is>
      </c>
      <c r="E1022" t="inlineStr">
        <is>
          <t>TIERP</t>
        </is>
      </c>
      <c r="F1022" t="inlineStr">
        <is>
          <t>Övriga Aktiebolag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48862-2024</t>
        </is>
      </c>
      <c r="B1023" s="1" t="n">
        <v>45593</v>
      </c>
      <c r="C1023" s="1" t="n">
        <v>45796</v>
      </c>
      <c r="D1023" t="inlineStr">
        <is>
          <t>UPPSALA LÄN</t>
        </is>
      </c>
      <c r="E1023" t="inlineStr">
        <is>
          <t>TIERP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49111-2024</t>
        </is>
      </c>
      <c r="B1024" s="1" t="n">
        <v>45594</v>
      </c>
      <c r="C1024" s="1" t="n">
        <v>45796</v>
      </c>
      <c r="D1024" t="inlineStr">
        <is>
          <t>UPPSALA LÄN</t>
        </is>
      </c>
      <c r="E1024" t="inlineStr">
        <is>
          <t>TIERP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49231-2024</t>
        </is>
      </c>
      <c r="B1025" s="1" t="n">
        <v>45595</v>
      </c>
      <c r="C1025" s="1" t="n">
        <v>45796</v>
      </c>
      <c r="D1025" t="inlineStr">
        <is>
          <t>UPPSALA LÄN</t>
        </is>
      </c>
      <c r="E1025" t="inlineStr">
        <is>
          <t>TIERP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49355-2024</t>
        </is>
      </c>
      <c r="B1026" s="1" t="n">
        <v>45595</v>
      </c>
      <c r="C1026" s="1" t="n">
        <v>45796</v>
      </c>
      <c r="D1026" t="inlineStr">
        <is>
          <t>UPPSALA LÄN</t>
        </is>
      </c>
      <c r="E1026" t="inlineStr">
        <is>
          <t>TIERP</t>
        </is>
      </c>
      <c r="F1026" t="inlineStr">
        <is>
          <t>Bergvik skog öst AB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49586-2024</t>
        </is>
      </c>
      <c r="B1027" s="1" t="n">
        <v>45596</v>
      </c>
      <c r="C1027" s="1" t="n">
        <v>45796</v>
      </c>
      <c r="D1027" t="inlineStr">
        <is>
          <t>UPPSALA LÄN</t>
        </is>
      </c>
      <c r="E1027" t="inlineStr">
        <is>
          <t>TIERP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49580-2024</t>
        </is>
      </c>
      <c r="B1028" s="1" t="n">
        <v>45596</v>
      </c>
      <c r="C1028" s="1" t="n">
        <v>45796</v>
      </c>
      <c r="D1028" t="inlineStr">
        <is>
          <t>UPPSALA LÄN</t>
        </is>
      </c>
      <c r="E1028" t="inlineStr">
        <is>
          <t>TIERP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49792-2024</t>
        </is>
      </c>
      <c r="B1029" s="1" t="n">
        <v>45597</v>
      </c>
      <c r="C1029" s="1" t="n">
        <v>45796</v>
      </c>
      <c r="D1029" t="inlineStr">
        <is>
          <t>UPPSALA LÄN</t>
        </is>
      </c>
      <c r="E1029" t="inlineStr">
        <is>
          <t>TIERP</t>
        </is>
      </c>
      <c r="F1029" t="inlineStr">
        <is>
          <t>Bergvik skog öst AB</t>
        </is>
      </c>
      <c r="G1029" t="n">
        <v>6.4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50227-2024</t>
        </is>
      </c>
      <c r="B1030" s="1" t="n">
        <v>45600</v>
      </c>
      <c r="C1030" s="1" t="n">
        <v>45796</v>
      </c>
      <c r="D1030" t="inlineStr">
        <is>
          <t>UPPSALA LÄN</t>
        </is>
      </c>
      <c r="E1030" t="inlineStr">
        <is>
          <t>TIERP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50506-2024</t>
        </is>
      </c>
      <c r="B1031" s="1" t="n">
        <v>45601</v>
      </c>
      <c r="C1031" s="1" t="n">
        <v>45796</v>
      </c>
      <c r="D1031" t="inlineStr">
        <is>
          <t>UPPSALA LÄN</t>
        </is>
      </c>
      <c r="E1031" t="inlineStr">
        <is>
          <t>TIERP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50686-2024</t>
        </is>
      </c>
      <c r="B1032" s="1" t="n">
        <v>45602</v>
      </c>
      <c r="C1032" s="1" t="n">
        <v>45796</v>
      </c>
      <c r="D1032" t="inlineStr">
        <is>
          <t>UPPSALA LÄN</t>
        </is>
      </c>
      <c r="E1032" t="inlineStr">
        <is>
          <t>TIERP</t>
        </is>
      </c>
      <c r="F1032" t="inlineStr">
        <is>
          <t>Övriga Aktiebolag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50792-2024</t>
        </is>
      </c>
      <c r="B1033" s="1" t="n">
        <v>45602</v>
      </c>
      <c r="C1033" s="1" t="n">
        <v>45796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öst AB</t>
        </is>
      </c>
      <c r="G1033" t="n">
        <v>11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51344-2024</t>
        </is>
      </c>
      <c r="B1034" s="1" t="n">
        <v>45604</v>
      </c>
      <c r="C1034" s="1" t="n">
        <v>45796</v>
      </c>
      <c r="D1034" t="inlineStr">
        <is>
          <t>UPPSALA LÄN</t>
        </is>
      </c>
      <c r="E1034" t="inlineStr">
        <is>
          <t>TIERP</t>
        </is>
      </c>
      <c r="F1034" t="inlineStr">
        <is>
          <t>Bergvik skog öst AB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51453-2024</t>
        </is>
      </c>
      <c r="B1035" s="1" t="n">
        <v>45604</v>
      </c>
      <c r="C1035" s="1" t="n">
        <v>45796</v>
      </c>
      <c r="D1035" t="inlineStr">
        <is>
          <t>UPPSALA LÄN</t>
        </is>
      </c>
      <c r="E1035" t="inlineStr">
        <is>
          <t>TIERP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51568-2024</t>
        </is>
      </c>
      <c r="B1036" s="1" t="n">
        <v>45604</v>
      </c>
      <c r="C1036" s="1" t="n">
        <v>45796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väst AB</t>
        </is>
      </c>
      <c r="G1036" t="n">
        <v>11.5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51758-2024</t>
        </is>
      </c>
      <c r="B1037" s="1" t="n">
        <v>45607</v>
      </c>
      <c r="C1037" s="1" t="n">
        <v>45796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väst AB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52872-2024</t>
        </is>
      </c>
      <c r="B1038" s="1" t="n">
        <v>45610</v>
      </c>
      <c r="C1038" s="1" t="n">
        <v>45796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öst AB</t>
        </is>
      </c>
      <c r="G1038" t="n">
        <v>13.2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53158-2024</t>
        </is>
      </c>
      <c r="B1039" s="1" t="n">
        <v>45611</v>
      </c>
      <c r="C1039" s="1" t="n">
        <v>45796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öst AB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53161-2024</t>
        </is>
      </c>
      <c r="B1040" s="1" t="n">
        <v>45611</v>
      </c>
      <c r="C1040" s="1" t="n">
        <v>45796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väst AB</t>
        </is>
      </c>
      <c r="G1040" t="n">
        <v>14.9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54299-2024</t>
        </is>
      </c>
      <c r="B1041" s="1" t="n">
        <v>45617</v>
      </c>
      <c r="C1041" s="1" t="n">
        <v>45796</v>
      </c>
      <c r="D1041" t="inlineStr">
        <is>
          <t>UPPSALA LÄN</t>
        </is>
      </c>
      <c r="E1041" t="inlineStr">
        <is>
          <t>TIERP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54449-2024</t>
        </is>
      </c>
      <c r="B1042" s="1" t="n">
        <v>45617</v>
      </c>
      <c r="C1042" s="1" t="n">
        <v>45796</v>
      </c>
      <c r="D1042" t="inlineStr">
        <is>
          <t>UPPSALA LÄN</t>
        </is>
      </c>
      <c r="E1042" t="inlineStr">
        <is>
          <t>TIERP</t>
        </is>
      </c>
      <c r="G1042" t="n">
        <v>8.5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54469-2024</t>
        </is>
      </c>
      <c r="B1043" s="1" t="n">
        <v>45617</v>
      </c>
      <c r="C1043" s="1" t="n">
        <v>45796</v>
      </c>
      <c r="D1043" t="inlineStr">
        <is>
          <t>UPPSALA LÄN</t>
        </is>
      </c>
      <c r="E1043" t="inlineStr">
        <is>
          <t>TIERP</t>
        </is>
      </c>
      <c r="F1043" t="inlineStr">
        <is>
          <t>Bergvik skog öst AB</t>
        </is>
      </c>
      <c r="G1043" t="n">
        <v>12.4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54753-2024</t>
        </is>
      </c>
      <c r="B1044" s="1" t="n">
        <v>45618</v>
      </c>
      <c r="C1044" s="1" t="n">
        <v>45796</v>
      </c>
      <c r="D1044" t="inlineStr">
        <is>
          <t>UPPSALA LÄN</t>
        </is>
      </c>
      <c r="E1044" t="inlineStr">
        <is>
          <t>TIERP</t>
        </is>
      </c>
      <c r="F1044" t="inlineStr">
        <is>
          <t>Bergvik skog öst AB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54770-2024</t>
        </is>
      </c>
      <c r="B1045" s="1" t="n">
        <v>45618</v>
      </c>
      <c r="C1045" s="1" t="n">
        <v>45796</v>
      </c>
      <c r="D1045" t="inlineStr">
        <is>
          <t>UPPSALA LÄN</t>
        </is>
      </c>
      <c r="E1045" t="inlineStr">
        <is>
          <t>TIERP</t>
        </is>
      </c>
      <c r="F1045" t="inlineStr">
        <is>
          <t>Bergvik skog öst AB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55277-2024</t>
        </is>
      </c>
      <c r="B1046" s="1" t="n">
        <v>45621</v>
      </c>
      <c r="C1046" s="1" t="n">
        <v>45796</v>
      </c>
      <c r="D1046" t="inlineStr">
        <is>
          <t>UPPSALA LÄN</t>
        </is>
      </c>
      <c r="E1046" t="inlineStr">
        <is>
          <t>TIERP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55234-2024</t>
        </is>
      </c>
      <c r="B1047" s="1" t="n">
        <v>45621</v>
      </c>
      <c r="C1047" s="1" t="n">
        <v>45796</v>
      </c>
      <c r="D1047" t="inlineStr">
        <is>
          <t>UPPSALA LÄN</t>
        </is>
      </c>
      <c r="E1047" t="inlineStr">
        <is>
          <t>TIERP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55678-2024</t>
        </is>
      </c>
      <c r="B1048" s="1" t="n">
        <v>45622</v>
      </c>
      <c r="C1048" s="1" t="n">
        <v>45796</v>
      </c>
      <c r="D1048" t="inlineStr">
        <is>
          <t>UPPSALA LÄN</t>
        </is>
      </c>
      <c r="E1048" t="inlineStr">
        <is>
          <t>TIERP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55632-2024</t>
        </is>
      </c>
      <c r="B1049" s="1" t="n">
        <v>45622</v>
      </c>
      <c r="C1049" s="1" t="n">
        <v>45796</v>
      </c>
      <c r="D1049" t="inlineStr">
        <is>
          <t>UPPSALA LÄN</t>
        </is>
      </c>
      <c r="E1049" t="inlineStr">
        <is>
          <t>TIERP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55688-2024</t>
        </is>
      </c>
      <c r="B1050" s="1" t="n">
        <v>45622</v>
      </c>
      <c r="C1050" s="1" t="n">
        <v>45796</v>
      </c>
      <c r="D1050" t="inlineStr">
        <is>
          <t>UPPSALA LÄN</t>
        </is>
      </c>
      <c r="E1050" t="inlineStr">
        <is>
          <t>TIERP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55627-2024</t>
        </is>
      </c>
      <c r="B1051" s="1" t="n">
        <v>45622</v>
      </c>
      <c r="C1051" s="1" t="n">
        <v>45796</v>
      </c>
      <c r="D1051" t="inlineStr">
        <is>
          <t>UPPSALA LÄN</t>
        </is>
      </c>
      <c r="E1051" t="inlineStr">
        <is>
          <t>TIERP</t>
        </is>
      </c>
      <c r="F1051" t="inlineStr">
        <is>
          <t>Bergvik skog väst AB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55780-2024</t>
        </is>
      </c>
      <c r="B1052" s="1" t="n">
        <v>45623</v>
      </c>
      <c r="C1052" s="1" t="n">
        <v>45796</v>
      </c>
      <c r="D1052" t="inlineStr">
        <is>
          <t>UPPSALA LÄN</t>
        </is>
      </c>
      <c r="E1052" t="inlineStr">
        <is>
          <t>TIERP</t>
        </is>
      </c>
      <c r="G1052" t="n">
        <v>5.2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55816-2024</t>
        </is>
      </c>
      <c r="B1053" s="1" t="n">
        <v>45623</v>
      </c>
      <c r="C1053" s="1" t="n">
        <v>45796</v>
      </c>
      <c r="D1053" t="inlineStr">
        <is>
          <t>UPPSALA LÄN</t>
        </is>
      </c>
      <c r="E1053" t="inlineStr">
        <is>
          <t>TIERP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55963-2024</t>
        </is>
      </c>
      <c r="B1054" s="1" t="n">
        <v>45623</v>
      </c>
      <c r="C1054" s="1" t="n">
        <v>45796</v>
      </c>
      <c r="D1054" t="inlineStr">
        <is>
          <t>UPPSALA LÄN</t>
        </is>
      </c>
      <c r="E1054" t="inlineStr">
        <is>
          <t>TIERP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55957-2024</t>
        </is>
      </c>
      <c r="B1055" s="1" t="n">
        <v>45623</v>
      </c>
      <c r="C1055" s="1" t="n">
        <v>45796</v>
      </c>
      <c r="D1055" t="inlineStr">
        <is>
          <t>UPPSALA LÄN</t>
        </is>
      </c>
      <c r="E1055" t="inlineStr">
        <is>
          <t>TIERP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55954-2024</t>
        </is>
      </c>
      <c r="B1056" s="1" t="n">
        <v>45623</v>
      </c>
      <c r="C1056" s="1" t="n">
        <v>45796</v>
      </c>
      <c r="D1056" t="inlineStr">
        <is>
          <t>UPPSALA LÄN</t>
        </is>
      </c>
      <c r="E1056" t="inlineStr">
        <is>
          <t>TIERP</t>
        </is>
      </c>
      <c r="F1056" t="inlineStr">
        <is>
          <t>Bergvik skog väst AB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55962-2024</t>
        </is>
      </c>
      <c r="B1057" s="1" t="n">
        <v>45623</v>
      </c>
      <c r="C1057" s="1" t="n">
        <v>45796</v>
      </c>
      <c r="D1057" t="inlineStr">
        <is>
          <t>UPPSALA LÄN</t>
        </is>
      </c>
      <c r="E1057" t="inlineStr">
        <is>
          <t>TIERP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55966-2024</t>
        </is>
      </c>
      <c r="B1058" s="1" t="n">
        <v>45623</v>
      </c>
      <c r="C1058" s="1" t="n">
        <v>45796</v>
      </c>
      <c r="D1058" t="inlineStr">
        <is>
          <t>UPPSALA LÄN</t>
        </is>
      </c>
      <c r="E1058" t="inlineStr">
        <is>
          <t>TIERP</t>
        </is>
      </c>
      <c r="G1058" t="n">
        <v>6.2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56063-2024</t>
        </is>
      </c>
      <c r="B1059" s="1" t="n">
        <v>45624</v>
      </c>
      <c r="C1059" s="1" t="n">
        <v>45796</v>
      </c>
      <c r="D1059" t="inlineStr">
        <is>
          <t>UPPSALA LÄN</t>
        </is>
      </c>
      <c r="E1059" t="inlineStr">
        <is>
          <t>TIERP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56173-2024</t>
        </is>
      </c>
      <c r="B1060" s="1" t="n">
        <v>45624</v>
      </c>
      <c r="C1060" s="1" t="n">
        <v>45796</v>
      </c>
      <c r="D1060" t="inlineStr">
        <is>
          <t>UPPSALA LÄN</t>
        </is>
      </c>
      <c r="E1060" t="inlineStr">
        <is>
          <t>TIERP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56577-2024</t>
        </is>
      </c>
      <c r="B1061" s="1" t="n">
        <v>45625</v>
      </c>
      <c r="C1061" s="1" t="n">
        <v>45796</v>
      </c>
      <c r="D1061" t="inlineStr">
        <is>
          <t>UPPSALA LÄN</t>
        </is>
      </c>
      <c r="E1061" t="inlineStr">
        <is>
          <t>TIERP</t>
        </is>
      </c>
      <c r="F1061" t="inlineStr">
        <is>
          <t>Bergvik skog väst AB</t>
        </is>
      </c>
      <c r="G1061" t="n">
        <v>14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57369-2024</t>
        </is>
      </c>
      <c r="B1062" s="1" t="n">
        <v>45629</v>
      </c>
      <c r="C1062" s="1" t="n">
        <v>45796</v>
      </c>
      <c r="D1062" t="inlineStr">
        <is>
          <t>UPPSALA LÄN</t>
        </is>
      </c>
      <c r="E1062" t="inlineStr">
        <is>
          <t>TIERP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57402-2024</t>
        </is>
      </c>
      <c r="B1063" s="1" t="n">
        <v>45629</v>
      </c>
      <c r="C1063" s="1" t="n">
        <v>45796</v>
      </c>
      <c r="D1063" t="inlineStr">
        <is>
          <t>UPPSALA LÄN</t>
        </is>
      </c>
      <c r="E1063" t="inlineStr">
        <is>
          <t>TIERP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57818-2024</t>
        </is>
      </c>
      <c r="B1064" s="1" t="n">
        <v>45631</v>
      </c>
      <c r="C1064" s="1" t="n">
        <v>45796</v>
      </c>
      <c r="D1064" t="inlineStr">
        <is>
          <t>UPPSALA LÄN</t>
        </is>
      </c>
      <c r="E1064" t="inlineStr">
        <is>
          <t>TIERP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57822-2024</t>
        </is>
      </c>
      <c r="B1065" s="1" t="n">
        <v>45631</v>
      </c>
      <c r="C1065" s="1" t="n">
        <v>45796</v>
      </c>
      <c r="D1065" t="inlineStr">
        <is>
          <t>UPPSALA LÄN</t>
        </is>
      </c>
      <c r="E1065" t="inlineStr">
        <is>
          <t>TIERP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57829-2024</t>
        </is>
      </c>
      <c r="B1066" s="1" t="n">
        <v>45631</v>
      </c>
      <c r="C1066" s="1" t="n">
        <v>45796</v>
      </c>
      <c r="D1066" t="inlineStr">
        <is>
          <t>UPPSALA LÄN</t>
        </is>
      </c>
      <c r="E1066" t="inlineStr">
        <is>
          <t>TIERP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57961-2024</t>
        </is>
      </c>
      <c r="B1067" s="1" t="n">
        <v>45631</v>
      </c>
      <c r="C1067" s="1" t="n">
        <v>45796</v>
      </c>
      <c r="D1067" t="inlineStr">
        <is>
          <t>UPPSALA LÄN</t>
        </is>
      </c>
      <c r="E1067" t="inlineStr">
        <is>
          <t>TIERP</t>
        </is>
      </c>
      <c r="F1067" t="inlineStr">
        <is>
          <t>Bergvik skog väst AB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57931-2024</t>
        </is>
      </c>
      <c r="B1068" s="1" t="n">
        <v>45631</v>
      </c>
      <c r="C1068" s="1" t="n">
        <v>45796</v>
      </c>
      <c r="D1068" t="inlineStr">
        <is>
          <t>UPPSALA LÄN</t>
        </is>
      </c>
      <c r="E1068" t="inlineStr">
        <is>
          <t>TIERP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57934-2024</t>
        </is>
      </c>
      <c r="B1069" s="1" t="n">
        <v>45631</v>
      </c>
      <c r="C1069" s="1" t="n">
        <v>45796</v>
      </c>
      <c r="D1069" t="inlineStr">
        <is>
          <t>UPPSALA LÄN</t>
        </is>
      </c>
      <c r="E1069" t="inlineStr">
        <is>
          <t>TIERP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57938-2024</t>
        </is>
      </c>
      <c r="B1070" s="1" t="n">
        <v>45631</v>
      </c>
      <c r="C1070" s="1" t="n">
        <v>45796</v>
      </c>
      <c r="D1070" t="inlineStr">
        <is>
          <t>UPPSALA LÄN</t>
        </is>
      </c>
      <c r="E1070" t="inlineStr">
        <is>
          <t>TIERP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58252-2024</t>
        </is>
      </c>
      <c r="B1071" s="1" t="n">
        <v>45632</v>
      </c>
      <c r="C1071" s="1" t="n">
        <v>45796</v>
      </c>
      <c r="D1071" t="inlineStr">
        <is>
          <t>UPPSALA LÄN</t>
        </is>
      </c>
      <c r="E1071" t="inlineStr">
        <is>
          <t>TIERP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58264-2024</t>
        </is>
      </c>
      <c r="B1072" s="1" t="n">
        <v>45632</v>
      </c>
      <c r="C1072" s="1" t="n">
        <v>45796</v>
      </c>
      <c r="D1072" t="inlineStr">
        <is>
          <t>UPPSALA LÄN</t>
        </is>
      </c>
      <c r="E1072" t="inlineStr">
        <is>
          <t>TIERP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58232-2024</t>
        </is>
      </c>
      <c r="B1073" s="1" t="n">
        <v>45632</v>
      </c>
      <c r="C1073" s="1" t="n">
        <v>45796</v>
      </c>
      <c r="D1073" t="inlineStr">
        <is>
          <t>UPPSALA LÄN</t>
        </is>
      </c>
      <c r="E1073" t="inlineStr">
        <is>
          <t>TIERP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58601-2024</t>
        </is>
      </c>
      <c r="B1074" s="1" t="n">
        <v>45635</v>
      </c>
      <c r="C1074" s="1" t="n">
        <v>45796</v>
      </c>
      <c r="D1074" t="inlineStr">
        <is>
          <t>UPPSALA LÄN</t>
        </is>
      </c>
      <c r="E1074" t="inlineStr">
        <is>
          <t>TIERP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58772-2024</t>
        </is>
      </c>
      <c r="B1075" s="1" t="n">
        <v>45635</v>
      </c>
      <c r="C1075" s="1" t="n">
        <v>45796</v>
      </c>
      <c r="D1075" t="inlineStr">
        <is>
          <t>UPPSALA LÄN</t>
        </is>
      </c>
      <c r="E1075" t="inlineStr">
        <is>
          <t>TIERP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59205-2024</t>
        </is>
      </c>
      <c r="B1076" s="1" t="n">
        <v>45636</v>
      </c>
      <c r="C1076" s="1" t="n">
        <v>45796</v>
      </c>
      <c r="D1076" t="inlineStr">
        <is>
          <t>UPPSALA LÄN</t>
        </is>
      </c>
      <c r="E1076" t="inlineStr">
        <is>
          <t>TIERP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59211-2024</t>
        </is>
      </c>
      <c r="B1077" s="1" t="n">
        <v>45637</v>
      </c>
      <c r="C1077" s="1" t="n">
        <v>45796</v>
      </c>
      <c r="D1077" t="inlineStr">
        <is>
          <t>UPPSALA LÄN</t>
        </is>
      </c>
      <c r="E1077" t="inlineStr">
        <is>
          <t>TIERP</t>
        </is>
      </c>
      <c r="G1077" t="n">
        <v>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59244-2024</t>
        </is>
      </c>
      <c r="B1078" s="1" t="n">
        <v>45637</v>
      </c>
      <c r="C1078" s="1" t="n">
        <v>45796</v>
      </c>
      <c r="D1078" t="inlineStr">
        <is>
          <t>UPPSALA LÄN</t>
        </is>
      </c>
      <c r="E1078" t="inlineStr">
        <is>
          <t>TIERP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59267-2024</t>
        </is>
      </c>
      <c r="B1079" s="1" t="n">
        <v>45637</v>
      </c>
      <c r="C1079" s="1" t="n">
        <v>45796</v>
      </c>
      <c r="D1079" t="inlineStr">
        <is>
          <t>UPPSALA LÄN</t>
        </is>
      </c>
      <c r="E1079" t="inlineStr">
        <is>
          <t>TIERP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59597-2024</t>
        </is>
      </c>
      <c r="B1080" s="1" t="n">
        <v>45638</v>
      </c>
      <c r="C1080" s="1" t="n">
        <v>45796</v>
      </c>
      <c r="D1080" t="inlineStr">
        <is>
          <t>UPPSALA LÄN</t>
        </is>
      </c>
      <c r="E1080" t="inlineStr">
        <is>
          <t>TIERP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59658-2024</t>
        </is>
      </c>
      <c r="B1081" s="1" t="n">
        <v>45639</v>
      </c>
      <c r="C1081" s="1" t="n">
        <v>45796</v>
      </c>
      <c r="D1081" t="inlineStr">
        <is>
          <t>UPPSALA LÄN</t>
        </is>
      </c>
      <c r="E1081" t="inlineStr">
        <is>
          <t>TIERP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60123-2024</t>
        </is>
      </c>
      <c r="B1082" s="1" t="n">
        <v>45642</v>
      </c>
      <c r="C1082" s="1" t="n">
        <v>45796</v>
      </c>
      <c r="D1082" t="inlineStr">
        <is>
          <t>UPPSALA LÄN</t>
        </is>
      </c>
      <c r="E1082" t="inlineStr">
        <is>
          <t>TIERP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60129-2024</t>
        </is>
      </c>
      <c r="B1083" s="1" t="n">
        <v>45642</v>
      </c>
      <c r="C1083" s="1" t="n">
        <v>45796</v>
      </c>
      <c r="D1083" t="inlineStr">
        <is>
          <t>UPPSALA LÄN</t>
        </is>
      </c>
      <c r="E1083" t="inlineStr">
        <is>
          <t>TIERP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60136-2024</t>
        </is>
      </c>
      <c r="B1084" s="1" t="n">
        <v>45642</v>
      </c>
      <c r="C1084" s="1" t="n">
        <v>45796</v>
      </c>
      <c r="D1084" t="inlineStr">
        <is>
          <t>UPPSALA LÄN</t>
        </is>
      </c>
      <c r="E1084" t="inlineStr">
        <is>
          <t>TIERP</t>
        </is>
      </c>
      <c r="G1084" t="n">
        <v>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60011-2024</t>
        </is>
      </c>
      <c r="B1085" s="1" t="n">
        <v>45642</v>
      </c>
      <c r="C1085" s="1" t="n">
        <v>45796</v>
      </c>
      <c r="D1085" t="inlineStr">
        <is>
          <t>UPPSALA LÄN</t>
        </is>
      </c>
      <c r="E1085" t="inlineStr">
        <is>
          <t>TIERP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60014-2024</t>
        </is>
      </c>
      <c r="B1086" s="1" t="n">
        <v>45642</v>
      </c>
      <c r="C1086" s="1" t="n">
        <v>45796</v>
      </c>
      <c r="D1086" t="inlineStr">
        <is>
          <t>UPPSALA LÄN</t>
        </is>
      </c>
      <c r="E1086" t="inlineStr">
        <is>
          <t>TIERP</t>
        </is>
      </c>
      <c r="F1086" t="inlineStr">
        <is>
          <t>Bergvik skog väst AB</t>
        </is>
      </c>
      <c r="G1086" t="n">
        <v>8.4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60357-2024</t>
        </is>
      </c>
      <c r="B1087" s="1" t="n">
        <v>45643</v>
      </c>
      <c r="C1087" s="1" t="n">
        <v>45796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öst AB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60314-2024</t>
        </is>
      </c>
      <c r="B1088" s="1" t="n">
        <v>45643</v>
      </c>
      <c r="C1088" s="1" t="n">
        <v>45796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öst AB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60304-2024</t>
        </is>
      </c>
      <c r="B1089" s="1" t="n">
        <v>45643</v>
      </c>
      <c r="C1089" s="1" t="n">
        <v>45796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60648-2024</t>
        </is>
      </c>
      <c r="B1090" s="1" t="n">
        <v>45644</v>
      </c>
      <c r="C1090" s="1" t="n">
        <v>45796</v>
      </c>
      <c r="D1090" t="inlineStr">
        <is>
          <t>UPPSALA LÄN</t>
        </is>
      </c>
      <c r="E1090" t="inlineStr">
        <is>
          <t>TIERP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60985-2024</t>
        </is>
      </c>
      <c r="B1091" s="1" t="n">
        <v>45645</v>
      </c>
      <c r="C1091" s="1" t="n">
        <v>45796</v>
      </c>
      <c r="D1091" t="inlineStr">
        <is>
          <t>UPPSALA LÄN</t>
        </is>
      </c>
      <c r="E1091" t="inlineStr">
        <is>
          <t>TIERP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61248-2024</t>
        </is>
      </c>
      <c r="B1092" s="1" t="n">
        <v>45645</v>
      </c>
      <c r="C1092" s="1" t="n">
        <v>45796</v>
      </c>
      <c r="D1092" t="inlineStr">
        <is>
          <t>UPPSALA LÄN</t>
        </is>
      </c>
      <c r="E1092" t="inlineStr">
        <is>
          <t>TIERP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61149-2024</t>
        </is>
      </c>
      <c r="B1093" s="1" t="n">
        <v>45645</v>
      </c>
      <c r="C1093" s="1" t="n">
        <v>45796</v>
      </c>
      <c r="D1093" t="inlineStr">
        <is>
          <t>UPPSALA LÄN</t>
        </is>
      </c>
      <c r="E1093" t="inlineStr">
        <is>
          <t>TIERP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61156-2024</t>
        </is>
      </c>
      <c r="B1094" s="1" t="n">
        <v>45645</v>
      </c>
      <c r="C1094" s="1" t="n">
        <v>45796</v>
      </c>
      <c r="D1094" t="inlineStr">
        <is>
          <t>UPPSALA LÄN</t>
        </is>
      </c>
      <c r="E1094" t="inlineStr">
        <is>
          <t>TIERP</t>
        </is>
      </c>
      <c r="F1094" t="inlineStr">
        <is>
          <t>Bergvik skog väst AB</t>
        </is>
      </c>
      <c r="G1094" t="n">
        <v>10.6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61230-2024</t>
        </is>
      </c>
      <c r="B1095" s="1" t="n">
        <v>45645</v>
      </c>
      <c r="C1095" s="1" t="n">
        <v>45796</v>
      </c>
      <c r="D1095" t="inlineStr">
        <is>
          <t>UPPSALA LÄN</t>
        </is>
      </c>
      <c r="E1095" t="inlineStr">
        <is>
          <t>TIERP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  <c r="U1095">
        <f>HYPERLINK("https://klasma.github.io/Logging_0360/knärot/A 61230-2024 karta knärot.png", "A 61230-2024")</f>
        <v/>
      </c>
      <c r="V1095">
        <f>HYPERLINK("https://klasma.github.io/Logging_0360/klagomål/A 61230-2024 FSC-klagomål.docx", "A 61230-2024")</f>
        <v/>
      </c>
      <c r="W1095">
        <f>HYPERLINK("https://klasma.github.io/Logging_0360/klagomålsmail/A 61230-2024 FSC-klagomål mail.docx", "A 61230-2024")</f>
        <v/>
      </c>
      <c r="X1095">
        <f>HYPERLINK("https://klasma.github.io/Logging_0360/tillsyn/A 61230-2024 tillsynsbegäran.docx", "A 61230-2024")</f>
        <v/>
      </c>
      <c r="Y1095">
        <f>HYPERLINK("https://klasma.github.io/Logging_0360/tillsynsmail/A 61230-2024 tillsynsbegäran mail.docx", "A 61230-2024")</f>
        <v/>
      </c>
    </row>
    <row r="1096" ht="15" customHeight="1">
      <c r="A1096" t="inlineStr">
        <is>
          <t>A 61280-2024</t>
        </is>
      </c>
      <c r="B1096" s="1" t="n">
        <v>45645</v>
      </c>
      <c r="C1096" s="1" t="n">
        <v>45796</v>
      </c>
      <c r="D1096" t="inlineStr">
        <is>
          <t>UPPSALA LÄN</t>
        </is>
      </c>
      <c r="E1096" t="inlineStr">
        <is>
          <t>TIERP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61152-2024</t>
        </is>
      </c>
      <c r="B1097" s="1" t="n">
        <v>45645</v>
      </c>
      <c r="C1097" s="1" t="n">
        <v>45796</v>
      </c>
      <c r="D1097" t="inlineStr">
        <is>
          <t>UPPSALA LÄN</t>
        </is>
      </c>
      <c r="E1097" t="inlineStr">
        <is>
          <t>TIERP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61154-2024</t>
        </is>
      </c>
      <c r="B1098" s="1" t="n">
        <v>45645</v>
      </c>
      <c r="C1098" s="1" t="n">
        <v>45796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väst AB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61246-2024</t>
        </is>
      </c>
      <c r="B1099" s="1" t="n">
        <v>45645</v>
      </c>
      <c r="C1099" s="1" t="n">
        <v>45796</v>
      </c>
      <c r="D1099" t="inlineStr">
        <is>
          <t>UPPSALA LÄN</t>
        </is>
      </c>
      <c r="E1099" t="inlineStr">
        <is>
          <t>TIERP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61412-2024</t>
        </is>
      </c>
      <c r="B1100" s="1" t="n">
        <v>45646</v>
      </c>
      <c r="C1100" s="1" t="n">
        <v>45796</v>
      </c>
      <c r="D1100" t="inlineStr">
        <is>
          <t>UPPSALA LÄN</t>
        </is>
      </c>
      <c r="E1100" t="inlineStr">
        <is>
          <t>TIERP</t>
        </is>
      </c>
      <c r="F1100" t="inlineStr">
        <is>
          <t>Bergvik skog väst AB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61518-2024</t>
        </is>
      </c>
      <c r="B1101" s="1" t="n">
        <v>45646</v>
      </c>
      <c r="C1101" s="1" t="n">
        <v>45796</v>
      </c>
      <c r="D1101" t="inlineStr">
        <is>
          <t>UPPSALA LÄN</t>
        </is>
      </c>
      <c r="E1101" t="inlineStr">
        <is>
          <t>TIERP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61526-2024</t>
        </is>
      </c>
      <c r="B1102" s="1" t="n">
        <v>45646</v>
      </c>
      <c r="C1102" s="1" t="n">
        <v>45796</v>
      </c>
      <c r="D1102" t="inlineStr">
        <is>
          <t>UPPSALA LÄN</t>
        </is>
      </c>
      <c r="E1102" t="inlineStr">
        <is>
          <t>TIERP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61395-2024</t>
        </is>
      </c>
      <c r="B1103" s="1" t="n">
        <v>45646</v>
      </c>
      <c r="C1103" s="1" t="n">
        <v>45796</v>
      </c>
      <c r="D1103" t="inlineStr">
        <is>
          <t>UPPSALA LÄN</t>
        </is>
      </c>
      <c r="E1103" t="inlineStr">
        <is>
          <t>TIERP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61739-2024</t>
        </is>
      </c>
      <c r="B1104" s="1" t="n">
        <v>45649</v>
      </c>
      <c r="C1104" s="1" t="n">
        <v>45796</v>
      </c>
      <c r="D1104" t="inlineStr">
        <is>
          <t>UPPSALA LÄN</t>
        </is>
      </c>
      <c r="E1104" t="inlineStr">
        <is>
          <t>TIERP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61827-2024</t>
        </is>
      </c>
      <c r="B1105" s="1" t="n">
        <v>45649</v>
      </c>
      <c r="C1105" s="1" t="n">
        <v>45796</v>
      </c>
      <c r="D1105" t="inlineStr">
        <is>
          <t>UPPSALA LÄN</t>
        </is>
      </c>
      <c r="E1105" t="inlineStr">
        <is>
          <t>TIERP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61836-2024</t>
        </is>
      </c>
      <c r="B1106" s="1" t="n">
        <v>45649</v>
      </c>
      <c r="C1106" s="1" t="n">
        <v>45796</v>
      </c>
      <c r="D1106" t="inlineStr">
        <is>
          <t>UPPSALA LÄN</t>
        </is>
      </c>
      <c r="E1106" t="inlineStr">
        <is>
          <t>TIERP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61832-2024</t>
        </is>
      </c>
      <c r="B1107" s="1" t="n">
        <v>45649</v>
      </c>
      <c r="C1107" s="1" t="n">
        <v>45796</v>
      </c>
      <c r="D1107" t="inlineStr">
        <is>
          <t>UPPSALA LÄN</t>
        </is>
      </c>
      <c r="E1107" t="inlineStr">
        <is>
          <t>TIERP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61842-2024</t>
        </is>
      </c>
      <c r="B1108" s="1" t="n">
        <v>45649</v>
      </c>
      <c r="C1108" s="1" t="n">
        <v>45796</v>
      </c>
      <c r="D1108" t="inlineStr">
        <is>
          <t>UPPSALA LÄN</t>
        </is>
      </c>
      <c r="E1108" t="inlineStr">
        <is>
          <t>TIERP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61956-2024</t>
        </is>
      </c>
      <c r="B1109" s="1" t="n">
        <v>45653</v>
      </c>
      <c r="C1109" s="1" t="n">
        <v>45796</v>
      </c>
      <c r="D1109" t="inlineStr">
        <is>
          <t>UPPSALA LÄN</t>
        </is>
      </c>
      <c r="E1109" t="inlineStr">
        <is>
          <t>TIERP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62006-2024</t>
        </is>
      </c>
      <c r="B1110" s="1" t="n">
        <v>45655</v>
      </c>
      <c r="C1110" s="1" t="n">
        <v>45796</v>
      </c>
      <c r="D1110" t="inlineStr">
        <is>
          <t>UPPSALA LÄN</t>
        </is>
      </c>
      <c r="E1110" t="inlineStr">
        <is>
          <t>TIERP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62078-2024</t>
        </is>
      </c>
      <c r="B1111" s="1" t="n">
        <v>45656</v>
      </c>
      <c r="C1111" s="1" t="n">
        <v>45796</v>
      </c>
      <c r="D1111" t="inlineStr">
        <is>
          <t>UPPSALA LÄN</t>
        </is>
      </c>
      <c r="E1111" t="inlineStr">
        <is>
          <t>TIERP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66-2025</t>
        </is>
      </c>
      <c r="B1112" s="1" t="n">
        <v>45659</v>
      </c>
      <c r="C1112" s="1" t="n">
        <v>45796</v>
      </c>
      <c r="D1112" t="inlineStr">
        <is>
          <t>UPPSALA LÄN</t>
        </is>
      </c>
      <c r="E1112" t="inlineStr">
        <is>
          <t>TIERP</t>
        </is>
      </c>
      <c r="F1112" t="inlineStr">
        <is>
          <t>Bergvik skog öst AB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128-2025</t>
        </is>
      </c>
      <c r="B1113" s="1" t="n">
        <v>45659</v>
      </c>
      <c r="C1113" s="1" t="n">
        <v>45796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129-2025</t>
        </is>
      </c>
      <c r="B1114" s="1" t="n">
        <v>45659</v>
      </c>
      <c r="C1114" s="1" t="n">
        <v>45796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130-2025</t>
        </is>
      </c>
      <c r="B1115" s="1" t="n">
        <v>45659</v>
      </c>
      <c r="C1115" s="1" t="n">
        <v>45796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697-2025</t>
        </is>
      </c>
      <c r="B1116" s="1" t="n">
        <v>45665</v>
      </c>
      <c r="C1116" s="1" t="n">
        <v>45796</v>
      </c>
      <c r="D1116" t="inlineStr">
        <is>
          <t>UPPSALA LÄN</t>
        </is>
      </c>
      <c r="E1116" t="inlineStr">
        <is>
          <t>TIERP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1056-2025</t>
        </is>
      </c>
      <c r="B1117" s="1" t="n">
        <v>45666</v>
      </c>
      <c r="C1117" s="1" t="n">
        <v>45796</v>
      </c>
      <c r="D1117" t="inlineStr">
        <is>
          <t>UPPSALA LÄN</t>
        </is>
      </c>
      <c r="E1117" t="inlineStr">
        <is>
          <t>TIERP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1229-2025</t>
        </is>
      </c>
      <c r="B1118" s="1" t="n">
        <v>45667</v>
      </c>
      <c r="C1118" s="1" t="n">
        <v>45796</v>
      </c>
      <c r="D1118" t="inlineStr">
        <is>
          <t>UPPSALA LÄN</t>
        </is>
      </c>
      <c r="E1118" t="inlineStr">
        <is>
          <t>TIERP</t>
        </is>
      </c>
      <c r="F1118" t="inlineStr">
        <is>
          <t>Bergvik skog öst AB</t>
        </is>
      </c>
      <c r="G1118" t="n">
        <v>7.7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1245-2025</t>
        </is>
      </c>
      <c r="B1119" s="1" t="n">
        <v>45667</v>
      </c>
      <c r="C1119" s="1" t="n">
        <v>45796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1202-2025</t>
        </is>
      </c>
      <c r="B1120" s="1" t="n">
        <v>45667</v>
      </c>
      <c r="C1120" s="1" t="n">
        <v>45796</v>
      </c>
      <c r="D1120" t="inlineStr">
        <is>
          <t>UPPSALA LÄN</t>
        </is>
      </c>
      <c r="E1120" t="inlineStr">
        <is>
          <t>TIERP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2313-2025</t>
        </is>
      </c>
      <c r="B1121" s="1" t="n">
        <v>45673</v>
      </c>
      <c r="C1121" s="1" t="n">
        <v>45796</v>
      </c>
      <c r="D1121" t="inlineStr">
        <is>
          <t>UPPSALA LÄN</t>
        </is>
      </c>
      <c r="E1121" t="inlineStr">
        <is>
          <t>TIERP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2396-2025</t>
        </is>
      </c>
      <c r="B1122" s="1" t="n">
        <v>45674</v>
      </c>
      <c r="C1122" s="1" t="n">
        <v>45796</v>
      </c>
      <c r="D1122" t="inlineStr">
        <is>
          <t>UPPSALA LÄN</t>
        </is>
      </c>
      <c r="E1122" t="inlineStr">
        <is>
          <t>TIERP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2411-2025</t>
        </is>
      </c>
      <c r="B1123" s="1" t="n">
        <v>45674</v>
      </c>
      <c r="C1123" s="1" t="n">
        <v>45796</v>
      </c>
      <c r="D1123" t="inlineStr">
        <is>
          <t>UPPSALA LÄN</t>
        </is>
      </c>
      <c r="E1123" t="inlineStr">
        <is>
          <t>TIERP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2549-2025</t>
        </is>
      </c>
      <c r="B1124" s="1" t="n">
        <v>45674</v>
      </c>
      <c r="C1124" s="1" t="n">
        <v>45796</v>
      </c>
      <c r="D1124" t="inlineStr">
        <is>
          <t>UPPSALA LÄN</t>
        </is>
      </c>
      <c r="E1124" t="inlineStr">
        <is>
          <t>TIERP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2407-2025</t>
        </is>
      </c>
      <c r="B1125" s="1" t="n">
        <v>45674</v>
      </c>
      <c r="C1125" s="1" t="n">
        <v>45796</v>
      </c>
      <c r="D1125" t="inlineStr">
        <is>
          <t>UPPSALA LÄN</t>
        </is>
      </c>
      <c r="E1125" t="inlineStr">
        <is>
          <t>TIERP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2838-2025</t>
        </is>
      </c>
      <c r="B1126" s="1" t="n">
        <v>45677</v>
      </c>
      <c r="C1126" s="1" t="n">
        <v>45796</v>
      </c>
      <c r="D1126" t="inlineStr">
        <is>
          <t>UPPSALA LÄN</t>
        </is>
      </c>
      <c r="E1126" t="inlineStr">
        <is>
          <t>TIERP</t>
        </is>
      </c>
      <c r="F1126" t="inlineStr">
        <is>
          <t>Bergvik skog väst AB</t>
        </is>
      </c>
      <c r="G1126" t="n">
        <v>9.300000000000001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4314-2025</t>
        </is>
      </c>
      <c r="B1127" s="1" t="n">
        <v>45685</v>
      </c>
      <c r="C1127" s="1" t="n">
        <v>45796</v>
      </c>
      <c r="D1127" t="inlineStr">
        <is>
          <t>UPPSALA LÄN</t>
        </is>
      </c>
      <c r="E1127" t="inlineStr">
        <is>
          <t>TIERP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4343-2025</t>
        </is>
      </c>
      <c r="B1128" s="1" t="n">
        <v>45685</v>
      </c>
      <c r="C1128" s="1" t="n">
        <v>45796</v>
      </c>
      <c r="D1128" t="inlineStr">
        <is>
          <t>UPPSALA LÄN</t>
        </is>
      </c>
      <c r="E1128" t="inlineStr">
        <is>
          <t>TIERP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4524-2025</t>
        </is>
      </c>
      <c r="B1129" s="1" t="n">
        <v>45686</v>
      </c>
      <c r="C1129" s="1" t="n">
        <v>45796</v>
      </c>
      <c r="D1129" t="inlineStr">
        <is>
          <t>UPPSALA LÄN</t>
        </is>
      </c>
      <c r="E1129" t="inlineStr">
        <is>
          <t>TIERP</t>
        </is>
      </c>
      <c r="G1129" t="n">
        <v>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4483-2025</t>
        </is>
      </c>
      <c r="B1130" s="1" t="n">
        <v>45686</v>
      </c>
      <c r="C1130" s="1" t="n">
        <v>45796</v>
      </c>
      <c r="D1130" t="inlineStr">
        <is>
          <t>UPPSALA LÄN</t>
        </is>
      </c>
      <c r="E1130" t="inlineStr">
        <is>
          <t>TIERP</t>
        </is>
      </c>
      <c r="F1130" t="inlineStr">
        <is>
          <t>Bergvik skog öst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4447-2025</t>
        </is>
      </c>
      <c r="B1131" s="1" t="n">
        <v>45686</v>
      </c>
      <c r="C1131" s="1" t="n">
        <v>45796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öst AB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4690-2025</t>
        </is>
      </c>
      <c r="B1132" s="1" t="n">
        <v>45688</v>
      </c>
      <c r="C1132" s="1" t="n">
        <v>45796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5253-2025</t>
        </is>
      </c>
      <c r="B1133" s="1" t="n">
        <v>45692</v>
      </c>
      <c r="C1133" s="1" t="n">
        <v>45796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5577-2025</t>
        </is>
      </c>
      <c r="B1134" s="1" t="n">
        <v>45693</v>
      </c>
      <c r="C1134" s="1" t="n">
        <v>45796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väst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5786-2025</t>
        </is>
      </c>
      <c r="B1135" s="1" t="n">
        <v>45694</v>
      </c>
      <c r="C1135" s="1" t="n">
        <v>45796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öst AB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5791-2025</t>
        </is>
      </c>
      <c r="B1136" s="1" t="n">
        <v>45694</v>
      </c>
      <c r="C1136" s="1" t="n">
        <v>45796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öst AB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5854-2025</t>
        </is>
      </c>
      <c r="B1137" s="1" t="n">
        <v>45695</v>
      </c>
      <c r="C1137" s="1" t="n">
        <v>45796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öst AB</t>
        </is>
      </c>
      <c r="G1137" t="n">
        <v>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6888-2025</t>
        </is>
      </c>
      <c r="B1138" s="1" t="n">
        <v>45701</v>
      </c>
      <c r="C1138" s="1" t="n">
        <v>45796</v>
      </c>
      <c r="D1138" t="inlineStr">
        <is>
          <t>UPPSALA LÄN</t>
        </is>
      </c>
      <c r="E1138" t="inlineStr">
        <is>
          <t>TIERP</t>
        </is>
      </c>
      <c r="F1138" t="inlineStr">
        <is>
          <t>Bergvik skog väst AB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6889-2025</t>
        </is>
      </c>
      <c r="B1139" s="1" t="n">
        <v>45701</v>
      </c>
      <c r="C1139" s="1" t="n">
        <v>45796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väst AB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7519-2025</t>
        </is>
      </c>
      <c r="B1140" s="1" t="n">
        <v>45703</v>
      </c>
      <c r="C1140" s="1" t="n">
        <v>45796</v>
      </c>
      <c r="D1140" t="inlineStr">
        <is>
          <t>UPPSALA LÄN</t>
        </is>
      </c>
      <c r="E1140" t="inlineStr">
        <is>
          <t>TIERP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7374-2025</t>
        </is>
      </c>
      <c r="B1141" s="1" t="n">
        <v>45705</v>
      </c>
      <c r="C1141" s="1" t="n">
        <v>45796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väst AB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7375-2025</t>
        </is>
      </c>
      <c r="B1142" s="1" t="n">
        <v>45705</v>
      </c>
      <c r="C1142" s="1" t="n">
        <v>45796</v>
      </c>
      <c r="D1142" t="inlineStr">
        <is>
          <t>UPPSALA LÄN</t>
        </is>
      </c>
      <c r="E1142" t="inlineStr">
        <is>
          <t>TIERP</t>
        </is>
      </c>
      <c r="F1142" t="inlineStr">
        <is>
          <t>Bergvik skog väst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7732-2025</t>
        </is>
      </c>
      <c r="B1143" s="1" t="n">
        <v>45706</v>
      </c>
      <c r="C1143" s="1" t="n">
        <v>45796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öst AB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8027-2025</t>
        </is>
      </c>
      <c r="B1144" s="1" t="n">
        <v>45707</v>
      </c>
      <c r="C1144" s="1" t="n">
        <v>45796</v>
      </c>
      <c r="D1144" t="inlineStr">
        <is>
          <t>UPPSALA LÄN</t>
        </is>
      </c>
      <c r="E1144" t="inlineStr">
        <is>
          <t>TIERP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7955-2025</t>
        </is>
      </c>
      <c r="B1145" s="1" t="n">
        <v>45707</v>
      </c>
      <c r="C1145" s="1" t="n">
        <v>45796</v>
      </c>
      <c r="D1145" t="inlineStr">
        <is>
          <t>UPPSALA LÄN</t>
        </is>
      </c>
      <c r="E1145" t="inlineStr">
        <is>
          <t>TIERP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8396-2025</t>
        </is>
      </c>
      <c r="B1146" s="1" t="n">
        <v>45709</v>
      </c>
      <c r="C1146" s="1" t="n">
        <v>45796</v>
      </c>
      <c r="D1146" t="inlineStr">
        <is>
          <t>UPPSALA LÄN</t>
        </is>
      </c>
      <c r="E1146" t="inlineStr">
        <is>
          <t>TIERP</t>
        </is>
      </c>
      <c r="G1146" t="n">
        <v>6.1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8738-2025</t>
        </is>
      </c>
      <c r="B1147" s="1" t="n">
        <v>45712</v>
      </c>
      <c r="C1147" s="1" t="n">
        <v>45796</v>
      </c>
      <c r="D1147" t="inlineStr">
        <is>
          <t>UPPSALA LÄN</t>
        </is>
      </c>
      <c r="E1147" t="inlineStr">
        <is>
          <t>TIERP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8879-2025</t>
        </is>
      </c>
      <c r="B1148" s="1" t="n">
        <v>45713</v>
      </c>
      <c r="C1148" s="1" t="n">
        <v>45796</v>
      </c>
      <c r="D1148" t="inlineStr">
        <is>
          <t>UPPSALA LÄN</t>
        </is>
      </c>
      <c r="E1148" t="inlineStr">
        <is>
          <t>TIERP</t>
        </is>
      </c>
      <c r="F1148" t="inlineStr">
        <is>
          <t>Bergvik skog öst AB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9646-2025</t>
        </is>
      </c>
      <c r="B1149" s="1" t="n">
        <v>45715</v>
      </c>
      <c r="C1149" s="1" t="n">
        <v>45796</v>
      </c>
      <c r="D1149" t="inlineStr">
        <is>
          <t>UPPSALA LÄN</t>
        </is>
      </c>
      <c r="E1149" t="inlineStr">
        <is>
          <t>TIERP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9641-2025</t>
        </is>
      </c>
      <c r="B1150" s="1" t="n">
        <v>45715</v>
      </c>
      <c r="C1150" s="1" t="n">
        <v>45796</v>
      </c>
      <c r="D1150" t="inlineStr">
        <is>
          <t>UPPSALA LÄN</t>
        </is>
      </c>
      <c r="E1150" t="inlineStr">
        <is>
          <t>TIERP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9645-2025</t>
        </is>
      </c>
      <c r="B1151" s="1" t="n">
        <v>45715</v>
      </c>
      <c r="C1151" s="1" t="n">
        <v>45796</v>
      </c>
      <c r="D1151" t="inlineStr">
        <is>
          <t>UPPSALA LÄN</t>
        </is>
      </c>
      <c r="E1151" t="inlineStr">
        <is>
          <t>TIERP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9689-2025</t>
        </is>
      </c>
      <c r="B1152" s="1" t="n">
        <v>45716</v>
      </c>
      <c r="C1152" s="1" t="n">
        <v>45796</v>
      </c>
      <c r="D1152" t="inlineStr">
        <is>
          <t>UPPSALA LÄN</t>
        </is>
      </c>
      <c r="E1152" t="inlineStr">
        <is>
          <t>TIERP</t>
        </is>
      </c>
      <c r="F1152" t="inlineStr">
        <is>
          <t>Bergvik skog öst AB</t>
        </is>
      </c>
      <c r="G1152" t="n">
        <v>6.4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10227-2025</t>
        </is>
      </c>
      <c r="B1153" s="1" t="n">
        <v>45720</v>
      </c>
      <c r="C1153" s="1" t="n">
        <v>45796</v>
      </c>
      <c r="D1153" t="inlineStr">
        <is>
          <t>UPPSALA LÄN</t>
        </is>
      </c>
      <c r="E1153" t="inlineStr">
        <is>
          <t>TIERP</t>
        </is>
      </c>
      <c r="F1153" t="inlineStr">
        <is>
          <t>Bergvik skog väst AB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10524-2025</t>
        </is>
      </c>
      <c r="B1154" s="1" t="n">
        <v>45721</v>
      </c>
      <c r="C1154" s="1" t="n">
        <v>45796</v>
      </c>
      <c r="D1154" t="inlineStr">
        <is>
          <t>UPPSALA LÄN</t>
        </is>
      </c>
      <c r="E1154" t="inlineStr">
        <is>
          <t>TIERP</t>
        </is>
      </c>
      <c r="G1154" t="n">
        <v>11.6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10885-2025</t>
        </is>
      </c>
      <c r="B1155" s="1" t="n">
        <v>45722</v>
      </c>
      <c r="C1155" s="1" t="n">
        <v>45796</v>
      </c>
      <c r="D1155" t="inlineStr">
        <is>
          <t>UPPSALA LÄN</t>
        </is>
      </c>
      <c r="E1155" t="inlineStr">
        <is>
          <t>TIERP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10723-2025</t>
        </is>
      </c>
      <c r="B1156" s="1" t="n">
        <v>45722</v>
      </c>
      <c r="C1156" s="1" t="n">
        <v>45796</v>
      </c>
      <c r="D1156" t="inlineStr">
        <is>
          <t>UPPSALA LÄN</t>
        </is>
      </c>
      <c r="E1156" t="inlineStr">
        <is>
          <t>TIERP</t>
        </is>
      </c>
      <c r="F1156" t="inlineStr">
        <is>
          <t>Bergvik skog öst AB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11306-2025</t>
        </is>
      </c>
      <c r="B1157" s="1" t="n">
        <v>45726</v>
      </c>
      <c r="C1157" s="1" t="n">
        <v>45796</v>
      </c>
      <c r="D1157" t="inlineStr">
        <is>
          <t>UPPSALA LÄN</t>
        </is>
      </c>
      <c r="E1157" t="inlineStr">
        <is>
          <t>TIERP</t>
        </is>
      </c>
      <c r="F1157" t="inlineStr">
        <is>
          <t>Bergvik skog öst AB</t>
        </is>
      </c>
      <c r="G1157" t="n">
        <v>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11302-2025</t>
        </is>
      </c>
      <c r="B1158" s="1" t="n">
        <v>45726</v>
      </c>
      <c r="C1158" s="1" t="n">
        <v>45796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11308-2025</t>
        </is>
      </c>
      <c r="B1159" s="1" t="n">
        <v>45726</v>
      </c>
      <c r="C1159" s="1" t="n">
        <v>45796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13.5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11610-2025</t>
        </is>
      </c>
      <c r="B1160" s="1" t="n">
        <v>45727</v>
      </c>
      <c r="C1160" s="1" t="n">
        <v>45796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väst AB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11528-2025</t>
        </is>
      </c>
      <c r="B1161" s="1" t="n">
        <v>45727</v>
      </c>
      <c r="C1161" s="1" t="n">
        <v>45796</v>
      </c>
      <c r="D1161" t="inlineStr">
        <is>
          <t>UPPSALA LÄN</t>
        </is>
      </c>
      <c r="E1161" t="inlineStr">
        <is>
          <t>TIERP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11572-2025</t>
        </is>
      </c>
      <c r="B1162" s="1" t="n">
        <v>45727</v>
      </c>
      <c r="C1162" s="1" t="n">
        <v>45796</v>
      </c>
      <c r="D1162" t="inlineStr">
        <is>
          <t>UPPSALA LÄN</t>
        </is>
      </c>
      <c r="E1162" t="inlineStr">
        <is>
          <t>TIERP</t>
        </is>
      </c>
      <c r="F1162" t="inlineStr">
        <is>
          <t>Bergvik skog öst AB</t>
        </is>
      </c>
      <c r="G1162" t="n">
        <v>9.800000000000001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11568-2025</t>
        </is>
      </c>
      <c r="B1163" s="1" t="n">
        <v>45727</v>
      </c>
      <c r="C1163" s="1" t="n">
        <v>45796</v>
      </c>
      <c r="D1163" t="inlineStr">
        <is>
          <t>UPPSALA LÄN</t>
        </is>
      </c>
      <c r="E1163" t="inlineStr">
        <is>
          <t>TIERP</t>
        </is>
      </c>
      <c r="F1163" t="inlineStr">
        <is>
          <t>Bergvik skog öst AB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11570-2025</t>
        </is>
      </c>
      <c r="B1164" s="1" t="n">
        <v>45727</v>
      </c>
      <c r="C1164" s="1" t="n">
        <v>45796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11961-2025</t>
        </is>
      </c>
      <c r="B1165" s="1" t="n">
        <v>45728</v>
      </c>
      <c r="C1165" s="1" t="n">
        <v>45796</v>
      </c>
      <c r="D1165" t="inlineStr">
        <is>
          <t>UPPSALA LÄN</t>
        </is>
      </c>
      <c r="E1165" t="inlineStr">
        <is>
          <t>TIERP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12809-2025</t>
        </is>
      </c>
      <c r="B1166" s="1" t="n">
        <v>45733</v>
      </c>
      <c r="C1166" s="1" t="n">
        <v>45796</v>
      </c>
      <c r="D1166" t="inlineStr">
        <is>
          <t>UPPSALA LÄN</t>
        </is>
      </c>
      <c r="E1166" t="inlineStr">
        <is>
          <t>TIERP</t>
        </is>
      </c>
      <c r="F1166" t="inlineStr">
        <is>
          <t>Bergvik skog väst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12845-2025</t>
        </is>
      </c>
      <c r="B1167" s="1" t="n">
        <v>45733</v>
      </c>
      <c r="C1167" s="1" t="n">
        <v>45796</v>
      </c>
      <c r="D1167" t="inlineStr">
        <is>
          <t>UPPSALA LÄN</t>
        </is>
      </c>
      <c r="E1167" t="inlineStr">
        <is>
          <t>TIERP</t>
        </is>
      </c>
      <c r="F1167" t="inlineStr">
        <is>
          <t>Bergvik skog öst AB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12861-2025</t>
        </is>
      </c>
      <c r="B1168" s="1" t="n">
        <v>45733</v>
      </c>
      <c r="C1168" s="1" t="n">
        <v>45796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väst AB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12647-2025</t>
        </is>
      </c>
      <c r="B1169" s="1" t="n">
        <v>45733</v>
      </c>
      <c r="C1169" s="1" t="n">
        <v>45796</v>
      </c>
      <c r="D1169" t="inlineStr">
        <is>
          <t>UPPSALA LÄN</t>
        </is>
      </c>
      <c r="E1169" t="inlineStr">
        <is>
          <t>TIERP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12657-2025</t>
        </is>
      </c>
      <c r="B1170" s="1" t="n">
        <v>45733</v>
      </c>
      <c r="C1170" s="1" t="n">
        <v>45796</v>
      </c>
      <c r="D1170" t="inlineStr">
        <is>
          <t>UPPSALA LÄN</t>
        </is>
      </c>
      <c r="E1170" t="inlineStr">
        <is>
          <t>TIERP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12695-2025</t>
        </is>
      </c>
      <c r="B1171" s="1" t="n">
        <v>45733</v>
      </c>
      <c r="C1171" s="1" t="n">
        <v>45796</v>
      </c>
      <c r="D1171" t="inlineStr">
        <is>
          <t>UPPSALA LÄN</t>
        </is>
      </c>
      <c r="E1171" t="inlineStr">
        <is>
          <t>TIERP</t>
        </is>
      </c>
      <c r="F1171" t="inlineStr">
        <is>
          <t>Bergvik skog väst AB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12852-2025</t>
        </is>
      </c>
      <c r="B1172" s="1" t="n">
        <v>45733</v>
      </c>
      <c r="C1172" s="1" t="n">
        <v>45796</v>
      </c>
      <c r="D1172" t="inlineStr">
        <is>
          <t>UPPSALA LÄN</t>
        </is>
      </c>
      <c r="E1172" t="inlineStr">
        <is>
          <t>TIERP</t>
        </is>
      </c>
      <c r="F1172" t="inlineStr">
        <is>
          <t>Bergvik skog öst AB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12857-2025</t>
        </is>
      </c>
      <c r="B1173" s="1" t="n">
        <v>45733</v>
      </c>
      <c r="C1173" s="1" t="n">
        <v>45796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12662-2025</t>
        </is>
      </c>
      <c r="B1174" s="1" t="n">
        <v>45733</v>
      </c>
      <c r="C1174" s="1" t="n">
        <v>45796</v>
      </c>
      <c r="D1174" t="inlineStr">
        <is>
          <t>UPPSALA LÄN</t>
        </is>
      </c>
      <c r="E1174" t="inlineStr">
        <is>
          <t>TIERP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13214-2025</t>
        </is>
      </c>
      <c r="B1175" s="1" t="n">
        <v>45735</v>
      </c>
      <c r="C1175" s="1" t="n">
        <v>45796</v>
      </c>
      <c r="D1175" t="inlineStr">
        <is>
          <t>UPPSALA LÄN</t>
        </is>
      </c>
      <c r="E1175" t="inlineStr">
        <is>
          <t>TIERP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13240-2025</t>
        </is>
      </c>
      <c r="B1176" s="1" t="n">
        <v>45735</v>
      </c>
      <c r="C1176" s="1" t="n">
        <v>45796</v>
      </c>
      <c r="D1176" t="inlineStr">
        <is>
          <t>UPPSALA LÄN</t>
        </is>
      </c>
      <c r="E1176" t="inlineStr">
        <is>
          <t>TIERP</t>
        </is>
      </c>
      <c r="F1176" t="inlineStr">
        <is>
          <t>Bergvik skog väst AB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13206-2025</t>
        </is>
      </c>
      <c r="B1177" s="1" t="n">
        <v>45735</v>
      </c>
      <c r="C1177" s="1" t="n">
        <v>45796</v>
      </c>
      <c r="D1177" t="inlineStr">
        <is>
          <t>UPPSALA LÄN</t>
        </is>
      </c>
      <c r="E1177" t="inlineStr">
        <is>
          <t>TIERP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13230-2025</t>
        </is>
      </c>
      <c r="B1178" s="1" t="n">
        <v>45735</v>
      </c>
      <c r="C1178" s="1" t="n">
        <v>45796</v>
      </c>
      <c r="D1178" t="inlineStr">
        <is>
          <t>UPPSALA LÄN</t>
        </is>
      </c>
      <c r="E1178" t="inlineStr">
        <is>
          <t>TIERP</t>
        </is>
      </c>
      <c r="F1178" t="inlineStr">
        <is>
          <t>Bergvik skog väst AB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13226-2025</t>
        </is>
      </c>
      <c r="B1179" s="1" t="n">
        <v>45735</v>
      </c>
      <c r="C1179" s="1" t="n">
        <v>45796</v>
      </c>
      <c r="D1179" t="inlineStr">
        <is>
          <t>UPPSALA LÄN</t>
        </is>
      </c>
      <c r="E1179" t="inlineStr">
        <is>
          <t>TIERP</t>
        </is>
      </c>
      <c r="F1179" t="inlineStr">
        <is>
          <t>Bergvik skog väst AB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13484-2025</t>
        </is>
      </c>
      <c r="B1180" s="1" t="n">
        <v>45736</v>
      </c>
      <c r="C1180" s="1" t="n">
        <v>45796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öst AB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13509-2025</t>
        </is>
      </c>
      <c r="B1181" s="1" t="n">
        <v>45736</v>
      </c>
      <c r="C1181" s="1" t="n">
        <v>45796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väst AB</t>
        </is>
      </c>
      <c r="G1181" t="n">
        <v>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13456-2025</t>
        </is>
      </c>
      <c r="B1182" s="1" t="n">
        <v>45736</v>
      </c>
      <c r="C1182" s="1" t="n">
        <v>45796</v>
      </c>
      <c r="D1182" t="inlineStr">
        <is>
          <t>UPPSALA LÄN</t>
        </is>
      </c>
      <c r="E1182" t="inlineStr">
        <is>
          <t>TIERP</t>
        </is>
      </c>
      <c r="G1182" t="n">
        <v>5.7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14207-2025</t>
        </is>
      </c>
      <c r="B1183" s="1" t="n">
        <v>45740</v>
      </c>
      <c r="C1183" s="1" t="n">
        <v>45796</v>
      </c>
      <c r="D1183" t="inlineStr">
        <is>
          <t>UPPSALA LÄN</t>
        </is>
      </c>
      <c r="E1183" t="inlineStr">
        <is>
          <t>TIERP</t>
        </is>
      </c>
      <c r="F1183" t="inlineStr">
        <is>
          <t>Bergvik skog öst AB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14430-2025</t>
        </is>
      </c>
      <c r="B1184" s="1" t="n">
        <v>45741</v>
      </c>
      <c r="C1184" s="1" t="n">
        <v>45796</v>
      </c>
      <c r="D1184" t="inlineStr">
        <is>
          <t>UPPSALA LÄN</t>
        </is>
      </c>
      <c r="E1184" t="inlineStr">
        <is>
          <t>TIERP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14527-2025</t>
        </is>
      </c>
      <c r="B1185" s="1" t="n">
        <v>45741</v>
      </c>
      <c r="C1185" s="1" t="n">
        <v>45796</v>
      </c>
      <c r="D1185" t="inlineStr">
        <is>
          <t>UPPSALA LÄN</t>
        </is>
      </c>
      <c r="E1185" t="inlineStr">
        <is>
          <t>TIERP</t>
        </is>
      </c>
      <c r="F1185" t="inlineStr">
        <is>
          <t>Bergvik skog väst AB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14516-2025</t>
        </is>
      </c>
      <c r="B1186" s="1" t="n">
        <v>45741</v>
      </c>
      <c r="C1186" s="1" t="n">
        <v>45796</v>
      </c>
      <c r="D1186" t="inlineStr">
        <is>
          <t>UPPSALA LÄN</t>
        </is>
      </c>
      <c r="E1186" t="inlineStr">
        <is>
          <t>TIERP</t>
        </is>
      </c>
      <c r="F1186" t="inlineStr">
        <is>
          <t>Bergvik skog väst AB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14772-2025</t>
        </is>
      </c>
      <c r="B1187" s="1" t="n">
        <v>45742</v>
      </c>
      <c r="C1187" s="1" t="n">
        <v>45796</v>
      </c>
      <c r="D1187" t="inlineStr">
        <is>
          <t>UPPSALA LÄN</t>
        </is>
      </c>
      <c r="E1187" t="inlineStr">
        <is>
          <t>TIERP</t>
        </is>
      </c>
      <c r="G1187" t="n">
        <v>4.6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15540-2025</t>
        </is>
      </c>
      <c r="B1188" s="1" t="n">
        <v>45747</v>
      </c>
      <c r="C1188" s="1" t="n">
        <v>45796</v>
      </c>
      <c r="D1188" t="inlineStr">
        <is>
          <t>UPPSALA LÄN</t>
        </is>
      </c>
      <c r="E1188" t="inlineStr">
        <is>
          <t>TIERP</t>
        </is>
      </c>
      <c r="F1188" t="inlineStr">
        <is>
          <t>Bergvik skog väst AB</t>
        </is>
      </c>
      <c r="G1188" t="n">
        <v>36.1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15504-2025</t>
        </is>
      </c>
      <c r="B1189" s="1" t="n">
        <v>45747</v>
      </c>
      <c r="C1189" s="1" t="n">
        <v>45796</v>
      </c>
      <c r="D1189" t="inlineStr">
        <is>
          <t>UPPSALA LÄN</t>
        </is>
      </c>
      <c r="E1189" t="inlineStr">
        <is>
          <t>TIERP</t>
        </is>
      </c>
      <c r="F1189" t="inlineStr">
        <is>
          <t>Bergvik skog väst AB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15662-2025</t>
        </is>
      </c>
      <c r="B1190" s="1" t="n">
        <v>45748</v>
      </c>
      <c r="C1190" s="1" t="n">
        <v>45796</v>
      </c>
      <c r="D1190" t="inlineStr">
        <is>
          <t>UPPSALA LÄN</t>
        </is>
      </c>
      <c r="E1190" t="inlineStr">
        <is>
          <t>TIERP</t>
        </is>
      </c>
      <c r="F1190" t="inlineStr">
        <is>
          <t>Kyrkan</t>
        </is>
      </c>
      <c r="G1190" t="n">
        <v>5.4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15793-2025</t>
        </is>
      </c>
      <c r="B1191" s="1" t="n">
        <v>45748</v>
      </c>
      <c r="C1191" s="1" t="n">
        <v>45796</v>
      </c>
      <c r="D1191" t="inlineStr">
        <is>
          <t>UPPSALA LÄN</t>
        </is>
      </c>
      <c r="E1191" t="inlineStr">
        <is>
          <t>TIERP</t>
        </is>
      </c>
      <c r="G1191" t="n">
        <v>8.300000000000001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16062-2025</t>
        </is>
      </c>
      <c r="B1192" s="1" t="n">
        <v>45749</v>
      </c>
      <c r="C1192" s="1" t="n">
        <v>45796</v>
      </c>
      <c r="D1192" t="inlineStr">
        <is>
          <t>UPPSALA LÄN</t>
        </is>
      </c>
      <c r="E1192" t="inlineStr">
        <is>
          <t>TIERP</t>
        </is>
      </c>
      <c r="F1192" t="inlineStr">
        <is>
          <t>Bergvik skog väst AB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16255-2025</t>
        </is>
      </c>
      <c r="B1193" s="1" t="n">
        <v>45750</v>
      </c>
      <c r="C1193" s="1" t="n">
        <v>45796</v>
      </c>
      <c r="D1193" t="inlineStr">
        <is>
          <t>UPPSALA LÄN</t>
        </is>
      </c>
      <c r="E1193" t="inlineStr">
        <is>
          <t>TIERP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16157-2025</t>
        </is>
      </c>
      <c r="B1194" s="1" t="n">
        <v>45750</v>
      </c>
      <c r="C1194" s="1" t="n">
        <v>45796</v>
      </c>
      <c r="D1194" t="inlineStr">
        <is>
          <t>UPPSALA LÄN</t>
        </is>
      </c>
      <c r="E1194" t="inlineStr">
        <is>
          <t>TIERP</t>
        </is>
      </c>
      <c r="F1194" t="inlineStr">
        <is>
          <t>Bergvik skog öst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16177-2025</t>
        </is>
      </c>
      <c r="B1195" s="1" t="n">
        <v>45750</v>
      </c>
      <c r="C1195" s="1" t="n">
        <v>45796</v>
      </c>
      <c r="D1195" t="inlineStr">
        <is>
          <t>UPPSALA LÄN</t>
        </is>
      </c>
      <c r="E1195" t="inlineStr">
        <is>
          <t>TIERP</t>
        </is>
      </c>
      <c r="F1195" t="inlineStr">
        <is>
          <t>Bergvik skog öst AB</t>
        </is>
      </c>
      <c r="G1195" t="n">
        <v>9.5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16512-2025</t>
        </is>
      </c>
      <c r="B1196" s="1" t="n">
        <v>45751</v>
      </c>
      <c r="C1196" s="1" t="n">
        <v>45796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väst AB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16484-2025</t>
        </is>
      </c>
      <c r="B1197" s="1" t="n">
        <v>45751</v>
      </c>
      <c r="C1197" s="1" t="n">
        <v>45796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väst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16516-2025</t>
        </is>
      </c>
      <c r="B1198" s="1" t="n">
        <v>45751</v>
      </c>
      <c r="C1198" s="1" t="n">
        <v>45796</v>
      </c>
      <c r="D1198" t="inlineStr">
        <is>
          <t>UPPSALA LÄN</t>
        </is>
      </c>
      <c r="E1198" t="inlineStr">
        <is>
          <t>TIERP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16494-2025</t>
        </is>
      </c>
      <c r="B1199" s="1" t="n">
        <v>45751</v>
      </c>
      <c r="C1199" s="1" t="n">
        <v>45796</v>
      </c>
      <c r="D1199" t="inlineStr">
        <is>
          <t>UPPSALA LÄN</t>
        </is>
      </c>
      <c r="E1199" t="inlineStr">
        <is>
          <t>TIERP</t>
        </is>
      </c>
      <c r="F1199" t="inlineStr">
        <is>
          <t>Bergvik skog väst AB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16851-2025</t>
        </is>
      </c>
      <c r="B1200" s="1" t="n">
        <v>45754</v>
      </c>
      <c r="C1200" s="1" t="n">
        <v>45796</v>
      </c>
      <c r="D1200" t="inlineStr">
        <is>
          <t>UPPSALA LÄN</t>
        </is>
      </c>
      <c r="E1200" t="inlineStr">
        <is>
          <t>TIERP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16852-2025</t>
        </is>
      </c>
      <c r="B1201" s="1" t="n">
        <v>45754</v>
      </c>
      <c r="C1201" s="1" t="n">
        <v>45796</v>
      </c>
      <c r="D1201" t="inlineStr">
        <is>
          <t>UPPSALA LÄN</t>
        </is>
      </c>
      <c r="E1201" t="inlineStr">
        <is>
          <t>TIERP</t>
        </is>
      </c>
      <c r="G1201" t="n">
        <v>5.2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16802-2025</t>
        </is>
      </c>
      <c r="B1202" s="1" t="n">
        <v>45754</v>
      </c>
      <c r="C1202" s="1" t="n">
        <v>45796</v>
      </c>
      <c r="D1202" t="inlineStr">
        <is>
          <t>UPPSALA LÄN</t>
        </is>
      </c>
      <c r="E1202" t="inlineStr">
        <is>
          <t>TIERP</t>
        </is>
      </c>
      <c r="F1202" t="inlineStr">
        <is>
          <t>Bergvik skog väst AB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17150-2025</t>
        </is>
      </c>
      <c r="B1203" s="1" t="n">
        <v>45756</v>
      </c>
      <c r="C1203" s="1" t="n">
        <v>45796</v>
      </c>
      <c r="D1203" t="inlineStr">
        <is>
          <t>UPPSALA LÄN</t>
        </is>
      </c>
      <c r="E1203" t="inlineStr">
        <is>
          <t>TIERP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17465-2025</t>
        </is>
      </c>
      <c r="B1204" s="1" t="n">
        <v>45757</v>
      </c>
      <c r="C1204" s="1" t="n">
        <v>45796</v>
      </c>
      <c r="D1204" t="inlineStr">
        <is>
          <t>UPPSALA LÄN</t>
        </is>
      </c>
      <c r="E1204" t="inlineStr">
        <is>
          <t>TIERP</t>
        </is>
      </c>
      <c r="F1204" t="inlineStr">
        <is>
          <t>Bergvik skog väst AB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17449-2025</t>
        </is>
      </c>
      <c r="B1205" s="1" t="n">
        <v>45757</v>
      </c>
      <c r="C1205" s="1" t="n">
        <v>45796</v>
      </c>
      <c r="D1205" t="inlineStr">
        <is>
          <t>UPPSALA LÄN</t>
        </is>
      </c>
      <c r="E1205" t="inlineStr">
        <is>
          <t>TIERP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17454-2025</t>
        </is>
      </c>
      <c r="B1206" s="1" t="n">
        <v>45757</v>
      </c>
      <c r="C1206" s="1" t="n">
        <v>45796</v>
      </c>
      <c r="D1206" t="inlineStr">
        <is>
          <t>UPPSALA LÄN</t>
        </is>
      </c>
      <c r="E1206" t="inlineStr">
        <is>
          <t>TIERP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17457-2025</t>
        </is>
      </c>
      <c r="B1207" s="1" t="n">
        <v>45757</v>
      </c>
      <c r="C1207" s="1" t="n">
        <v>45796</v>
      </c>
      <c r="D1207" t="inlineStr">
        <is>
          <t>UPPSALA LÄN</t>
        </is>
      </c>
      <c r="E1207" t="inlineStr">
        <is>
          <t>TIERP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17438-2025</t>
        </is>
      </c>
      <c r="B1208" s="1" t="n">
        <v>45757</v>
      </c>
      <c r="C1208" s="1" t="n">
        <v>45796</v>
      </c>
      <c r="D1208" t="inlineStr">
        <is>
          <t>UPPSALA LÄN</t>
        </is>
      </c>
      <c r="E1208" t="inlineStr">
        <is>
          <t>TIERP</t>
        </is>
      </c>
      <c r="F1208" t="inlineStr">
        <is>
          <t>Bergvik skog öst AB</t>
        </is>
      </c>
      <c r="G1208" t="n">
        <v>8.5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17412-2025</t>
        </is>
      </c>
      <c r="B1209" s="1" t="n">
        <v>45757</v>
      </c>
      <c r="C1209" s="1" t="n">
        <v>45796</v>
      </c>
      <c r="D1209" t="inlineStr">
        <is>
          <t>UPPSALA LÄN</t>
        </is>
      </c>
      <c r="E1209" t="inlineStr">
        <is>
          <t>TIERP</t>
        </is>
      </c>
      <c r="F1209" t="inlineStr">
        <is>
          <t>Bergvik skog öst AB</t>
        </is>
      </c>
      <c r="G1209" t="n">
        <v>14.1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17575-2025</t>
        </is>
      </c>
      <c r="B1210" s="1" t="n">
        <v>45757</v>
      </c>
      <c r="C1210" s="1" t="n">
        <v>45796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öst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17448-2025</t>
        </is>
      </c>
      <c r="B1211" s="1" t="n">
        <v>45757</v>
      </c>
      <c r="C1211" s="1" t="n">
        <v>45796</v>
      </c>
      <c r="D1211" t="inlineStr">
        <is>
          <t>UPPSALA LÄN</t>
        </is>
      </c>
      <c r="E1211" t="inlineStr">
        <is>
          <t>TIERP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17579-2025</t>
        </is>
      </c>
      <c r="B1212" s="1" t="n">
        <v>45757</v>
      </c>
      <c r="C1212" s="1" t="n">
        <v>45796</v>
      </c>
      <c r="D1212" t="inlineStr">
        <is>
          <t>UPPSALA LÄN</t>
        </is>
      </c>
      <c r="E1212" t="inlineStr">
        <is>
          <t>TIERP</t>
        </is>
      </c>
      <c r="F1212" t="inlineStr">
        <is>
          <t>Bergvik skog öst AB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17642-2025</t>
        </is>
      </c>
      <c r="B1213" s="1" t="n">
        <v>45758</v>
      </c>
      <c r="C1213" s="1" t="n">
        <v>45796</v>
      </c>
      <c r="D1213" t="inlineStr">
        <is>
          <t>UPPSALA LÄN</t>
        </is>
      </c>
      <c r="E1213" t="inlineStr">
        <is>
          <t>TIERP</t>
        </is>
      </c>
      <c r="F1213" t="inlineStr">
        <is>
          <t>Bergvik skog väst AB</t>
        </is>
      </c>
      <c r="G1213" t="n">
        <v>5.4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18110-2025</t>
        </is>
      </c>
      <c r="B1214" s="1" t="n">
        <v>45761</v>
      </c>
      <c r="C1214" s="1" t="n">
        <v>45796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väst AB</t>
        </is>
      </c>
      <c r="G1214" t="n">
        <v>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18060-2025</t>
        </is>
      </c>
      <c r="B1215" s="1" t="n">
        <v>45761</v>
      </c>
      <c r="C1215" s="1" t="n">
        <v>45796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väst AB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18368-2025</t>
        </is>
      </c>
      <c r="B1216" s="1" t="n">
        <v>45762</v>
      </c>
      <c r="C1216" s="1" t="n">
        <v>45796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öst AB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18412-2025</t>
        </is>
      </c>
      <c r="B1217" s="1" t="n">
        <v>45762</v>
      </c>
      <c r="C1217" s="1" t="n">
        <v>45796</v>
      </c>
      <c r="D1217" t="inlineStr">
        <is>
          <t>UPPSALA LÄN</t>
        </is>
      </c>
      <c r="E1217" t="inlineStr">
        <is>
          <t>TIERP</t>
        </is>
      </c>
      <c r="F1217" t="inlineStr">
        <is>
          <t>Bergvik skog öst AB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18378-2025</t>
        </is>
      </c>
      <c r="B1218" s="1" t="n">
        <v>45762</v>
      </c>
      <c r="C1218" s="1" t="n">
        <v>45796</v>
      </c>
      <c r="D1218" t="inlineStr">
        <is>
          <t>UPPSALA LÄN</t>
        </is>
      </c>
      <c r="E1218" t="inlineStr">
        <is>
          <t>TIERP</t>
        </is>
      </c>
      <c r="F1218" t="inlineStr">
        <is>
          <t>Bergvik skog öst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18423-2025</t>
        </is>
      </c>
      <c r="B1219" s="1" t="n">
        <v>45762</v>
      </c>
      <c r="C1219" s="1" t="n">
        <v>45796</v>
      </c>
      <c r="D1219" t="inlineStr">
        <is>
          <t>UPPSALA LÄN</t>
        </is>
      </c>
      <c r="E1219" t="inlineStr">
        <is>
          <t>TIERP</t>
        </is>
      </c>
      <c r="F1219" t="inlineStr">
        <is>
          <t>Bergvik skog öst AB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18734-2025</t>
        </is>
      </c>
      <c r="B1220" s="1" t="n">
        <v>45763</v>
      </c>
      <c r="C1220" s="1" t="n">
        <v>45796</v>
      </c>
      <c r="D1220" t="inlineStr">
        <is>
          <t>UPPSALA LÄN</t>
        </is>
      </c>
      <c r="E1220" t="inlineStr">
        <is>
          <t>TIERP</t>
        </is>
      </c>
      <c r="F1220" t="inlineStr">
        <is>
          <t>Kyrkan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18526-2025</t>
        </is>
      </c>
      <c r="B1221" s="1" t="n">
        <v>45763</v>
      </c>
      <c r="C1221" s="1" t="n">
        <v>45796</v>
      </c>
      <c r="D1221" t="inlineStr">
        <is>
          <t>UPPSALA LÄN</t>
        </is>
      </c>
      <c r="E1221" t="inlineStr">
        <is>
          <t>TIERP</t>
        </is>
      </c>
      <c r="G1221" t="n">
        <v>4.2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18516-2025</t>
        </is>
      </c>
      <c r="B1222" s="1" t="n">
        <v>45763</v>
      </c>
      <c r="C1222" s="1" t="n">
        <v>45796</v>
      </c>
      <c r="D1222" t="inlineStr">
        <is>
          <t>UPPSALA LÄN</t>
        </is>
      </c>
      <c r="E1222" t="inlineStr">
        <is>
          <t>TIERP</t>
        </is>
      </c>
      <c r="F1222" t="inlineStr">
        <is>
          <t>Bergvik skog öst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18544-2025</t>
        </is>
      </c>
      <c r="B1223" s="1" t="n">
        <v>45763</v>
      </c>
      <c r="C1223" s="1" t="n">
        <v>45796</v>
      </c>
      <c r="D1223" t="inlineStr">
        <is>
          <t>UPPSALA LÄN</t>
        </is>
      </c>
      <c r="E1223" t="inlineStr">
        <is>
          <t>TIERP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18928-2025</t>
        </is>
      </c>
      <c r="B1224" s="1" t="n">
        <v>45764</v>
      </c>
      <c r="C1224" s="1" t="n">
        <v>45796</v>
      </c>
      <c r="D1224" t="inlineStr">
        <is>
          <t>UPPSALA LÄN</t>
        </is>
      </c>
      <c r="E1224" t="inlineStr">
        <is>
          <t>TIERP</t>
        </is>
      </c>
      <c r="F1224" t="inlineStr">
        <is>
          <t>Bergvik skog öst AB</t>
        </is>
      </c>
      <c r="G1224" t="n">
        <v>8.800000000000001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19026-2025</t>
        </is>
      </c>
      <c r="B1225" s="1" t="n">
        <v>45764</v>
      </c>
      <c r="C1225" s="1" t="n">
        <v>45796</v>
      </c>
      <c r="D1225" t="inlineStr">
        <is>
          <t>UPPSALA LÄN</t>
        </is>
      </c>
      <c r="E1225" t="inlineStr">
        <is>
          <t>TIERP</t>
        </is>
      </c>
      <c r="F1225" t="inlineStr">
        <is>
          <t>Bergvik skog öst AB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18885-2025</t>
        </is>
      </c>
      <c r="B1226" s="1" t="n">
        <v>45764</v>
      </c>
      <c r="C1226" s="1" t="n">
        <v>45796</v>
      </c>
      <c r="D1226" t="inlineStr">
        <is>
          <t>UPPSALA LÄN</t>
        </is>
      </c>
      <c r="E1226" t="inlineStr">
        <is>
          <t>TIERP</t>
        </is>
      </c>
      <c r="F1226" t="inlineStr">
        <is>
          <t>Bergvik skog öst AB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19380-2025</t>
        </is>
      </c>
      <c r="B1227" s="1" t="n">
        <v>45769</v>
      </c>
      <c r="C1227" s="1" t="n">
        <v>45796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19138-2025</t>
        </is>
      </c>
      <c r="B1228" s="1" t="n">
        <v>45769</v>
      </c>
      <c r="C1228" s="1" t="n">
        <v>45796</v>
      </c>
      <c r="D1228" t="inlineStr">
        <is>
          <t>UPPSALA LÄN</t>
        </is>
      </c>
      <c r="E1228" t="inlineStr">
        <is>
          <t>TIERP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19339-2025</t>
        </is>
      </c>
      <c r="B1229" s="1" t="n">
        <v>45769</v>
      </c>
      <c r="C1229" s="1" t="n">
        <v>45796</v>
      </c>
      <c r="D1229" t="inlineStr">
        <is>
          <t>UPPSALA LÄN</t>
        </is>
      </c>
      <c r="E1229" t="inlineStr">
        <is>
          <t>TIERP</t>
        </is>
      </c>
      <c r="F1229" t="inlineStr">
        <is>
          <t>Bergvik skog öst AB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19523-2025</t>
        </is>
      </c>
      <c r="B1230" s="1" t="n">
        <v>45770</v>
      </c>
      <c r="C1230" s="1" t="n">
        <v>45796</v>
      </c>
      <c r="D1230" t="inlineStr">
        <is>
          <t>UPPSALA LÄN</t>
        </is>
      </c>
      <c r="E1230" t="inlineStr">
        <is>
          <t>TIERP</t>
        </is>
      </c>
      <c r="F1230" t="inlineStr">
        <is>
          <t>Bergvik skog öst AB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19522-2025</t>
        </is>
      </c>
      <c r="B1231" s="1" t="n">
        <v>45770</v>
      </c>
      <c r="C1231" s="1" t="n">
        <v>45796</v>
      </c>
      <c r="D1231" t="inlineStr">
        <is>
          <t>UPPSALA LÄN</t>
        </is>
      </c>
      <c r="E1231" t="inlineStr">
        <is>
          <t>TIERP</t>
        </is>
      </c>
      <c r="F1231" t="inlineStr">
        <is>
          <t>Bergvik skog öst AB</t>
        </is>
      </c>
      <c r="G1231" t="n">
        <v>7.9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19554-2025</t>
        </is>
      </c>
      <c r="B1232" s="1" t="n">
        <v>45770</v>
      </c>
      <c r="C1232" s="1" t="n">
        <v>45796</v>
      </c>
      <c r="D1232" t="inlineStr">
        <is>
          <t>UPPSALA LÄN</t>
        </is>
      </c>
      <c r="E1232" t="inlineStr">
        <is>
          <t>TIERP</t>
        </is>
      </c>
      <c r="F1232" t="inlineStr">
        <is>
          <t>Bergvik skog öst AB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20055-2025</t>
        </is>
      </c>
      <c r="B1233" s="1" t="n">
        <v>45772</v>
      </c>
      <c r="C1233" s="1" t="n">
        <v>45796</v>
      </c>
      <c r="D1233" t="inlineStr">
        <is>
          <t>UPPSALA LÄN</t>
        </is>
      </c>
      <c r="E1233" t="inlineStr">
        <is>
          <t>TIERP</t>
        </is>
      </c>
      <c r="F1233" t="inlineStr">
        <is>
          <t>Bergvik skog öst AB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20180-2025</t>
        </is>
      </c>
      <c r="B1234" s="1" t="n">
        <v>45772</v>
      </c>
      <c r="C1234" s="1" t="n">
        <v>45796</v>
      </c>
      <c r="D1234" t="inlineStr">
        <is>
          <t>UPPSALA LÄN</t>
        </is>
      </c>
      <c r="E1234" t="inlineStr">
        <is>
          <t>TIERP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20021-2025</t>
        </is>
      </c>
      <c r="B1235" s="1" t="n">
        <v>45772</v>
      </c>
      <c r="C1235" s="1" t="n">
        <v>45796</v>
      </c>
      <c r="D1235" t="inlineStr">
        <is>
          <t>UPPSALA LÄN</t>
        </is>
      </c>
      <c r="E1235" t="inlineStr">
        <is>
          <t>TIERP</t>
        </is>
      </c>
      <c r="F1235" t="inlineStr">
        <is>
          <t>Kyrkan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20190-2025</t>
        </is>
      </c>
      <c r="B1236" s="1" t="n">
        <v>45772</v>
      </c>
      <c r="C1236" s="1" t="n">
        <v>45796</v>
      </c>
      <c r="D1236" t="inlineStr">
        <is>
          <t>UPPSALA LÄN</t>
        </is>
      </c>
      <c r="E1236" t="inlineStr">
        <is>
          <t>TIERP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20552-2025</t>
        </is>
      </c>
      <c r="B1237" s="1" t="n">
        <v>45775</v>
      </c>
      <c r="C1237" s="1" t="n">
        <v>45796</v>
      </c>
      <c r="D1237" t="inlineStr">
        <is>
          <t>UPPSALA LÄN</t>
        </is>
      </c>
      <c r="E1237" t="inlineStr">
        <is>
          <t>TIERP</t>
        </is>
      </c>
      <c r="F1237" t="inlineStr">
        <is>
          <t>Bergvik skog öst AB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20317-2025</t>
        </is>
      </c>
      <c r="B1238" s="1" t="n">
        <v>45775</v>
      </c>
      <c r="C1238" s="1" t="n">
        <v>45796</v>
      </c>
      <c r="D1238" t="inlineStr">
        <is>
          <t>UPPSALA LÄN</t>
        </is>
      </c>
      <c r="E1238" t="inlineStr">
        <is>
          <t>TIERP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20641-2025</t>
        </is>
      </c>
      <c r="B1239" s="1" t="n">
        <v>45776</v>
      </c>
      <c r="C1239" s="1" t="n">
        <v>45796</v>
      </c>
      <c r="D1239" t="inlineStr">
        <is>
          <t>UPPSALA LÄN</t>
        </is>
      </c>
      <c r="E1239" t="inlineStr">
        <is>
          <t>TIERP</t>
        </is>
      </c>
      <c r="F1239" t="inlineStr">
        <is>
          <t>Bergvik skog öst AB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20644-2025</t>
        </is>
      </c>
      <c r="B1240" s="1" t="n">
        <v>45776</v>
      </c>
      <c r="C1240" s="1" t="n">
        <v>45796</v>
      </c>
      <c r="D1240" t="inlineStr">
        <is>
          <t>UPPSALA LÄN</t>
        </is>
      </c>
      <c r="E1240" t="inlineStr">
        <is>
          <t>TIERP</t>
        </is>
      </c>
      <c r="F1240" t="inlineStr">
        <is>
          <t>Bergvik skog öst AB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20676-2025</t>
        </is>
      </c>
      <c r="B1241" s="1" t="n">
        <v>45776</v>
      </c>
      <c r="C1241" s="1" t="n">
        <v>45796</v>
      </c>
      <c r="D1241" t="inlineStr">
        <is>
          <t>UPPSALA LÄN</t>
        </is>
      </c>
      <c r="E1241" t="inlineStr">
        <is>
          <t>TIERP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20886-2025</t>
        </is>
      </c>
      <c r="B1242" s="1" t="n">
        <v>45777</v>
      </c>
      <c r="C1242" s="1" t="n">
        <v>45796</v>
      </c>
      <c r="D1242" t="inlineStr">
        <is>
          <t>UPPSALA LÄN</t>
        </is>
      </c>
      <c r="E1242" t="inlineStr">
        <is>
          <t>TIERP</t>
        </is>
      </c>
      <c r="F1242" t="inlineStr">
        <is>
          <t>Bergvik skog öst AB</t>
        </is>
      </c>
      <c r="G1242" t="n">
        <v>6.6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21047-2025</t>
        </is>
      </c>
      <c r="B1243" s="1" t="n">
        <v>45777</v>
      </c>
      <c r="C1243" s="1" t="n">
        <v>45796</v>
      </c>
      <c r="D1243" t="inlineStr">
        <is>
          <t>UPPSALA LÄN</t>
        </is>
      </c>
      <c r="E1243" t="inlineStr">
        <is>
          <t>TIERP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21473-2025</t>
        </is>
      </c>
      <c r="B1244" s="1" t="n">
        <v>45782</v>
      </c>
      <c r="C1244" s="1" t="n">
        <v>45796</v>
      </c>
      <c r="D1244" t="inlineStr">
        <is>
          <t>UPPSALA LÄN</t>
        </is>
      </c>
      <c r="E1244" t="inlineStr">
        <is>
          <t>TIERP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21398-2025</t>
        </is>
      </c>
      <c r="B1245" s="1" t="n">
        <v>45782</v>
      </c>
      <c r="C1245" s="1" t="n">
        <v>45796</v>
      </c>
      <c r="D1245" t="inlineStr">
        <is>
          <t>UPPSALA LÄN</t>
        </is>
      </c>
      <c r="E1245" t="inlineStr">
        <is>
          <t>TIERP</t>
        </is>
      </c>
      <c r="F1245" t="inlineStr">
        <is>
          <t>Kyrkan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21325-2025</t>
        </is>
      </c>
      <c r="B1246" s="1" t="n">
        <v>45782</v>
      </c>
      <c r="C1246" s="1" t="n">
        <v>45796</v>
      </c>
      <c r="D1246" t="inlineStr">
        <is>
          <t>UPPSALA LÄN</t>
        </is>
      </c>
      <c r="E1246" t="inlineStr">
        <is>
          <t>TIERP</t>
        </is>
      </c>
      <c r="F1246" t="inlineStr">
        <is>
          <t>Bergvik skog öst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21345-2025</t>
        </is>
      </c>
      <c r="B1247" s="1" t="n">
        <v>45782</v>
      </c>
      <c r="C1247" s="1" t="n">
        <v>45796</v>
      </c>
      <c r="D1247" t="inlineStr">
        <is>
          <t>UPPSALA LÄN</t>
        </is>
      </c>
      <c r="E1247" t="inlineStr">
        <is>
          <t>TIERP</t>
        </is>
      </c>
      <c r="F1247" t="inlineStr">
        <is>
          <t>Bergvik skog öst AB</t>
        </is>
      </c>
      <c r="G1247" t="n">
        <v>5.5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21635-2025</t>
        </is>
      </c>
      <c r="B1248" s="1" t="n">
        <v>45783</v>
      </c>
      <c r="C1248" s="1" t="n">
        <v>45796</v>
      </c>
      <c r="D1248" t="inlineStr">
        <is>
          <t>UPPSALA LÄN</t>
        </is>
      </c>
      <c r="E1248" t="inlineStr">
        <is>
          <t>TIERP</t>
        </is>
      </c>
      <c r="F1248" t="inlineStr">
        <is>
          <t>Bergvik skog öst AB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21636-2025</t>
        </is>
      </c>
      <c r="B1249" s="1" t="n">
        <v>45783</v>
      </c>
      <c r="C1249" s="1" t="n">
        <v>45796</v>
      </c>
      <c r="D1249" t="inlineStr">
        <is>
          <t>UPPSALA LÄN</t>
        </is>
      </c>
      <c r="E1249" t="inlineStr">
        <is>
          <t>TIERP</t>
        </is>
      </c>
      <c r="F1249" t="inlineStr">
        <is>
          <t>Bergvik skog öst AB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21782-2025</t>
        </is>
      </c>
      <c r="B1250" s="1" t="n">
        <v>45783</v>
      </c>
      <c r="C1250" s="1" t="n">
        <v>45796</v>
      </c>
      <c r="D1250" t="inlineStr">
        <is>
          <t>UPPSALA LÄN</t>
        </is>
      </c>
      <c r="E1250" t="inlineStr">
        <is>
          <t>TIERP</t>
        </is>
      </c>
      <c r="F1250" t="inlineStr">
        <is>
          <t>Bergvik skog öst AB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21889-2025</t>
        </is>
      </c>
      <c r="B1251" s="1" t="n">
        <v>45784</v>
      </c>
      <c r="C1251" s="1" t="n">
        <v>45796</v>
      </c>
      <c r="D1251" t="inlineStr">
        <is>
          <t>UPPSALA LÄN</t>
        </is>
      </c>
      <c r="E1251" t="inlineStr">
        <is>
          <t>TIERP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21876-2025</t>
        </is>
      </c>
      <c r="B1252" s="1" t="n">
        <v>45784</v>
      </c>
      <c r="C1252" s="1" t="n">
        <v>45796</v>
      </c>
      <c r="D1252" t="inlineStr">
        <is>
          <t>UPPSALA LÄN</t>
        </is>
      </c>
      <c r="E1252" t="inlineStr">
        <is>
          <t>TIERP</t>
        </is>
      </c>
      <c r="F1252" t="inlineStr">
        <is>
          <t>Bergvik skog öst AB</t>
        </is>
      </c>
      <c r="G1252" t="n">
        <v>8.199999999999999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21905-2025</t>
        </is>
      </c>
      <c r="B1253" s="1" t="n">
        <v>45784</v>
      </c>
      <c r="C1253" s="1" t="n">
        <v>45796</v>
      </c>
      <c r="D1253" t="inlineStr">
        <is>
          <t>UPPSALA LÄN</t>
        </is>
      </c>
      <c r="E1253" t="inlineStr">
        <is>
          <t>TIERP</t>
        </is>
      </c>
      <c r="F1253" t="inlineStr">
        <is>
          <t>Bergvik skog öst AB</t>
        </is>
      </c>
      <c r="G1253" t="n">
        <v>7.6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22083-2025</t>
        </is>
      </c>
      <c r="B1254" s="1" t="n">
        <v>45785</v>
      </c>
      <c r="C1254" s="1" t="n">
        <v>45796</v>
      </c>
      <c r="D1254" t="inlineStr">
        <is>
          <t>UPPSALA LÄN</t>
        </is>
      </c>
      <c r="E1254" t="inlineStr">
        <is>
          <t>TIERP</t>
        </is>
      </c>
      <c r="G1254" t="n">
        <v>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22135-2025</t>
        </is>
      </c>
      <c r="B1255" s="1" t="n">
        <v>45785</v>
      </c>
      <c r="C1255" s="1" t="n">
        <v>45796</v>
      </c>
      <c r="D1255" t="inlineStr">
        <is>
          <t>UPPSALA LÄN</t>
        </is>
      </c>
      <c r="E1255" t="inlineStr">
        <is>
          <t>TIERP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22529-2025</t>
        </is>
      </c>
      <c r="B1256" s="1" t="n">
        <v>45786</v>
      </c>
      <c r="C1256" s="1" t="n">
        <v>45796</v>
      </c>
      <c r="D1256" t="inlineStr">
        <is>
          <t>UPPSALA LÄN</t>
        </is>
      </c>
      <c r="E1256" t="inlineStr">
        <is>
          <t>TIERP</t>
        </is>
      </c>
      <c r="F1256" t="inlineStr">
        <is>
          <t>Övriga Aktiebolag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22392-2025</t>
        </is>
      </c>
      <c r="B1257" s="1" t="n">
        <v>45786</v>
      </c>
      <c r="C1257" s="1" t="n">
        <v>45796</v>
      </c>
      <c r="D1257" t="inlineStr">
        <is>
          <t>UPPSALA LÄN</t>
        </is>
      </c>
      <c r="E1257" t="inlineStr">
        <is>
          <t>TIERP</t>
        </is>
      </c>
      <c r="F1257" t="inlineStr">
        <is>
          <t>Bergvik skog öst AB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22528-2025</t>
        </is>
      </c>
      <c r="B1258" s="1" t="n">
        <v>45786</v>
      </c>
      <c r="C1258" s="1" t="n">
        <v>45796</v>
      </c>
      <c r="D1258" t="inlineStr">
        <is>
          <t>UPPSALA LÄN</t>
        </is>
      </c>
      <c r="E1258" t="inlineStr">
        <is>
          <t>TIERP</t>
        </is>
      </c>
      <c r="F1258" t="inlineStr">
        <is>
          <t>Övriga Aktiebolag</t>
        </is>
      </c>
      <c r="G1258" t="n">
        <v>7.7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22769-2025</t>
        </is>
      </c>
      <c r="B1259" s="1" t="n">
        <v>45789</v>
      </c>
      <c r="C1259" s="1" t="n">
        <v>45796</v>
      </c>
      <c r="D1259" t="inlineStr">
        <is>
          <t>UPPSALA LÄN</t>
        </is>
      </c>
      <c r="E1259" t="inlineStr">
        <is>
          <t>TIERP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23312-2025</t>
        </is>
      </c>
      <c r="B1260" s="1" t="n">
        <v>45791</v>
      </c>
      <c r="C1260" s="1" t="n">
        <v>45796</v>
      </c>
      <c r="D1260" t="inlineStr">
        <is>
          <t>UPPSALA LÄN</t>
        </is>
      </c>
      <c r="E1260" t="inlineStr">
        <is>
          <t>TIERP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23204-2025</t>
        </is>
      </c>
      <c r="B1261" s="1" t="n">
        <v>45791</v>
      </c>
      <c r="C1261" s="1" t="n">
        <v>45796</v>
      </c>
      <c r="D1261" t="inlineStr">
        <is>
          <t>UPPSALA LÄN</t>
        </is>
      </c>
      <c r="E1261" t="inlineStr">
        <is>
          <t>TIERP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23198-2025</t>
        </is>
      </c>
      <c r="B1262" s="1" t="n">
        <v>45791</v>
      </c>
      <c r="C1262" s="1" t="n">
        <v>45796</v>
      </c>
      <c r="D1262" t="inlineStr">
        <is>
          <t>UPPSALA LÄN</t>
        </is>
      </c>
      <c r="E1262" t="inlineStr">
        <is>
          <t>TIERP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23201-2025</t>
        </is>
      </c>
      <c r="B1263" s="1" t="n">
        <v>45791</v>
      </c>
      <c r="C1263" s="1" t="n">
        <v>45796</v>
      </c>
      <c r="D1263" t="inlineStr">
        <is>
          <t>UPPSALA LÄN</t>
        </is>
      </c>
      <c r="E1263" t="inlineStr">
        <is>
          <t>TIERP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23468-2025</t>
        </is>
      </c>
      <c r="B1264" s="1" t="n">
        <v>45792</v>
      </c>
      <c r="C1264" s="1" t="n">
        <v>45796</v>
      </c>
      <c r="D1264" t="inlineStr">
        <is>
          <t>UPPSALA LÄN</t>
        </is>
      </c>
      <c r="E1264" t="inlineStr">
        <is>
          <t>TIERP</t>
        </is>
      </c>
      <c r="F1264" t="inlineStr">
        <is>
          <t>Bergvik skog väst AB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>
      <c r="A1265" t="inlineStr">
        <is>
          <t>A 23796-2025</t>
        </is>
      </c>
      <c r="B1265" s="1" t="n">
        <v>45793</v>
      </c>
      <c r="C1265" s="1" t="n">
        <v>45796</v>
      </c>
      <c r="D1265" t="inlineStr">
        <is>
          <t>UPPSALA LÄN</t>
        </is>
      </c>
      <c r="E1265" t="inlineStr">
        <is>
          <t>TIERP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2025-05-19T18:32:23Z</dcterms:created>
  <dcterms:modified xmlns:dcterms="http://purl.org/dc/terms/" xmlns:xsi="http://www.w3.org/2001/XMLSchema-instance" xsi:type="dcterms:W3CDTF">2025-05-19T18:32:24Z</dcterms:modified>
</cp:coreProperties>
</file>