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46013</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46013</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46013</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46013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46013</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46013</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46013</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46013</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46013</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46013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46013</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46013</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46013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46013</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46013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46013</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46013</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46013</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56545-2025</t>
        </is>
      </c>
      <c r="B22" s="1" t="n">
        <v>45975.4800462963</v>
      </c>
      <c r="C22" s="1" t="n">
        <v>46013</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54831-2025</t>
        </is>
      </c>
      <c r="B23" s="1" t="n">
        <v>45966.67679398148</v>
      </c>
      <c r="C23" s="1" t="n">
        <v>46013</v>
      </c>
      <c r="D23" t="inlineStr">
        <is>
          <t>UPPSALA LÄN</t>
        </is>
      </c>
      <c r="E23" t="inlineStr">
        <is>
          <t>TIERP</t>
        </is>
      </c>
      <c r="F23" t="inlineStr">
        <is>
          <t>Bergvik skog öst AB</t>
        </is>
      </c>
      <c r="G23" t="n">
        <v>5.3</v>
      </c>
      <c r="H23" t="n">
        <v>2</v>
      </c>
      <c r="I23" t="n">
        <v>1</v>
      </c>
      <c r="J23" t="n">
        <v>2</v>
      </c>
      <c r="K23" t="n">
        <v>0</v>
      </c>
      <c r="L23" t="n">
        <v>0</v>
      </c>
      <c r="M23" t="n">
        <v>0</v>
      </c>
      <c r="N23" t="n">
        <v>0</v>
      </c>
      <c r="O23" t="n">
        <v>2</v>
      </c>
      <c r="P23" t="n">
        <v>0</v>
      </c>
      <c r="Q23" t="n">
        <v>4</v>
      </c>
      <c r="R23" s="2" t="inlineStr">
        <is>
          <t>Spillkråka
Ullticka
Blodticka
Tjäder</t>
        </is>
      </c>
      <c r="S23">
        <f>HYPERLINK("https://klasma.github.io/Logging_0360/artfynd/A 54831-2025 artfynd.xlsx", "A 54831-2025")</f>
        <v/>
      </c>
      <c r="T23">
        <f>HYPERLINK("https://klasma.github.io/Logging_0360/kartor/A 54831-2025 karta.png", "A 54831-2025")</f>
        <v/>
      </c>
      <c r="V23">
        <f>HYPERLINK("https://klasma.github.io/Logging_0360/klagomål/A 54831-2025 FSC-klagomål.docx", "A 54831-2025")</f>
        <v/>
      </c>
      <c r="W23">
        <f>HYPERLINK("https://klasma.github.io/Logging_0360/klagomålsmail/A 54831-2025 FSC-klagomål mail.docx", "A 54831-2025")</f>
        <v/>
      </c>
      <c r="X23">
        <f>HYPERLINK("https://klasma.github.io/Logging_0360/tillsyn/A 54831-2025 tillsynsbegäran.docx", "A 54831-2025")</f>
        <v/>
      </c>
      <c r="Y23">
        <f>HYPERLINK("https://klasma.github.io/Logging_0360/tillsynsmail/A 54831-2025 tillsynsbegäran mail.docx", "A 54831-2025")</f>
        <v/>
      </c>
      <c r="Z23">
        <f>HYPERLINK("https://klasma.github.io/Logging_0360/fåglar/A 54831-2025 prioriterade fågelarter.docx", "A 54831-2025")</f>
        <v/>
      </c>
    </row>
    <row r="24" ht="15" customHeight="1">
      <c r="A24" t="inlineStr">
        <is>
          <t>A 7896-2025</t>
        </is>
      </c>
      <c r="B24" s="1" t="n">
        <v>45707</v>
      </c>
      <c r="C24" s="1" t="n">
        <v>46013</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14523-2025</t>
        </is>
      </c>
      <c r="B25" s="1" t="n">
        <v>45741.64648148148</v>
      </c>
      <c r="C25" s="1" t="n">
        <v>46013</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20503-2025</t>
        </is>
      </c>
      <c r="B26" s="1" t="n">
        <v>45775</v>
      </c>
      <c r="C26" s="1" t="n">
        <v>46013</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43860-2025</t>
        </is>
      </c>
      <c r="B27" s="1" t="n">
        <v>45912.65143518519</v>
      </c>
      <c r="C27" s="1" t="n">
        <v>46013</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7309-2023</t>
        </is>
      </c>
      <c r="B28" s="1" t="n">
        <v>44970</v>
      </c>
      <c r="C28" s="1" t="n">
        <v>46013</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50814-2025</t>
        </is>
      </c>
      <c r="B29" s="1" t="n">
        <v>45946.52922453704</v>
      </c>
      <c r="C29" s="1" t="n">
        <v>46013</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54537-2025</t>
        </is>
      </c>
      <c r="B30" s="1" t="n">
        <v>45965.64359953703</v>
      </c>
      <c r="C30" s="1" t="n">
        <v>46013</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10846-2025</t>
        </is>
      </c>
      <c r="B31" s="1" t="n">
        <v>45722.57912037037</v>
      </c>
      <c r="C31" s="1" t="n">
        <v>46013</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15592-2022</t>
        </is>
      </c>
      <c r="B32" s="1" t="n">
        <v>44662</v>
      </c>
      <c r="C32" s="1" t="n">
        <v>46013</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7366-2023</t>
        </is>
      </c>
      <c r="B33" s="1" t="n">
        <v>44966</v>
      </c>
      <c r="C33" s="1" t="n">
        <v>46013</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73325-2021</t>
        </is>
      </c>
      <c r="B34" s="1" t="n">
        <v>44551</v>
      </c>
      <c r="C34" s="1" t="n">
        <v>46013</v>
      </c>
      <c r="D34" t="inlineStr">
        <is>
          <t>UPPSALA LÄN</t>
        </is>
      </c>
      <c r="E34" t="inlineStr">
        <is>
          <t>TIERP</t>
        </is>
      </c>
      <c r="G34" t="n">
        <v>3.7</v>
      </c>
      <c r="H34" t="n">
        <v>0</v>
      </c>
      <c r="I34" t="n">
        <v>1</v>
      </c>
      <c r="J34" t="n">
        <v>1</v>
      </c>
      <c r="K34" t="n">
        <v>1</v>
      </c>
      <c r="L34" t="n">
        <v>0</v>
      </c>
      <c r="M34" t="n">
        <v>0</v>
      </c>
      <c r="N34" t="n">
        <v>0</v>
      </c>
      <c r="O34" t="n">
        <v>2</v>
      </c>
      <c r="P34" t="n">
        <v>1</v>
      </c>
      <c r="Q34" t="n">
        <v>3</v>
      </c>
      <c r="R34" s="2" t="inlineStr">
        <is>
          <t>Taggfingersvamp
Äggspindling
Rödgul trumpetsvamp</t>
        </is>
      </c>
      <c r="S34">
        <f>HYPERLINK("https://klasma.github.io/Logging_0360/artfynd/A 73325-2021 artfynd.xlsx", "A 73325-2021")</f>
        <v/>
      </c>
      <c r="T34">
        <f>HYPERLINK("https://klasma.github.io/Logging_0360/kartor/A 73325-2021 karta.png", "A 73325-2021")</f>
        <v/>
      </c>
      <c r="V34">
        <f>HYPERLINK("https://klasma.github.io/Logging_0360/klagomål/A 73325-2021 FSC-klagomål.docx", "A 73325-2021")</f>
        <v/>
      </c>
      <c r="W34">
        <f>HYPERLINK("https://klasma.github.io/Logging_0360/klagomålsmail/A 73325-2021 FSC-klagomål mail.docx", "A 73325-2021")</f>
        <v/>
      </c>
      <c r="X34">
        <f>HYPERLINK("https://klasma.github.io/Logging_0360/tillsyn/A 73325-2021 tillsynsbegäran.docx", "A 73325-2021")</f>
        <v/>
      </c>
      <c r="Y34">
        <f>HYPERLINK("https://klasma.github.io/Logging_0360/tillsynsmail/A 73325-2021 tillsynsbegäran mail.docx", "A 73325-2021")</f>
        <v/>
      </c>
    </row>
    <row r="35" ht="15" customHeight="1">
      <c r="A35" t="inlineStr">
        <is>
          <t>A 14093-2022</t>
        </is>
      </c>
      <c r="B35" s="1" t="n">
        <v>44651</v>
      </c>
      <c r="C35" s="1" t="n">
        <v>46013</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46013</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25013-2025</t>
        </is>
      </c>
      <c r="B37" s="1" t="n">
        <v>45799.62886574074</v>
      </c>
      <c r="C37" s="1" t="n">
        <v>46013</v>
      </c>
      <c r="D37" t="inlineStr">
        <is>
          <t>UPPSALA LÄN</t>
        </is>
      </c>
      <c r="E37" t="inlineStr">
        <is>
          <t>TIERP</t>
        </is>
      </c>
      <c r="G37" t="n">
        <v>0.5</v>
      </c>
      <c r="H37" t="n">
        <v>0</v>
      </c>
      <c r="I37" t="n">
        <v>1</v>
      </c>
      <c r="J37" t="n">
        <v>1</v>
      </c>
      <c r="K37" t="n">
        <v>0</v>
      </c>
      <c r="L37" t="n">
        <v>0</v>
      </c>
      <c r="M37" t="n">
        <v>0</v>
      </c>
      <c r="N37" t="n">
        <v>0</v>
      </c>
      <c r="O37" t="n">
        <v>1</v>
      </c>
      <c r="P37" t="n">
        <v>0</v>
      </c>
      <c r="Q37" t="n">
        <v>2</v>
      </c>
      <c r="R37" s="2" t="inlineStr">
        <is>
          <t>Gul taggsvamp
Rödgul trumpetsvamp</t>
        </is>
      </c>
      <c r="S37">
        <f>HYPERLINK("https://klasma.github.io/Logging_0360/artfynd/A 25013-2025 artfynd.xlsx", "A 25013-2025")</f>
        <v/>
      </c>
      <c r="T37">
        <f>HYPERLINK("https://klasma.github.io/Logging_0360/kartor/A 25013-2025 karta.png", "A 25013-2025")</f>
        <v/>
      </c>
      <c r="V37">
        <f>HYPERLINK("https://klasma.github.io/Logging_0360/klagomål/A 25013-2025 FSC-klagomål.docx", "A 25013-2025")</f>
        <v/>
      </c>
      <c r="W37">
        <f>HYPERLINK("https://klasma.github.io/Logging_0360/klagomålsmail/A 25013-2025 FSC-klagomål mail.docx", "A 25013-2025")</f>
        <v/>
      </c>
      <c r="X37">
        <f>HYPERLINK("https://klasma.github.io/Logging_0360/tillsyn/A 25013-2025 tillsynsbegäran.docx", "A 25013-2025")</f>
        <v/>
      </c>
      <c r="Y37">
        <f>HYPERLINK("https://klasma.github.io/Logging_0360/tillsynsmail/A 25013-2025 tillsynsbegäran mail.docx", "A 25013-2025")</f>
        <v/>
      </c>
    </row>
    <row r="38" ht="15" customHeight="1">
      <c r="A38" t="inlineStr">
        <is>
          <t>A 39018-2024</t>
        </is>
      </c>
      <c r="B38" s="1" t="n">
        <v>45548.4465162037</v>
      </c>
      <c r="C38" s="1" t="n">
        <v>46013</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17074-2022</t>
        </is>
      </c>
      <c r="B39" s="1" t="n">
        <v>44677</v>
      </c>
      <c r="C39" s="1" t="n">
        <v>46013</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42363-2025</t>
        </is>
      </c>
      <c r="B40" s="1" t="n">
        <v>45905.31760416667</v>
      </c>
      <c r="C40" s="1" t="n">
        <v>46013</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15040-2024</t>
        </is>
      </c>
      <c r="B41" s="1" t="n">
        <v>45399.48680555556</v>
      </c>
      <c r="C41" s="1" t="n">
        <v>46013</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35188-2025</t>
        </is>
      </c>
      <c r="B42" s="1" t="n">
        <v>45853.32288194444</v>
      </c>
      <c r="C42" s="1" t="n">
        <v>46013</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140-2024</t>
        </is>
      </c>
      <c r="B43" s="1" t="n">
        <v>45294.44883101852</v>
      </c>
      <c r="C43" s="1" t="n">
        <v>46013</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34979-2023</t>
        </is>
      </c>
      <c r="B44" s="1" t="n">
        <v>45142</v>
      </c>
      <c r="C44" s="1" t="n">
        <v>46013</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46013</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57856-2025</t>
        </is>
      </c>
      <c r="B46" s="1" t="n">
        <v>45981.63950231481</v>
      </c>
      <c r="C46" s="1" t="n">
        <v>46013</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53324-2021</t>
        </is>
      </c>
      <c r="B47" s="1" t="n">
        <v>44468</v>
      </c>
      <c r="C47" s="1" t="n">
        <v>46013</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54237-2025</t>
        </is>
      </c>
      <c r="B48" s="1" t="n">
        <v>45964.62684027778</v>
      </c>
      <c r="C48" s="1" t="n">
        <v>46013</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17748-2025</t>
        </is>
      </c>
      <c r="B49" s="1" t="n">
        <v>45758.4828125</v>
      </c>
      <c r="C49" s="1" t="n">
        <v>46013</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45851-2022</t>
        </is>
      </c>
      <c r="B50" s="1" t="n">
        <v>44846</v>
      </c>
      <c r="C50" s="1" t="n">
        <v>46013</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21607-2025</t>
        </is>
      </c>
      <c r="B51" s="1" t="n">
        <v>45783.38454861111</v>
      </c>
      <c r="C51" s="1" t="n">
        <v>46013</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46013</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46013</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46013</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46013</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2332-2024</t>
        </is>
      </c>
      <c r="B56" s="1" t="n">
        <v>45310</v>
      </c>
      <c r="C56" s="1" t="n">
        <v>46013</v>
      </c>
      <c r="D56" t="inlineStr">
        <is>
          <t>UPPSALA LÄN</t>
        </is>
      </c>
      <c r="E56" t="inlineStr">
        <is>
          <t>TIERP</t>
        </is>
      </c>
      <c r="G56" t="n">
        <v>3.7</v>
      </c>
      <c r="H56" t="n">
        <v>1</v>
      </c>
      <c r="I56" t="n">
        <v>0</v>
      </c>
      <c r="J56" t="n">
        <v>1</v>
      </c>
      <c r="K56" t="n">
        <v>0</v>
      </c>
      <c r="L56" t="n">
        <v>0</v>
      </c>
      <c r="M56" t="n">
        <v>0</v>
      </c>
      <c r="N56" t="n">
        <v>0</v>
      </c>
      <c r="O56" t="n">
        <v>1</v>
      </c>
      <c r="P56" t="n">
        <v>0</v>
      </c>
      <c r="Q56" t="n">
        <v>1</v>
      </c>
      <c r="R56" s="2" t="inlineStr">
        <is>
          <t>Talltita</t>
        </is>
      </c>
      <c r="S56">
        <f>HYPERLINK("https://klasma.github.io/Logging_0360/artfynd/A 2332-2024 artfynd.xlsx", "A 2332-2024")</f>
        <v/>
      </c>
      <c r="T56">
        <f>HYPERLINK("https://klasma.github.io/Logging_0360/kartor/A 2332-2024 karta.png", "A 2332-2024")</f>
        <v/>
      </c>
      <c r="V56">
        <f>HYPERLINK("https://klasma.github.io/Logging_0360/klagomål/A 2332-2024 FSC-klagomål.docx", "A 2332-2024")</f>
        <v/>
      </c>
      <c r="W56">
        <f>HYPERLINK("https://klasma.github.io/Logging_0360/klagomålsmail/A 2332-2024 FSC-klagomål mail.docx", "A 2332-2024")</f>
        <v/>
      </c>
      <c r="X56">
        <f>HYPERLINK("https://klasma.github.io/Logging_0360/tillsyn/A 2332-2024 tillsynsbegäran.docx", "A 2332-2024")</f>
        <v/>
      </c>
      <c r="Y56">
        <f>HYPERLINK("https://klasma.github.io/Logging_0360/tillsynsmail/A 2332-2024 tillsynsbegäran mail.docx", "A 2332-2024")</f>
        <v/>
      </c>
      <c r="Z56">
        <f>HYPERLINK("https://klasma.github.io/Logging_0360/fåglar/A 2332-2024 prioriterade fågelarter.docx", "A 2332-2024")</f>
        <v/>
      </c>
    </row>
    <row r="57" ht="15" customHeight="1">
      <c r="A57" t="inlineStr">
        <is>
          <t>A 55331-2024</t>
        </is>
      </c>
      <c r="B57" s="1" t="n">
        <v>45621.68104166666</v>
      </c>
      <c r="C57" s="1" t="n">
        <v>46013</v>
      </c>
      <c r="D57" t="inlineStr">
        <is>
          <t>UPPSALA LÄN</t>
        </is>
      </c>
      <c r="E57" t="inlineStr">
        <is>
          <t>TIERP</t>
        </is>
      </c>
      <c r="F57" t="inlineStr">
        <is>
          <t>Bergvik skog väst AB</t>
        </is>
      </c>
      <c r="G57" t="n">
        <v>7.3</v>
      </c>
      <c r="H57" t="n">
        <v>1</v>
      </c>
      <c r="I57" t="n">
        <v>0</v>
      </c>
      <c r="J57" t="n">
        <v>1</v>
      </c>
      <c r="K57" t="n">
        <v>0</v>
      </c>
      <c r="L57" t="n">
        <v>0</v>
      </c>
      <c r="M57" t="n">
        <v>0</v>
      </c>
      <c r="N57" t="n">
        <v>0</v>
      </c>
      <c r="O57" t="n">
        <v>1</v>
      </c>
      <c r="P57" t="n">
        <v>0</v>
      </c>
      <c r="Q57" t="n">
        <v>1</v>
      </c>
      <c r="R57" s="2" t="inlineStr">
        <is>
          <t>Talltita</t>
        </is>
      </c>
      <c r="S57">
        <f>HYPERLINK("https://klasma.github.io/Logging_0360/artfynd/A 55331-2024 artfynd.xlsx", "A 55331-2024")</f>
        <v/>
      </c>
      <c r="T57">
        <f>HYPERLINK("https://klasma.github.io/Logging_0360/kartor/A 55331-2024 karta.png", "A 55331-2024")</f>
        <v/>
      </c>
      <c r="V57">
        <f>HYPERLINK("https://klasma.github.io/Logging_0360/klagomål/A 55331-2024 FSC-klagomål.docx", "A 55331-2024")</f>
        <v/>
      </c>
      <c r="W57">
        <f>HYPERLINK("https://klasma.github.io/Logging_0360/klagomålsmail/A 55331-2024 FSC-klagomål mail.docx", "A 55331-2024")</f>
        <v/>
      </c>
      <c r="X57">
        <f>HYPERLINK("https://klasma.github.io/Logging_0360/tillsyn/A 55331-2024 tillsynsbegäran.docx", "A 55331-2024")</f>
        <v/>
      </c>
      <c r="Y57">
        <f>HYPERLINK("https://klasma.github.io/Logging_0360/tillsynsmail/A 55331-2024 tillsynsbegäran mail.docx", "A 55331-2024")</f>
        <v/>
      </c>
      <c r="Z57">
        <f>HYPERLINK("https://klasma.github.io/Logging_0360/fåglar/A 55331-2024 prioriterade fågelarter.docx", "A 55331-2024")</f>
        <v/>
      </c>
    </row>
    <row r="58" ht="15" customHeight="1">
      <c r="A58" t="inlineStr">
        <is>
          <t>A 57398-2024</t>
        </is>
      </c>
      <c r="B58" s="1" t="n">
        <v>45629</v>
      </c>
      <c r="C58" s="1" t="n">
        <v>46013</v>
      </c>
      <c r="D58" t="inlineStr">
        <is>
          <t>UPPSALA LÄN</t>
        </is>
      </c>
      <c r="E58" t="inlineStr">
        <is>
          <t>TIERP</t>
        </is>
      </c>
      <c r="G58" t="n">
        <v>2.2</v>
      </c>
      <c r="H58" t="n">
        <v>0</v>
      </c>
      <c r="I58" t="n">
        <v>0</v>
      </c>
      <c r="J58" t="n">
        <v>0</v>
      </c>
      <c r="K58" t="n">
        <v>1</v>
      </c>
      <c r="L58" t="n">
        <v>0</v>
      </c>
      <c r="M58" t="n">
        <v>0</v>
      </c>
      <c r="N58" t="n">
        <v>0</v>
      </c>
      <c r="O58" t="n">
        <v>1</v>
      </c>
      <c r="P58" t="n">
        <v>1</v>
      </c>
      <c r="Q58" t="n">
        <v>1</v>
      </c>
      <c r="R58" s="2" t="inlineStr">
        <is>
          <t>Ängsskäreplattmal</t>
        </is>
      </c>
      <c r="S58">
        <f>HYPERLINK("https://klasma.github.io/Logging_0360/artfynd/A 57398-2024 artfynd.xlsx", "A 57398-2024")</f>
        <v/>
      </c>
      <c r="T58">
        <f>HYPERLINK("https://klasma.github.io/Logging_0360/kartor/A 57398-2024 karta.png", "A 57398-2024")</f>
        <v/>
      </c>
      <c r="V58">
        <f>HYPERLINK("https://klasma.github.io/Logging_0360/klagomål/A 57398-2024 FSC-klagomål.docx", "A 57398-2024")</f>
        <v/>
      </c>
      <c r="W58">
        <f>HYPERLINK("https://klasma.github.io/Logging_0360/klagomålsmail/A 57398-2024 FSC-klagomål mail.docx", "A 57398-2024")</f>
        <v/>
      </c>
      <c r="X58">
        <f>HYPERLINK("https://klasma.github.io/Logging_0360/tillsyn/A 57398-2024 tillsynsbegäran.docx", "A 57398-2024")</f>
        <v/>
      </c>
      <c r="Y58">
        <f>HYPERLINK("https://klasma.github.io/Logging_0360/tillsynsmail/A 57398-2024 tillsynsbegäran mail.docx", "A 57398-2024")</f>
        <v/>
      </c>
    </row>
    <row r="59" ht="15" customHeight="1">
      <c r="A59" t="inlineStr">
        <is>
          <t>A 58107-2024</t>
        </is>
      </c>
      <c r="B59" s="1" t="n">
        <v>45632</v>
      </c>
      <c r="C59" s="1" t="n">
        <v>46013</v>
      </c>
      <c r="D59" t="inlineStr">
        <is>
          <t>UPPSALA LÄN</t>
        </is>
      </c>
      <c r="E59" t="inlineStr">
        <is>
          <t>TIERP</t>
        </is>
      </c>
      <c r="G59" t="n">
        <v>0.6</v>
      </c>
      <c r="H59" t="n">
        <v>1</v>
      </c>
      <c r="I59" t="n">
        <v>1</v>
      </c>
      <c r="J59" t="n">
        <v>0</v>
      </c>
      <c r="K59" t="n">
        <v>0</v>
      </c>
      <c r="L59" t="n">
        <v>0</v>
      </c>
      <c r="M59" t="n">
        <v>0</v>
      </c>
      <c r="N59" t="n">
        <v>0</v>
      </c>
      <c r="O59" t="n">
        <v>0</v>
      </c>
      <c r="P59" t="n">
        <v>0</v>
      </c>
      <c r="Q59" t="n">
        <v>1</v>
      </c>
      <c r="R59" s="2" t="inlineStr">
        <is>
          <t>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44680-2025</t>
        </is>
      </c>
      <c r="B60" s="1" t="n">
        <v>45917.57564814815</v>
      </c>
      <c r="C60" s="1" t="n">
        <v>46013</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45460-2025</t>
        </is>
      </c>
      <c r="B61" s="1" t="n">
        <v>45922.49263888889</v>
      </c>
      <c r="C61" s="1" t="n">
        <v>46013</v>
      </c>
      <c r="D61" t="inlineStr">
        <is>
          <t>UPPSALA LÄN</t>
        </is>
      </c>
      <c r="E61" t="inlineStr">
        <is>
          <t>TIERP</t>
        </is>
      </c>
      <c r="G61" t="n">
        <v>4.2</v>
      </c>
      <c r="H61" t="n">
        <v>0</v>
      </c>
      <c r="I61" t="n">
        <v>1</v>
      </c>
      <c r="J61" t="n">
        <v>0</v>
      </c>
      <c r="K61" t="n">
        <v>0</v>
      </c>
      <c r="L61" t="n">
        <v>0</v>
      </c>
      <c r="M61" t="n">
        <v>0</v>
      </c>
      <c r="N61" t="n">
        <v>0</v>
      </c>
      <c r="O61" t="n">
        <v>0</v>
      </c>
      <c r="P61" t="n">
        <v>0</v>
      </c>
      <c r="Q61" t="n">
        <v>1</v>
      </c>
      <c r="R61" s="2" t="inlineStr">
        <is>
          <t>Vårärt</t>
        </is>
      </c>
      <c r="S61">
        <f>HYPERLINK("https://klasma.github.io/Logging_0360/artfynd/A 45460-2025 artfynd.xlsx", "A 45460-2025")</f>
        <v/>
      </c>
      <c r="T61">
        <f>HYPERLINK("https://klasma.github.io/Logging_0360/kartor/A 45460-2025 karta.png", "A 45460-2025")</f>
        <v/>
      </c>
      <c r="V61">
        <f>HYPERLINK("https://klasma.github.io/Logging_0360/klagomål/A 45460-2025 FSC-klagomål.docx", "A 45460-2025")</f>
        <v/>
      </c>
      <c r="W61">
        <f>HYPERLINK("https://klasma.github.io/Logging_0360/klagomålsmail/A 45460-2025 FSC-klagomål mail.docx", "A 45460-2025")</f>
        <v/>
      </c>
      <c r="X61">
        <f>HYPERLINK("https://klasma.github.io/Logging_0360/tillsyn/A 45460-2025 tillsynsbegäran.docx", "A 45460-2025")</f>
        <v/>
      </c>
      <c r="Y61">
        <f>HYPERLINK("https://klasma.github.io/Logging_0360/tillsynsmail/A 45460-2025 tillsynsbegäran mail.docx", "A 45460-2025")</f>
        <v/>
      </c>
    </row>
    <row r="62" ht="15" customHeight="1">
      <c r="A62" t="inlineStr">
        <is>
          <t>A 27855-2025</t>
        </is>
      </c>
      <c r="B62" s="1" t="n">
        <v>45817</v>
      </c>
      <c r="C62" s="1" t="n">
        <v>46013</v>
      </c>
      <c r="D62" t="inlineStr">
        <is>
          <t>UPPSALA LÄN</t>
        </is>
      </c>
      <c r="E62" t="inlineStr">
        <is>
          <t>TIERP</t>
        </is>
      </c>
      <c r="G62" t="n">
        <v>7.5</v>
      </c>
      <c r="H62" t="n">
        <v>0</v>
      </c>
      <c r="I62" t="n">
        <v>1</v>
      </c>
      <c r="J62" t="n">
        <v>0</v>
      </c>
      <c r="K62" t="n">
        <v>0</v>
      </c>
      <c r="L62" t="n">
        <v>0</v>
      </c>
      <c r="M62" t="n">
        <v>0</v>
      </c>
      <c r="N62" t="n">
        <v>0</v>
      </c>
      <c r="O62" t="n">
        <v>0</v>
      </c>
      <c r="P62" t="n">
        <v>0</v>
      </c>
      <c r="Q62" t="n">
        <v>1</v>
      </c>
      <c r="R62" s="2" t="inlineStr">
        <is>
          <t>Zontaggsvamp</t>
        </is>
      </c>
      <c r="S62">
        <f>HYPERLINK("https://klasma.github.io/Logging_0360/artfynd/A 27855-2025 artfynd.xlsx", "A 27855-2025")</f>
        <v/>
      </c>
      <c r="T62">
        <f>HYPERLINK("https://klasma.github.io/Logging_0360/kartor/A 27855-2025 karta.png", "A 27855-2025")</f>
        <v/>
      </c>
      <c r="V62">
        <f>HYPERLINK("https://klasma.github.io/Logging_0360/klagomål/A 27855-2025 FSC-klagomål.docx", "A 27855-2025")</f>
        <v/>
      </c>
      <c r="W62">
        <f>HYPERLINK("https://klasma.github.io/Logging_0360/klagomålsmail/A 27855-2025 FSC-klagomål mail.docx", "A 27855-2025")</f>
        <v/>
      </c>
      <c r="X62">
        <f>HYPERLINK("https://klasma.github.io/Logging_0360/tillsyn/A 27855-2025 tillsynsbegäran.docx", "A 27855-2025")</f>
        <v/>
      </c>
      <c r="Y62">
        <f>HYPERLINK("https://klasma.github.io/Logging_0360/tillsynsmail/A 27855-2025 tillsynsbegäran mail.docx", "A 27855-2025")</f>
        <v/>
      </c>
    </row>
    <row r="63" ht="15" customHeight="1">
      <c r="A63" t="inlineStr">
        <is>
          <t>A 15680-2025</t>
        </is>
      </c>
      <c r="B63" s="1" t="n">
        <v>45748.4525</v>
      </c>
      <c r="C63" s="1" t="n">
        <v>46013</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47520-2025</t>
        </is>
      </c>
      <c r="B64" s="1" t="n">
        <v>45931.32129629629</v>
      </c>
      <c r="C64" s="1" t="n">
        <v>46013</v>
      </c>
      <c r="D64" t="inlineStr">
        <is>
          <t>UPPSALA LÄN</t>
        </is>
      </c>
      <c r="E64" t="inlineStr">
        <is>
          <t>TIERP</t>
        </is>
      </c>
      <c r="F64" t="inlineStr">
        <is>
          <t>Bergvik skog väst AB</t>
        </is>
      </c>
      <c r="G64" t="n">
        <v>11.7</v>
      </c>
      <c r="H64" t="n">
        <v>0</v>
      </c>
      <c r="I64" t="n">
        <v>0</v>
      </c>
      <c r="J64" t="n">
        <v>1</v>
      </c>
      <c r="K64" t="n">
        <v>0</v>
      </c>
      <c r="L64" t="n">
        <v>0</v>
      </c>
      <c r="M64" t="n">
        <v>0</v>
      </c>
      <c r="N64" t="n">
        <v>0</v>
      </c>
      <c r="O64" t="n">
        <v>1</v>
      </c>
      <c r="P64" t="n">
        <v>0</v>
      </c>
      <c r="Q64" t="n">
        <v>1</v>
      </c>
      <c r="R64" s="2" t="inlineStr">
        <is>
          <t>Klofibbla</t>
        </is>
      </c>
      <c r="S64">
        <f>HYPERLINK("https://klasma.github.io/Logging_0360/artfynd/A 47520-2025 artfynd.xlsx", "A 47520-2025")</f>
        <v/>
      </c>
      <c r="T64">
        <f>HYPERLINK("https://klasma.github.io/Logging_0360/kartor/A 47520-2025 karta.png", "A 47520-2025")</f>
        <v/>
      </c>
      <c r="V64">
        <f>HYPERLINK("https://klasma.github.io/Logging_0360/klagomål/A 47520-2025 FSC-klagomål.docx", "A 47520-2025")</f>
        <v/>
      </c>
      <c r="W64">
        <f>HYPERLINK("https://klasma.github.io/Logging_0360/klagomålsmail/A 47520-2025 FSC-klagomål mail.docx", "A 47520-2025")</f>
        <v/>
      </c>
      <c r="X64">
        <f>HYPERLINK("https://klasma.github.io/Logging_0360/tillsyn/A 47520-2025 tillsynsbegäran.docx", "A 47520-2025")</f>
        <v/>
      </c>
      <c r="Y64">
        <f>HYPERLINK("https://klasma.github.io/Logging_0360/tillsynsmail/A 47520-2025 tillsynsbegäran mail.docx", "A 47520-2025")</f>
        <v/>
      </c>
    </row>
    <row r="65" ht="15" customHeight="1">
      <c r="A65" t="inlineStr">
        <is>
          <t>A 47584-2025</t>
        </is>
      </c>
      <c r="B65" s="1" t="n">
        <v>45931.43355324074</v>
      </c>
      <c r="C65" s="1" t="n">
        <v>46013</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49776-2025</t>
        </is>
      </c>
      <c r="B66" s="1" t="n">
        <v>45940.3791087963</v>
      </c>
      <c r="C66" s="1" t="n">
        <v>46013</v>
      </c>
      <c r="D66" t="inlineStr">
        <is>
          <t>UPPSALA LÄN</t>
        </is>
      </c>
      <c r="E66" t="inlineStr">
        <is>
          <t>TIERP</t>
        </is>
      </c>
      <c r="F66" t="inlineStr">
        <is>
          <t>Bergvik skog öst AB</t>
        </is>
      </c>
      <c r="G66" t="n">
        <v>5.2</v>
      </c>
      <c r="H66" t="n">
        <v>1</v>
      </c>
      <c r="I66" t="n">
        <v>0</v>
      </c>
      <c r="J66" t="n">
        <v>0</v>
      </c>
      <c r="K66" t="n">
        <v>0</v>
      </c>
      <c r="L66" t="n">
        <v>0</v>
      </c>
      <c r="M66" t="n">
        <v>0</v>
      </c>
      <c r="N66" t="n">
        <v>0</v>
      </c>
      <c r="O66" t="n">
        <v>0</v>
      </c>
      <c r="P66" t="n">
        <v>0</v>
      </c>
      <c r="Q66" t="n">
        <v>1</v>
      </c>
      <c r="R66" s="2" t="inlineStr">
        <is>
          <t>Kopparödla</t>
        </is>
      </c>
      <c r="S66">
        <f>HYPERLINK("https://klasma.github.io/Logging_0360/artfynd/A 49776-2025 artfynd.xlsx", "A 49776-2025")</f>
        <v/>
      </c>
      <c r="T66">
        <f>HYPERLINK("https://klasma.github.io/Logging_0360/kartor/A 49776-2025 karta.png", "A 49776-2025")</f>
        <v/>
      </c>
      <c r="V66">
        <f>HYPERLINK("https://klasma.github.io/Logging_0360/klagomål/A 49776-2025 FSC-klagomål.docx", "A 49776-2025")</f>
        <v/>
      </c>
      <c r="W66">
        <f>HYPERLINK("https://klasma.github.io/Logging_0360/klagomålsmail/A 49776-2025 FSC-klagomål mail.docx", "A 49776-2025")</f>
        <v/>
      </c>
      <c r="X66">
        <f>HYPERLINK("https://klasma.github.io/Logging_0360/tillsyn/A 49776-2025 tillsynsbegäran.docx", "A 49776-2025")</f>
        <v/>
      </c>
      <c r="Y66">
        <f>HYPERLINK("https://klasma.github.io/Logging_0360/tillsynsmail/A 49776-2025 tillsynsbegäran mail.docx", "A 49776-2025")</f>
        <v/>
      </c>
    </row>
    <row r="67" ht="15" customHeight="1">
      <c r="A67" t="inlineStr">
        <is>
          <t>A 3853-2025</t>
        </is>
      </c>
      <c r="B67" s="1" t="n">
        <v>45683</v>
      </c>
      <c r="C67" s="1" t="n">
        <v>46013</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52002-2025</t>
        </is>
      </c>
      <c r="B68" s="1" t="n">
        <v>45952.59070601852</v>
      </c>
      <c r="C68" s="1" t="n">
        <v>46013</v>
      </c>
      <c r="D68" t="inlineStr">
        <is>
          <t>UPPSALA LÄN</t>
        </is>
      </c>
      <c r="E68" t="inlineStr">
        <is>
          <t>TIERP</t>
        </is>
      </c>
      <c r="G68" t="n">
        <v>7.8</v>
      </c>
      <c r="H68" t="n">
        <v>0</v>
      </c>
      <c r="I68" t="n">
        <v>0</v>
      </c>
      <c r="J68" t="n">
        <v>1</v>
      </c>
      <c r="K68" t="n">
        <v>0</v>
      </c>
      <c r="L68" t="n">
        <v>0</v>
      </c>
      <c r="M68" t="n">
        <v>0</v>
      </c>
      <c r="N68" t="n">
        <v>0</v>
      </c>
      <c r="O68" t="n">
        <v>1</v>
      </c>
      <c r="P68" t="n">
        <v>0</v>
      </c>
      <c r="Q68" t="n">
        <v>1</v>
      </c>
      <c r="R68" s="2" t="inlineStr">
        <is>
          <t>Grentaggsvamp</t>
        </is>
      </c>
      <c r="S68">
        <f>HYPERLINK("https://klasma.github.io/Logging_0360/artfynd/A 52002-2025 artfynd.xlsx", "A 52002-2025")</f>
        <v/>
      </c>
      <c r="T68">
        <f>HYPERLINK("https://klasma.github.io/Logging_0360/kartor/A 52002-2025 karta.png", "A 52002-2025")</f>
        <v/>
      </c>
      <c r="V68">
        <f>HYPERLINK("https://klasma.github.io/Logging_0360/klagomål/A 52002-2025 FSC-klagomål.docx", "A 52002-2025")</f>
        <v/>
      </c>
      <c r="W68">
        <f>HYPERLINK("https://klasma.github.io/Logging_0360/klagomålsmail/A 52002-2025 FSC-klagomål mail.docx", "A 52002-2025")</f>
        <v/>
      </c>
      <c r="X68">
        <f>HYPERLINK("https://klasma.github.io/Logging_0360/tillsyn/A 52002-2025 tillsynsbegäran.docx", "A 52002-2025")</f>
        <v/>
      </c>
      <c r="Y68">
        <f>HYPERLINK("https://klasma.github.io/Logging_0360/tillsynsmail/A 52002-2025 tillsynsbegäran mail.docx", "A 52002-2025")</f>
        <v/>
      </c>
    </row>
    <row r="69" ht="15" customHeight="1">
      <c r="A69" t="inlineStr">
        <is>
          <t>A 18619-2025</t>
        </is>
      </c>
      <c r="B69" s="1" t="n">
        <v>45763.51265046297</v>
      </c>
      <c r="C69" s="1" t="n">
        <v>46013</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52211-2025</t>
        </is>
      </c>
      <c r="B70" s="1" t="n">
        <v>45953.42253472222</v>
      </c>
      <c r="C70" s="1" t="n">
        <v>46013</v>
      </c>
      <c r="D70" t="inlineStr">
        <is>
          <t>UPPSALA LÄN</t>
        </is>
      </c>
      <c r="E70" t="inlineStr">
        <is>
          <t>TIERP</t>
        </is>
      </c>
      <c r="F70" t="inlineStr">
        <is>
          <t>Bergvik skog öst AB</t>
        </is>
      </c>
      <c r="G70" t="n">
        <v>7.8</v>
      </c>
      <c r="H70" t="n">
        <v>1</v>
      </c>
      <c r="I70" t="n">
        <v>0</v>
      </c>
      <c r="J70" t="n">
        <v>1</v>
      </c>
      <c r="K70" t="n">
        <v>0</v>
      </c>
      <c r="L70" t="n">
        <v>0</v>
      </c>
      <c r="M70" t="n">
        <v>0</v>
      </c>
      <c r="N70" t="n">
        <v>0</v>
      </c>
      <c r="O70" t="n">
        <v>1</v>
      </c>
      <c r="P70" t="n">
        <v>0</v>
      </c>
      <c r="Q70" t="n">
        <v>1</v>
      </c>
      <c r="R70" s="2" t="inlineStr">
        <is>
          <t>Havsörn</t>
        </is>
      </c>
      <c r="S70">
        <f>HYPERLINK("https://klasma.github.io/Logging_0360/artfynd/A 52211-2025 artfynd.xlsx", "A 52211-2025")</f>
        <v/>
      </c>
      <c r="T70">
        <f>HYPERLINK("https://klasma.github.io/Logging_0360/kartor/A 52211-2025 karta.png", "A 52211-2025")</f>
        <v/>
      </c>
      <c r="V70">
        <f>HYPERLINK("https://klasma.github.io/Logging_0360/klagomål/A 52211-2025 FSC-klagomål.docx", "A 52211-2025")</f>
        <v/>
      </c>
      <c r="W70">
        <f>HYPERLINK("https://klasma.github.io/Logging_0360/klagomålsmail/A 52211-2025 FSC-klagomål mail.docx", "A 52211-2025")</f>
        <v/>
      </c>
      <c r="X70">
        <f>HYPERLINK("https://klasma.github.io/Logging_0360/tillsyn/A 52211-2025 tillsynsbegäran.docx", "A 52211-2025")</f>
        <v/>
      </c>
      <c r="Y70">
        <f>HYPERLINK("https://klasma.github.io/Logging_0360/tillsynsmail/A 52211-2025 tillsynsbegäran mail.docx", "A 52211-2025")</f>
        <v/>
      </c>
      <c r="Z70">
        <f>HYPERLINK("https://klasma.github.io/Logging_0360/fåglar/A 52211-2025 prioriterade fågelarter.docx", "A 52211-2025")</f>
        <v/>
      </c>
    </row>
    <row r="71" ht="15" customHeight="1">
      <c r="A71" t="inlineStr">
        <is>
          <t>A 52204-2025</t>
        </is>
      </c>
      <c r="B71" s="1" t="n">
        <v>45953.40888888889</v>
      </c>
      <c r="C71" s="1" t="n">
        <v>46013</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14515-2025</t>
        </is>
      </c>
      <c r="B72" s="1" t="n">
        <v>45741.63833333334</v>
      </c>
      <c r="C72" s="1" t="n">
        <v>46013</v>
      </c>
      <c r="D72" t="inlineStr">
        <is>
          <t>UPPSALA LÄN</t>
        </is>
      </c>
      <c r="E72" t="inlineStr">
        <is>
          <t>TIERP</t>
        </is>
      </c>
      <c r="F72" t="inlineStr">
        <is>
          <t>Bergvik skog väst AB</t>
        </is>
      </c>
      <c r="G72" t="n">
        <v>7.7</v>
      </c>
      <c r="H72" t="n">
        <v>1</v>
      </c>
      <c r="I72" t="n">
        <v>0</v>
      </c>
      <c r="J72" t="n">
        <v>1</v>
      </c>
      <c r="K72" t="n">
        <v>0</v>
      </c>
      <c r="L72" t="n">
        <v>0</v>
      </c>
      <c r="M72" t="n">
        <v>0</v>
      </c>
      <c r="N72" t="n">
        <v>0</v>
      </c>
      <c r="O72" t="n">
        <v>1</v>
      </c>
      <c r="P72" t="n">
        <v>0</v>
      </c>
      <c r="Q72" t="n">
        <v>1</v>
      </c>
      <c r="R72" s="2" t="inlineStr">
        <is>
          <t>Talltita</t>
        </is>
      </c>
      <c r="S72">
        <f>HYPERLINK("https://klasma.github.io/Logging_0360/artfynd/A 14515-2025 artfynd.xlsx", "A 14515-2025")</f>
        <v/>
      </c>
      <c r="T72">
        <f>HYPERLINK("https://klasma.github.io/Logging_0360/kartor/A 14515-2025 karta.png", "A 14515-2025")</f>
        <v/>
      </c>
      <c r="V72">
        <f>HYPERLINK("https://klasma.github.io/Logging_0360/klagomål/A 14515-2025 FSC-klagomål.docx", "A 14515-2025")</f>
        <v/>
      </c>
      <c r="W72">
        <f>HYPERLINK("https://klasma.github.io/Logging_0360/klagomålsmail/A 14515-2025 FSC-klagomål mail.docx", "A 14515-2025")</f>
        <v/>
      </c>
      <c r="X72">
        <f>HYPERLINK("https://klasma.github.io/Logging_0360/tillsyn/A 14515-2025 tillsynsbegäran.docx", "A 14515-2025")</f>
        <v/>
      </c>
      <c r="Y72">
        <f>HYPERLINK("https://klasma.github.io/Logging_0360/tillsynsmail/A 14515-2025 tillsynsbegäran mail.docx", "A 14515-2025")</f>
        <v/>
      </c>
      <c r="Z72">
        <f>HYPERLINK("https://klasma.github.io/Logging_0360/fåglar/A 14515-2025 prioriterade fågelarter.docx", "A 14515-2025")</f>
        <v/>
      </c>
    </row>
    <row r="73" ht="15" customHeight="1">
      <c r="A73" t="inlineStr">
        <is>
          <t>A 56972-2022</t>
        </is>
      </c>
      <c r="B73" s="1" t="n">
        <v>44894</v>
      </c>
      <c r="C73" s="1" t="n">
        <v>46013</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46013</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54835-2025</t>
        </is>
      </c>
      <c r="B75" s="1" t="n">
        <v>45966.67909722222</v>
      </c>
      <c r="C75" s="1" t="n">
        <v>46013</v>
      </c>
      <c r="D75" t="inlineStr">
        <is>
          <t>UPPSALA LÄN</t>
        </is>
      </c>
      <c r="E75" t="inlineStr">
        <is>
          <t>TIERP</t>
        </is>
      </c>
      <c r="F75" t="inlineStr">
        <is>
          <t>Bergvik skog öst AB</t>
        </is>
      </c>
      <c r="G75" t="n">
        <v>2.8</v>
      </c>
      <c r="H75" t="n">
        <v>1</v>
      </c>
      <c r="I75" t="n">
        <v>0</v>
      </c>
      <c r="J75" t="n">
        <v>0</v>
      </c>
      <c r="K75" t="n">
        <v>1</v>
      </c>
      <c r="L75" t="n">
        <v>0</v>
      </c>
      <c r="M75" t="n">
        <v>0</v>
      </c>
      <c r="N75" t="n">
        <v>0</v>
      </c>
      <c r="O75" t="n">
        <v>1</v>
      </c>
      <c r="P75" t="n">
        <v>1</v>
      </c>
      <c r="Q75" t="n">
        <v>1</v>
      </c>
      <c r="R75" s="2" t="inlineStr">
        <is>
          <t>Knärot</t>
        </is>
      </c>
      <c r="S75">
        <f>HYPERLINK("https://klasma.github.io/Logging_0360/artfynd/A 54835-2025 artfynd.xlsx", "A 54835-2025")</f>
        <v/>
      </c>
      <c r="T75">
        <f>HYPERLINK("https://klasma.github.io/Logging_0360/kartor/A 54835-2025 karta.png", "A 54835-2025")</f>
        <v/>
      </c>
      <c r="U75">
        <f>HYPERLINK("https://klasma.github.io/Logging_0360/knärot/A 54835-2025 karta knärot.png", "A 54835-2025")</f>
        <v/>
      </c>
      <c r="V75">
        <f>HYPERLINK("https://klasma.github.io/Logging_0360/klagomål/A 54835-2025 FSC-klagomål.docx", "A 54835-2025")</f>
        <v/>
      </c>
      <c r="W75">
        <f>HYPERLINK("https://klasma.github.io/Logging_0360/klagomålsmail/A 54835-2025 FSC-klagomål mail.docx", "A 54835-2025")</f>
        <v/>
      </c>
      <c r="X75">
        <f>HYPERLINK("https://klasma.github.io/Logging_0360/tillsyn/A 54835-2025 tillsynsbegäran.docx", "A 54835-2025")</f>
        <v/>
      </c>
      <c r="Y75">
        <f>HYPERLINK("https://klasma.github.io/Logging_0360/tillsynsmail/A 54835-2025 tillsynsbegäran mail.docx", "A 54835-2025")</f>
        <v/>
      </c>
    </row>
    <row r="76" ht="15" customHeight="1">
      <c r="A76" t="inlineStr">
        <is>
          <t>A 54882-2025</t>
        </is>
      </c>
      <c r="B76" s="1" t="n">
        <v>45967.33539351852</v>
      </c>
      <c r="C76" s="1" t="n">
        <v>46013</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38821-2023</t>
        </is>
      </c>
      <c r="B77" s="1" t="n">
        <v>45163</v>
      </c>
      <c r="C77" s="1" t="n">
        <v>46013</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5454-2022</t>
        </is>
      </c>
      <c r="B78" s="1" t="n">
        <v>44595</v>
      </c>
      <c r="C78" s="1" t="n">
        <v>46013</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38151-2023</t>
        </is>
      </c>
      <c r="B79" s="1" t="n">
        <v>45160</v>
      </c>
      <c r="C79" s="1" t="n">
        <v>46013</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16733-2025</t>
        </is>
      </c>
      <c r="B80" s="1" t="n">
        <v>45754</v>
      </c>
      <c r="C80" s="1" t="n">
        <v>46013</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2298-2024</t>
        </is>
      </c>
      <c r="B81" s="1" t="n">
        <v>45310.44064814815</v>
      </c>
      <c r="C81" s="1" t="n">
        <v>46013</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10853-2025</t>
        </is>
      </c>
      <c r="B82" s="1" t="n">
        <v>45722.58457175926</v>
      </c>
      <c r="C82" s="1" t="n">
        <v>46013</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46013</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5700-2024</t>
        </is>
      </c>
      <c r="B84" s="1" t="n">
        <v>45335</v>
      </c>
      <c r="C84" s="1" t="n">
        <v>46013</v>
      </c>
      <c r="D84" t="inlineStr">
        <is>
          <t>UPPSALA LÄN</t>
        </is>
      </c>
      <c r="E84" t="inlineStr">
        <is>
          <t>TIERP</t>
        </is>
      </c>
      <c r="G84" t="n">
        <v>1.6</v>
      </c>
      <c r="H84" t="n">
        <v>0</v>
      </c>
      <c r="I84" t="n">
        <v>1</v>
      </c>
      <c r="J84" t="n">
        <v>0</v>
      </c>
      <c r="K84" t="n">
        <v>0</v>
      </c>
      <c r="L84" t="n">
        <v>0</v>
      </c>
      <c r="M84" t="n">
        <v>0</v>
      </c>
      <c r="N84" t="n">
        <v>0</v>
      </c>
      <c r="O84" t="n">
        <v>0</v>
      </c>
      <c r="P84" t="n">
        <v>0</v>
      </c>
      <c r="Q84" t="n">
        <v>1</v>
      </c>
      <c r="R84" s="2" t="inlineStr">
        <is>
          <t>Vårärt</t>
        </is>
      </c>
      <c r="S84">
        <f>HYPERLINK("https://klasma.github.io/Logging_0360/artfynd/A 5700-2024 artfynd.xlsx", "A 5700-2024")</f>
        <v/>
      </c>
      <c r="T84">
        <f>HYPERLINK("https://klasma.github.io/Logging_0360/kartor/A 5700-2024 karta.png", "A 5700-2024")</f>
        <v/>
      </c>
      <c r="V84">
        <f>HYPERLINK("https://klasma.github.io/Logging_0360/klagomål/A 5700-2024 FSC-klagomål.docx", "A 5700-2024")</f>
        <v/>
      </c>
      <c r="W84">
        <f>HYPERLINK("https://klasma.github.io/Logging_0360/klagomålsmail/A 5700-2024 FSC-klagomål mail.docx", "A 5700-2024")</f>
        <v/>
      </c>
      <c r="X84">
        <f>HYPERLINK("https://klasma.github.io/Logging_0360/tillsyn/A 5700-2024 tillsynsbegäran.docx", "A 5700-2024")</f>
        <v/>
      </c>
      <c r="Y84">
        <f>HYPERLINK("https://klasma.github.io/Logging_0360/tillsynsmail/A 5700-2024 tillsynsbegäran mail.docx", "A 5700-2024")</f>
        <v/>
      </c>
    </row>
    <row r="85" ht="15" customHeight="1">
      <c r="A85" t="inlineStr">
        <is>
          <t>A 10848-2025</t>
        </is>
      </c>
      <c r="B85" s="1" t="n">
        <v>45722.58086805556</v>
      </c>
      <c r="C85" s="1" t="n">
        <v>46013</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22777-2025</t>
        </is>
      </c>
      <c r="B86" s="1" t="n">
        <v>45789.63715277778</v>
      </c>
      <c r="C86" s="1" t="n">
        <v>46013</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22601-2025</t>
        </is>
      </c>
      <c r="B87" s="1" t="n">
        <v>45789</v>
      </c>
      <c r="C87" s="1" t="n">
        <v>46013</v>
      </c>
      <c r="D87" t="inlineStr">
        <is>
          <t>UPPSALA LÄN</t>
        </is>
      </c>
      <c r="E87" t="inlineStr">
        <is>
          <t>TIERP</t>
        </is>
      </c>
      <c r="F87" t="inlineStr">
        <is>
          <t>Bergvik skog väst AB</t>
        </is>
      </c>
      <c r="G87" t="n">
        <v>5.2</v>
      </c>
      <c r="H87" t="n">
        <v>0</v>
      </c>
      <c r="I87" t="n">
        <v>0</v>
      </c>
      <c r="J87" t="n">
        <v>0</v>
      </c>
      <c r="K87" t="n">
        <v>0</v>
      </c>
      <c r="L87" t="n">
        <v>1</v>
      </c>
      <c r="M87" t="n">
        <v>0</v>
      </c>
      <c r="N87" t="n">
        <v>0</v>
      </c>
      <c r="O87" t="n">
        <v>1</v>
      </c>
      <c r="P87" t="n">
        <v>1</v>
      </c>
      <c r="Q87" t="n">
        <v>1</v>
      </c>
      <c r="R87" s="2" t="inlineStr">
        <is>
          <t>Ask</t>
        </is>
      </c>
      <c r="S87">
        <f>HYPERLINK("https://klasma.github.io/Logging_0360/artfynd/A 22601-2025 artfynd.xlsx", "A 22601-2025")</f>
        <v/>
      </c>
      <c r="T87">
        <f>HYPERLINK("https://klasma.github.io/Logging_0360/kartor/A 22601-2025 karta.png", "A 22601-2025")</f>
        <v/>
      </c>
      <c r="V87">
        <f>HYPERLINK("https://klasma.github.io/Logging_0360/klagomål/A 22601-2025 FSC-klagomål.docx", "A 22601-2025")</f>
        <v/>
      </c>
      <c r="W87">
        <f>HYPERLINK("https://klasma.github.io/Logging_0360/klagomålsmail/A 22601-2025 FSC-klagomål mail.docx", "A 22601-2025")</f>
        <v/>
      </c>
      <c r="X87">
        <f>HYPERLINK("https://klasma.github.io/Logging_0360/tillsyn/A 22601-2025 tillsynsbegäran.docx", "A 22601-2025")</f>
        <v/>
      </c>
      <c r="Y87">
        <f>HYPERLINK("https://klasma.github.io/Logging_0360/tillsynsmail/A 22601-2025 tillsynsbegäran mail.docx", "A 22601-2025")</f>
        <v/>
      </c>
    </row>
    <row r="88" ht="15" customHeight="1">
      <c r="A88" t="inlineStr">
        <is>
          <t>A 43680-2022</t>
        </is>
      </c>
      <c r="B88" s="1" t="n">
        <v>44837</v>
      </c>
      <c r="C88" s="1" t="n">
        <v>46013</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46013</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46013</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46013</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46013</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46013</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46013</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46013</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46013</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46013</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46013</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46013</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46013</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46013</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46013</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46013</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46013</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46013</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46013</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46013</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46013</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46013</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46013</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46013</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46013</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46013</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46013</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46013</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46013</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46013</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46013</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46013</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46013</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46013</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46013</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46013</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46013</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46013</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46013</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46013</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46013</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46013</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46013</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46013</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46013</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46013</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46013</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46013</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46013</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46013</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46013</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46013</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46013</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46013</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46013</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46013</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46013</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46013</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46013</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46013</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46013</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46013</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46013</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46013</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46013</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46013</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46013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46013</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46013</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46013</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46013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46013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46013</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46013</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46013</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46013</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46013</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46013</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46013</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46013</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46013</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46013</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46013</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46013</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13691-2024</t>
        </is>
      </c>
      <c r="B172" s="1" t="n">
        <v>45390.58060185185</v>
      </c>
      <c r="C172" s="1" t="n">
        <v>46013</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48483-2022</t>
        </is>
      </c>
      <c r="B173" s="1" t="n">
        <v>44858</v>
      </c>
      <c r="C173" s="1" t="n">
        <v>46013</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46013</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15587-2021</t>
        </is>
      </c>
      <c r="B175" s="1" t="n">
        <v>44285.6565162037</v>
      </c>
      <c r="C175" s="1" t="n">
        <v>46013</v>
      </c>
      <c r="D175" t="inlineStr">
        <is>
          <t>UPPSALA LÄN</t>
        </is>
      </c>
      <c r="E175" t="inlineStr">
        <is>
          <t>TIERP</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46013</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46013</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46013</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46013</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34460-2022</t>
        </is>
      </c>
      <c r="B180" s="1" t="n">
        <v>44792</v>
      </c>
      <c r="C180" s="1" t="n">
        <v>46013</v>
      </c>
      <c r="D180" t="inlineStr">
        <is>
          <t>UPPSALA LÄN</t>
        </is>
      </c>
      <c r="E180" t="inlineStr">
        <is>
          <t>TIERP</t>
        </is>
      </c>
      <c r="G180" t="n">
        <v>1.1</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46013</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12786-2024</t>
        </is>
      </c>
      <c r="B182" s="1" t="n">
        <v>45384.60682870371</v>
      </c>
      <c r="C182" s="1" t="n">
        <v>46013</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13354-2024</t>
        </is>
      </c>
      <c r="B183" s="1" t="n">
        <v>45387.33554398148</v>
      </c>
      <c r="C183" s="1" t="n">
        <v>46013</v>
      </c>
      <c r="D183" t="inlineStr">
        <is>
          <t>UPPSALA LÄN</t>
        </is>
      </c>
      <c r="E183" t="inlineStr">
        <is>
          <t>TIERP</t>
        </is>
      </c>
      <c r="G183" t="n">
        <v>3.9</v>
      </c>
      <c r="H183" t="n">
        <v>0</v>
      </c>
      <c r="I183" t="n">
        <v>0</v>
      </c>
      <c r="J183" t="n">
        <v>0</v>
      </c>
      <c r="K183" t="n">
        <v>0</v>
      </c>
      <c r="L183" t="n">
        <v>0</v>
      </c>
      <c r="M183" t="n">
        <v>0</v>
      </c>
      <c r="N183" t="n">
        <v>0</v>
      </c>
      <c r="O183" t="n">
        <v>0</v>
      </c>
      <c r="P183" t="n">
        <v>0</v>
      </c>
      <c r="Q183" t="n">
        <v>0</v>
      </c>
      <c r="R183" s="2" t="inlineStr"/>
    </row>
    <row r="184" ht="15" customHeight="1">
      <c r="A184" t="inlineStr">
        <is>
          <t>A 5857-2021</t>
        </is>
      </c>
      <c r="B184" s="1" t="n">
        <v>44231</v>
      </c>
      <c r="C184" s="1" t="n">
        <v>46013</v>
      </c>
      <c r="D184" t="inlineStr">
        <is>
          <t>UPPSALA LÄN</t>
        </is>
      </c>
      <c r="E184" t="inlineStr">
        <is>
          <t>TIERP</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46013</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46013</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24238-2024</t>
        </is>
      </c>
      <c r="B187" s="1" t="n">
        <v>45457</v>
      </c>
      <c r="C187" s="1" t="n">
        <v>46013</v>
      </c>
      <c r="D187" t="inlineStr">
        <is>
          <t>UPPSALA LÄN</t>
        </is>
      </c>
      <c r="E187" t="inlineStr">
        <is>
          <t>TIERP</t>
        </is>
      </c>
      <c r="G187" t="n">
        <v>4.2</v>
      </c>
      <c r="H187" t="n">
        <v>0</v>
      </c>
      <c r="I187" t="n">
        <v>0</v>
      </c>
      <c r="J187" t="n">
        <v>0</v>
      </c>
      <c r="K187" t="n">
        <v>0</v>
      </c>
      <c r="L187" t="n">
        <v>0</v>
      </c>
      <c r="M187" t="n">
        <v>0</v>
      </c>
      <c r="N187" t="n">
        <v>0</v>
      </c>
      <c r="O187" t="n">
        <v>0</v>
      </c>
      <c r="P187" t="n">
        <v>0</v>
      </c>
      <c r="Q187" t="n">
        <v>0</v>
      </c>
      <c r="R187" s="2" t="inlineStr"/>
    </row>
    <row r="188" ht="15" customHeight="1">
      <c r="A188" t="inlineStr">
        <is>
          <t>A 61617-2022</t>
        </is>
      </c>
      <c r="B188" s="1" t="n">
        <v>44916.6696875</v>
      </c>
      <c r="C188" s="1" t="n">
        <v>46013</v>
      </c>
      <c r="D188" t="inlineStr">
        <is>
          <t>UPPSALA LÄN</t>
        </is>
      </c>
      <c r="E188" t="inlineStr">
        <is>
          <t>TIERP</t>
        </is>
      </c>
      <c r="G188" t="n">
        <v>0.3</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46013</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46013</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46013</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46013</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17944-2023</t>
        </is>
      </c>
      <c r="B193" s="1" t="n">
        <v>45040.43703703704</v>
      </c>
      <c r="C193" s="1" t="n">
        <v>46013</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46013</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24124-2025</t>
        </is>
      </c>
      <c r="B195" s="1" t="n">
        <v>45796.6252662037</v>
      </c>
      <c r="C195" s="1" t="n">
        <v>46013</v>
      </c>
      <c r="D195" t="inlineStr">
        <is>
          <t>UPPSALA LÄN</t>
        </is>
      </c>
      <c r="E195" t="inlineStr">
        <is>
          <t>TIERP</t>
        </is>
      </c>
      <c r="F195" t="inlineStr">
        <is>
          <t>Bergvik skog öst AB</t>
        </is>
      </c>
      <c r="G195" t="n">
        <v>2.8</v>
      </c>
      <c r="H195" t="n">
        <v>0</v>
      </c>
      <c r="I195" t="n">
        <v>0</v>
      </c>
      <c r="J195" t="n">
        <v>0</v>
      </c>
      <c r="K195" t="n">
        <v>0</v>
      </c>
      <c r="L195" t="n">
        <v>0</v>
      </c>
      <c r="M195" t="n">
        <v>0</v>
      </c>
      <c r="N195" t="n">
        <v>0</v>
      </c>
      <c r="O195" t="n">
        <v>0</v>
      </c>
      <c r="P195" t="n">
        <v>0</v>
      </c>
      <c r="Q195" t="n">
        <v>0</v>
      </c>
      <c r="R195" s="2" t="inlineStr"/>
    </row>
    <row r="196" ht="15" customHeight="1">
      <c r="A196" t="inlineStr">
        <is>
          <t>A 24150-2025</t>
        </is>
      </c>
      <c r="B196" s="1" t="n">
        <v>45796.65540509259</v>
      </c>
      <c r="C196" s="1" t="n">
        <v>46013</v>
      </c>
      <c r="D196" t="inlineStr">
        <is>
          <t>UPPSALA LÄN</t>
        </is>
      </c>
      <c r="E196" t="inlineStr">
        <is>
          <t>TIERP</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33677-2023</t>
        </is>
      </c>
      <c r="B197" s="1" t="n">
        <v>45119</v>
      </c>
      <c r="C197" s="1" t="n">
        <v>46013</v>
      </c>
      <c r="D197" t="inlineStr">
        <is>
          <t>UPPSALA LÄN</t>
        </is>
      </c>
      <c r="E197" t="inlineStr">
        <is>
          <t>TIERP</t>
        </is>
      </c>
      <c r="F197" t="inlineStr">
        <is>
          <t>Bergvik skog väst AB</t>
        </is>
      </c>
      <c r="G197" t="n">
        <v>57.7</v>
      </c>
      <c r="H197" t="n">
        <v>0</v>
      </c>
      <c r="I197" t="n">
        <v>0</v>
      </c>
      <c r="J197" t="n">
        <v>0</v>
      </c>
      <c r="K197" t="n">
        <v>0</v>
      </c>
      <c r="L197" t="n">
        <v>0</v>
      </c>
      <c r="M197" t="n">
        <v>0</v>
      </c>
      <c r="N197" t="n">
        <v>0</v>
      </c>
      <c r="O197" t="n">
        <v>0</v>
      </c>
      <c r="P197" t="n">
        <v>0</v>
      </c>
      <c r="Q197" t="n">
        <v>0</v>
      </c>
      <c r="R197" s="2" t="inlineStr"/>
    </row>
    <row r="198" ht="15" customHeight="1">
      <c r="A198" t="inlineStr">
        <is>
          <t>A 24278-2021</t>
        </is>
      </c>
      <c r="B198" s="1" t="n">
        <v>44337</v>
      </c>
      <c r="C198" s="1" t="n">
        <v>46013</v>
      </c>
      <c r="D198" t="inlineStr">
        <is>
          <t>UPPSALA LÄN</t>
        </is>
      </c>
      <c r="E198" t="inlineStr">
        <is>
          <t>TIERP</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44382-2024</t>
        </is>
      </c>
      <c r="B199" s="1" t="n">
        <v>45573.66729166666</v>
      </c>
      <c r="C199" s="1" t="n">
        <v>46013</v>
      </c>
      <c r="D199" t="inlineStr">
        <is>
          <t>UPPSALA LÄN</t>
        </is>
      </c>
      <c r="E199" t="inlineStr">
        <is>
          <t>TIERP</t>
        </is>
      </c>
      <c r="G199" t="n">
        <v>4.7</v>
      </c>
      <c r="H199" t="n">
        <v>0</v>
      </c>
      <c r="I199" t="n">
        <v>0</v>
      </c>
      <c r="J199" t="n">
        <v>0</v>
      </c>
      <c r="K199" t="n">
        <v>0</v>
      </c>
      <c r="L199" t="n">
        <v>0</v>
      </c>
      <c r="M199" t="n">
        <v>0</v>
      </c>
      <c r="N199" t="n">
        <v>0</v>
      </c>
      <c r="O199" t="n">
        <v>0</v>
      </c>
      <c r="P199" t="n">
        <v>0</v>
      </c>
      <c r="Q199" t="n">
        <v>0</v>
      </c>
      <c r="R199" s="2" t="inlineStr"/>
    </row>
    <row r="200" ht="15" customHeight="1">
      <c r="A200" t="inlineStr">
        <is>
          <t>A 61640-2023</t>
        </is>
      </c>
      <c r="B200" s="1" t="n">
        <v>45265.56704861111</v>
      </c>
      <c r="C200" s="1" t="n">
        <v>46013</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48736-2023</t>
        </is>
      </c>
      <c r="B201" s="1" t="n">
        <v>45203</v>
      </c>
      <c r="C201" s="1" t="n">
        <v>46013</v>
      </c>
      <c r="D201" t="inlineStr">
        <is>
          <t>UPPSALA LÄN</t>
        </is>
      </c>
      <c r="E201" t="inlineStr">
        <is>
          <t>TIERP</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8879-2025</t>
        </is>
      </c>
      <c r="B202" s="1" t="n">
        <v>45713</v>
      </c>
      <c r="C202" s="1" t="n">
        <v>46013</v>
      </c>
      <c r="D202" t="inlineStr">
        <is>
          <t>UPPSALA LÄN</t>
        </is>
      </c>
      <c r="E202" t="inlineStr">
        <is>
          <t>TIERP</t>
        </is>
      </c>
      <c r="F202" t="inlineStr">
        <is>
          <t>Bergvik skog öst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23796-2025</t>
        </is>
      </c>
      <c r="B203" s="1" t="n">
        <v>45793.5515162037</v>
      </c>
      <c r="C203" s="1" t="n">
        <v>46013</v>
      </c>
      <c r="D203" t="inlineStr">
        <is>
          <t>UPPSALA LÄN</t>
        </is>
      </c>
      <c r="E203" t="inlineStr">
        <is>
          <t>TIERP</t>
        </is>
      </c>
      <c r="G203" t="n">
        <v>1.2</v>
      </c>
      <c r="H203" t="n">
        <v>0</v>
      </c>
      <c r="I203" t="n">
        <v>0</v>
      </c>
      <c r="J203" t="n">
        <v>0</v>
      </c>
      <c r="K203" t="n">
        <v>0</v>
      </c>
      <c r="L203" t="n">
        <v>0</v>
      </c>
      <c r="M203" t="n">
        <v>0</v>
      </c>
      <c r="N203" t="n">
        <v>0</v>
      </c>
      <c r="O203" t="n">
        <v>0</v>
      </c>
      <c r="P203" t="n">
        <v>0</v>
      </c>
      <c r="Q203" t="n">
        <v>0</v>
      </c>
      <c r="R203" s="2" t="inlineStr"/>
    </row>
    <row r="204" ht="15" customHeight="1">
      <c r="A204" t="inlineStr">
        <is>
          <t>A 47422-2022</t>
        </is>
      </c>
      <c r="B204" s="1" t="n">
        <v>44853.57118055555</v>
      </c>
      <c r="C204" s="1" t="n">
        <v>46013</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24160-2025</t>
        </is>
      </c>
      <c r="B205" s="1" t="n">
        <v>45796.66336805555</v>
      </c>
      <c r="C205" s="1" t="n">
        <v>46013</v>
      </c>
      <c r="D205" t="inlineStr">
        <is>
          <t>UPPSALA LÄN</t>
        </is>
      </c>
      <c r="E205" t="inlineStr">
        <is>
          <t>TIERP</t>
        </is>
      </c>
      <c r="F205" t="inlineStr">
        <is>
          <t>Bergvik skog öst AB</t>
        </is>
      </c>
      <c r="G205" t="n">
        <v>6.4</v>
      </c>
      <c r="H205" t="n">
        <v>0</v>
      </c>
      <c r="I205" t="n">
        <v>0</v>
      </c>
      <c r="J205" t="n">
        <v>0</v>
      </c>
      <c r="K205" t="n">
        <v>0</v>
      </c>
      <c r="L205" t="n">
        <v>0</v>
      </c>
      <c r="M205" t="n">
        <v>0</v>
      </c>
      <c r="N205" t="n">
        <v>0</v>
      </c>
      <c r="O205" t="n">
        <v>0</v>
      </c>
      <c r="P205" t="n">
        <v>0</v>
      </c>
      <c r="Q205" t="n">
        <v>0</v>
      </c>
      <c r="R205" s="2" t="inlineStr"/>
    </row>
    <row r="206" ht="15" customHeight="1">
      <c r="A206" t="inlineStr">
        <is>
          <t>A 24807-2025</t>
        </is>
      </c>
      <c r="B206" s="1" t="n">
        <v>45799.44140046297</v>
      </c>
      <c r="C206" s="1" t="n">
        <v>46013</v>
      </c>
      <c r="D206" t="inlineStr">
        <is>
          <t>UPPSALA LÄN</t>
        </is>
      </c>
      <c r="E206" t="inlineStr">
        <is>
          <t>TIERP</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24975-2025</t>
        </is>
      </c>
      <c r="B207" s="1" t="n">
        <v>45799.59126157407</v>
      </c>
      <c r="C207" s="1" t="n">
        <v>46013</v>
      </c>
      <c r="D207" t="inlineStr">
        <is>
          <t>UPPSALA LÄN</t>
        </is>
      </c>
      <c r="E207" t="inlineStr">
        <is>
          <t>TIERP</t>
        </is>
      </c>
      <c r="G207" t="n">
        <v>5.7</v>
      </c>
      <c r="H207" t="n">
        <v>0</v>
      </c>
      <c r="I207" t="n">
        <v>0</v>
      </c>
      <c r="J207" t="n">
        <v>0</v>
      </c>
      <c r="K207" t="n">
        <v>0</v>
      </c>
      <c r="L207" t="n">
        <v>0</v>
      </c>
      <c r="M207" t="n">
        <v>0</v>
      </c>
      <c r="N207" t="n">
        <v>0</v>
      </c>
      <c r="O207" t="n">
        <v>0</v>
      </c>
      <c r="P207" t="n">
        <v>0</v>
      </c>
      <c r="Q207" t="n">
        <v>0</v>
      </c>
      <c r="R207" s="2" t="inlineStr"/>
    </row>
    <row r="208" ht="15" customHeight="1">
      <c r="A208" t="inlineStr">
        <is>
          <t>A 30509-2024</t>
        </is>
      </c>
      <c r="B208" s="1" t="n">
        <v>45492.45841435185</v>
      </c>
      <c r="C208" s="1" t="n">
        <v>46013</v>
      </c>
      <c r="D208" t="inlineStr">
        <is>
          <t>UPPSALA LÄN</t>
        </is>
      </c>
      <c r="E208" t="inlineStr">
        <is>
          <t>TIERP</t>
        </is>
      </c>
      <c r="F208" t="inlineStr">
        <is>
          <t>Bergvik skog öst AB</t>
        </is>
      </c>
      <c r="G208" t="n">
        <v>2.4</v>
      </c>
      <c r="H208" t="n">
        <v>0</v>
      </c>
      <c r="I208" t="n">
        <v>0</v>
      </c>
      <c r="J208" t="n">
        <v>0</v>
      </c>
      <c r="K208" t="n">
        <v>0</v>
      </c>
      <c r="L208" t="n">
        <v>0</v>
      </c>
      <c r="M208" t="n">
        <v>0</v>
      </c>
      <c r="N208" t="n">
        <v>0</v>
      </c>
      <c r="O208" t="n">
        <v>0</v>
      </c>
      <c r="P208" t="n">
        <v>0</v>
      </c>
      <c r="Q208" t="n">
        <v>0</v>
      </c>
      <c r="R208" s="2" t="inlineStr"/>
    </row>
    <row r="209" ht="15" customHeight="1">
      <c r="A209" t="inlineStr">
        <is>
          <t>A 61152-2024</t>
        </is>
      </c>
      <c r="B209" s="1" t="n">
        <v>45645</v>
      </c>
      <c r="C209" s="1" t="n">
        <v>46013</v>
      </c>
      <c r="D209" t="inlineStr">
        <is>
          <t>UPPSALA LÄN</t>
        </is>
      </c>
      <c r="E209" t="inlineStr">
        <is>
          <t>TIERP</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61156-2024</t>
        </is>
      </c>
      <c r="B210" s="1" t="n">
        <v>45645.59362268518</v>
      </c>
      <c r="C210" s="1" t="n">
        <v>46013</v>
      </c>
      <c r="D210" t="inlineStr">
        <is>
          <t>UPPSALA LÄN</t>
        </is>
      </c>
      <c r="E210" t="inlineStr">
        <is>
          <t>TIERP</t>
        </is>
      </c>
      <c r="F210" t="inlineStr">
        <is>
          <t>Bergvik skog väst AB</t>
        </is>
      </c>
      <c r="G210" t="n">
        <v>10.6</v>
      </c>
      <c r="H210" t="n">
        <v>0</v>
      </c>
      <c r="I210" t="n">
        <v>0</v>
      </c>
      <c r="J210" t="n">
        <v>0</v>
      </c>
      <c r="K210" t="n">
        <v>0</v>
      </c>
      <c r="L210" t="n">
        <v>0</v>
      </c>
      <c r="M210" t="n">
        <v>0</v>
      </c>
      <c r="N210" t="n">
        <v>0</v>
      </c>
      <c r="O210" t="n">
        <v>0</v>
      </c>
      <c r="P210" t="n">
        <v>0</v>
      </c>
      <c r="Q210" t="n">
        <v>0</v>
      </c>
      <c r="R210" s="2" t="inlineStr"/>
    </row>
    <row r="211" ht="15" customHeight="1">
      <c r="A211" t="inlineStr">
        <is>
          <t>A 39044-2025</t>
        </is>
      </c>
      <c r="B211" s="1" t="n">
        <v>45888.43912037037</v>
      </c>
      <c r="C211" s="1" t="n">
        <v>46013</v>
      </c>
      <c r="D211" t="inlineStr">
        <is>
          <t>UPPSALA LÄN</t>
        </is>
      </c>
      <c r="E211" t="inlineStr">
        <is>
          <t>TIERP</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46013</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38940-2025</t>
        </is>
      </c>
      <c r="B213" s="1" t="n">
        <v>45887.64688657408</v>
      </c>
      <c r="C213" s="1" t="n">
        <v>46013</v>
      </c>
      <c r="D213" t="inlineStr">
        <is>
          <t>UPPSALA LÄN</t>
        </is>
      </c>
      <c r="E213" t="inlineStr">
        <is>
          <t>TIERP</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46013</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10551-2024</t>
        </is>
      </c>
      <c r="B215" s="1" t="n">
        <v>45366.58351851852</v>
      </c>
      <c r="C215" s="1" t="n">
        <v>46013</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25671-2025</t>
        </is>
      </c>
      <c r="B216" s="1" t="n">
        <v>45803.63006944444</v>
      </c>
      <c r="C216" s="1" t="n">
        <v>46013</v>
      </c>
      <c r="D216" t="inlineStr">
        <is>
          <t>UPPSALA LÄN</t>
        </is>
      </c>
      <c r="E216" t="inlineStr">
        <is>
          <t>TIERP</t>
        </is>
      </c>
      <c r="G216" t="n">
        <v>1.8</v>
      </c>
      <c r="H216" t="n">
        <v>0</v>
      </c>
      <c r="I216" t="n">
        <v>0</v>
      </c>
      <c r="J216" t="n">
        <v>0</v>
      </c>
      <c r="K216" t="n">
        <v>0</v>
      </c>
      <c r="L216" t="n">
        <v>0</v>
      </c>
      <c r="M216" t="n">
        <v>0</v>
      </c>
      <c r="N216" t="n">
        <v>0</v>
      </c>
      <c r="O216" t="n">
        <v>0</v>
      </c>
      <c r="P216" t="n">
        <v>0</v>
      </c>
      <c r="Q216" t="n">
        <v>0</v>
      </c>
      <c r="R216" s="2" t="inlineStr"/>
    </row>
    <row r="217" ht="15" customHeight="1">
      <c r="A217" t="inlineStr">
        <is>
          <t>A 25900-2025</t>
        </is>
      </c>
      <c r="B217" s="1" t="n">
        <v>45804.54819444445</v>
      </c>
      <c r="C217" s="1" t="n">
        <v>46013</v>
      </c>
      <c r="D217" t="inlineStr">
        <is>
          <t>UPPSALA LÄN</t>
        </is>
      </c>
      <c r="E217" t="inlineStr">
        <is>
          <t>TIERP</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13460-2024</t>
        </is>
      </c>
      <c r="B218" s="1" t="n">
        <v>45387.55097222222</v>
      </c>
      <c r="C218" s="1" t="n">
        <v>46013</v>
      </c>
      <c r="D218" t="inlineStr">
        <is>
          <t>UPPSALA LÄN</t>
        </is>
      </c>
      <c r="E218" t="inlineStr">
        <is>
          <t>TIERP</t>
        </is>
      </c>
      <c r="G218" t="n">
        <v>0.9</v>
      </c>
      <c r="H218" t="n">
        <v>0</v>
      </c>
      <c r="I218" t="n">
        <v>0</v>
      </c>
      <c r="J218" t="n">
        <v>0</v>
      </c>
      <c r="K218" t="n">
        <v>0</v>
      </c>
      <c r="L218" t="n">
        <v>0</v>
      </c>
      <c r="M218" t="n">
        <v>0</v>
      </c>
      <c r="N218" t="n">
        <v>0</v>
      </c>
      <c r="O218" t="n">
        <v>0</v>
      </c>
      <c r="P218" t="n">
        <v>0</v>
      </c>
      <c r="Q218" t="n">
        <v>0</v>
      </c>
      <c r="R218" s="2" t="inlineStr"/>
    </row>
    <row r="219" ht="15" customHeight="1">
      <c r="A219" t="inlineStr">
        <is>
          <t>A 25953-2025</t>
        </is>
      </c>
      <c r="B219" s="1" t="n">
        <v>45804.60184027778</v>
      </c>
      <c r="C219" s="1" t="n">
        <v>46013</v>
      </c>
      <c r="D219" t="inlineStr">
        <is>
          <t>UPPSALA LÄN</t>
        </is>
      </c>
      <c r="E219" t="inlineStr">
        <is>
          <t>TIERP</t>
        </is>
      </c>
      <c r="F219" t="inlineStr">
        <is>
          <t>Bergvik skog öst AB</t>
        </is>
      </c>
      <c r="G219" t="n">
        <v>4.7</v>
      </c>
      <c r="H219" t="n">
        <v>0</v>
      </c>
      <c r="I219" t="n">
        <v>0</v>
      </c>
      <c r="J219" t="n">
        <v>0</v>
      </c>
      <c r="K219" t="n">
        <v>0</v>
      </c>
      <c r="L219" t="n">
        <v>0</v>
      </c>
      <c r="M219" t="n">
        <v>0</v>
      </c>
      <c r="N219" t="n">
        <v>0</v>
      </c>
      <c r="O219" t="n">
        <v>0</v>
      </c>
      <c r="P219" t="n">
        <v>0</v>
      </c>
      <c r="Q219" t="n">
        <v>0</v>
      </c>
      <c r="R219" s="2" t="inlineStr"/>
    </row>
    <row r="220" ht="15" customHeight="1">
      <c r="A220" t="inlineStr">
        <is>
          <t>A 22274-2025</t>
        </is>
      </c>
      <c r="B220" s="1" t="n">
        <v>45786</v>
      </c>
      <c r="C220" s="1" t="n">
        <v>46013</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46013</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25927-2025</t>
        </is>
      </c>
      <c r="B222" s="1" t="n">
        <v>45804.57641203704</v>
      </c>
      <c r="C222" s="1" t="n">
        <v>46013</v>
      </c>
      <c r="D222" t="inlineStr">
        <is>
          <t>UPPSALA LÄN</t>
        </is>
      </c>
      <c r="E222" t="inlineStr">
        <is>
          <t>TIERP</t>
        </is>
      </c>
      <c r="F222" t="inlineStr">
        <is>
          <t>Bergvik skog öst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26040-2025</t>
        </is>
      </c>
      <c r="B223" s="1" t="n">
        <v>45804.69550925926</v>
      </c>
      <c r="C223" s="1" t="n">
        <v>46013</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64540-2023</t>
        </is>
      </c>
      <c r="B224" s="1" t="n">
        <v>45281.37799768519</v>
      </c>
      <c r="C224" s="1" t="n">
        <v>46013</v>
      </c>
      <c r="D224" t="inlineStr">
        <is>
          <t>UPPSALA LÄN</t>
        </is>
      </c>
      <c r="E224" t="inlineStr">
        <is>
          <t>TIERP</t>
        </is>
      </c>
      <c r="G224" t="n">
        <v>2.3</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46013</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39380-2025</t>
        </is>
      </c>
      <c r="B226" s="1" t="n">
        <v>45889.60385416666</v>
      </c>
      <c r="C226" s="1" t="n">
        <v>46013</v>
      </c>
      <c r="D226" t="inlineStr">
        <is>
          <t>UPPSALA LÄN</t>
        </is>
      </c>
      <c r="E226" t="inlineStr">
        <is>
          <t>TIERP</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23312-2025</t>
        </is>
      </c>
      <c r="B227" s="1" t="n">
        <v>45791</v>
      </c>
      <c r="C227" s="1" t="n">
        <v>46013</v>
      </c>
      <c r="D227" t="inlineStr">
        <is>
          <t>UPPSALA LÄN</t>
        </is>
      </c>
      <c r="E227" t="inlineStr">
        <is>
          <t>TIERP</t>
        </is>
      </c>
      <c r="G227" t="n">
        <v>3</v>
      </c>
      <c r="H227" t="n">
        <v>0</v>
      </c>
      <c r="I227" t="n">
        <v>0</v>
      </c>
      <c r="J227" t="n">
        <v>0</v>
      </c>
      <c r="K227" t="n">
        <v>0</v>
      </c>
      <c r="L227" t="n">
        <v>0</v>
      </c>
      <c r="M227" t="n">
        <v>0</v>
      </c>
      <c r="N227" t="n">
        <v>0</v>
      </c>
      <c r="O227" t="n">
        <v>0</v>
      </c>
      <c r="P227" t="n">
        <v>0</v>
      </c>
      <c r="Q227" t="n">
        <v>0</v>
      </c>
      <c r="R227" s="2" t="inlineStr"/>
    </row>
    <row r="228" ht="15" customHeight="1">
      <c r="A228" t="inlineStr">
        <is>
          <t>A 26321-2025</t>
        </is>
      </c>
      <c r="B228" s="1" t="n">
        <v>45805</v>
      </c>
      <c r="C228" s="1" t="n">
        <v>46013</v>
      </c>
      <c r="D228" t="inlineStr">
        <is>
          <t>UPPSALA LÄN</t>
        </is>
      </c>
      <c r="E228" t="inlineStr">
        <is>
          <t>TIERP</t>
        </is>
      </c>
      <c r="G228" t="n">
        <v>3.8</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46013</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37053-2024</t>
        </is>
      </c>
      <c r="B230" s="1" t="n">
        <v>45539.43512731481</v>
      </c>
      <c r="C230" s="1" t="n">
        <v>46013</v>
      </c>
      <c r="D230" t="inlineStr">
        <is>
          <t>UPPSALA LÄN</t>
        </is>
      </c>
      <c r="E230" t="inlineStr">
        <is>
          <t>TIERP</t>
        </is>
      </c>
      <c r="G230" t="n">
        <v>1.7</v>
      </c>
      <c r="H230" t="n">
        <v>0</v>
      </c>
      <c r="I230" t="n">
        <v>0</v>
      </c>
      <c r="J230" t="n">
        <v>0</v>
      </c>
      <c r="K230" t="n">
        <v>0</v>
      </c>
      <c r="L230" t="n">
        <v>0</v>
      </c>
      <c r="M230" t="n">
        <v>0</v>
      </c>
      <c r="N230" t="n">
        <v>0</v>
      </c>
      <c r="O230" t="n">
        <v>0</v>
      </c>
      <c r="P230" t="n">
        <v>0</v>
      </c>
      <c r="Q230" t="n">
        <v>0</v>
      </c>
      <c r="R230" s="2" t="inlineStr"/>
    </row>
    <row r="231" ht="15" customHeight="1">
      <c r="A231" t="inlineStr">
        <is>
          <t>A 59534-2022</t>
        </is>
      </c>
      <c r="B231" s="1" t="n">
        <v>44907.56795138889</v>
      </c>
      <c r="C231" s="1" t="n">
        <v>46013</v>
      </c>
      <c r="D231" t="inlineStr">
        <is>
          <t>UPPSALA LÄN</t>
        </is>
      </c>
      <c r="E231" t="inlineStr">
        <is>
          <t>TIERP</t>
        </is>
      </c>
      <c r="G231" t="n">
        <v>2</v>
      </c>
      <c r="H231" t="n">
        <v>0</v>
      </c>
      <c r="I231" t="n">
        <v>0</v>
      </c>
      <c r="J231" t="n">
        <v>0</v>
      </c>
      <c r="K231" t="n">
        <v>0</v>
      </c>
      <c r="L231" t="n">
        <v>0</v>
      </c>
      <c r="M231" t="n">
        <v>0</v>
      </c>
      <c r="N231" t="n">
        <v>0</v>
      </c>
      <c r="O231" t="n">
        <v>0</v>
      </c>
      <c r="P231" t="n">
        <v>0</v>
      </c>
      <c r="Q231" t="n">
        <v>0</v>
      </c>
      <c r="R231" s="2" t="inlineStr"/>
    </row>
    <row r="232" ht="15" customHeight="1">
      <c r="A232" t="inlineStr">
        <is>
          <t>A 26714-2025</t>
        </is>
      </c>
      <c r="B232" s="1" t="n">
        <v>45810.47152777778</v>
      </c>
      <c r="C232" s="1" t="n">
        <v>46013</v>
      </c>
      <c r="D232" t="inlineStr">
        <is>
          <t>UPPSALA LÄN</t>
        </is>
      </c>
      <c r="E232" t="inlineStr">
        <is>
          <t>TIERP</t>
        </is>
      </c>
      <c r="G232" t="n">
        <v>2.2</v>
      </c>
      <c r="H232" t="n">
        <v>0</v>
      </c>
      <c r="I232" t="n">
        <v>0</v>
      </c>
      <c r="J232" t="n">
        <v>0</v>
      </c>
      <c r="K232" t="n">
        <v>0</v>
      </c>
      <c r="L232" t="n">
        <v>0</v>
      </c>
      <c r="M232" t="n">
        <v>0</v>
      </c>
      <c r="N232" t="n">
        <v>0</v>
      </c>
      <c r="O232" t="n">
        <v>0</v>
      </c>
      <c r="P232" t="n">
        <v>0</v>
      </c>
      <c r="Q232" t="n">
        <v>0</v>
      </c>
      <c r="R232" s="2" t="inlineStr"/>
    </row>
    <row r="233" ht="15" customHeight="1">
      <c r="A233" t="inlineStr">
        <is>
          <t>A 39790-2025</t>
        </is>
      </c>
      <c r="B233" s="1" t="n">
        <v>45891.48542824074</v>
      </c>
      <c r="C233" s="1" t="n">
        <v>46013</v>
      </c>
      <c r="D233" t="inlineStr">
        <is>
          <t>UPPSALA LÄN</t>
        </is>
      </c>
      <c r="E233" t="inlineStr">
        <is>
          <t>TIERP</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34980-2024</t>
        </is>
      </c>
      <c r="B234" s="1" t="n">
        <v>45527</v>
      </c>
      <c r="C234" s="1" t="n">
        <v>46013</v>
      </c>
      <c r="D234" t="inlineStr">
        <is>
          <t>UPPSALA LÄN</t>
        </is>
      </c>
      <c r="E234" t="inlineStr">
        <is>
          <t>TIERP</t>
        </is>
      </c>
      <c r="G234" t="n">
        <v>4.6</v>
      </c>
      <c r="H234" t="n">
        <v>0</v>
      </c>
      <c r="I234" t="n">
        <v>0</v>
      </c>
      <c r="J234" t="n">
        <v>0</v>
      </c>
      <c r="K234" t="n">
        <v>0</v>
      </c>
      <c r="L234" t="n">
        <v>0</v>
      </c>
      <c r="M234" t="n">
        <v>0</v>
      </c>
      <c r="N234" t="n">
        <v>0</v>
      </c>
      <c r="O234" t="n">
        <v>0</v>
      </c>
      <c r="P234" t="n">
        <v>0</v>
      </c>
      <c r="Q234" t="n">
        <v>0</v>
      </c>
      <c r="R234" s="2" t="inlineStr"/>
    </row>
    <row r="235" ht="15" customHeight="1">
      <c r="A235" t="inlineStr">
        <is>
          <t>A 29056-2025</t>
        </is>
      </c>
      <c r="B235" s="1" t="n">
        <v>45821.47273148148</v>
      </c>
      <c r="C235" s="1" t="n">
        <v>46013</v>
      </c>
      <c r="D235" t="inlineStr">
        <is>
          <t>UPPSALA LÄN</t>
        </is>
      </c>
      <c r="E235" t="inlineStr">
        <is>
          <t>TIERP</t>
        </is>
      </c>
      <c r="F235" t="inlineStr">
        <is>
          <t>Bergvik skog öst AB</t>
        </is>
      </c>
      <c r="G235" t="n">
        <v>8.9</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46013</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14241-2024</t>
        </is>
      </c>
      <c r="B237" s="1" t="n">
        <v>45393</v>
      </c>
      <c r="C237" s="1" t="n">
        <v>46013</v>
      </c>
      <c r="D237" t="inlineStr">
        <is>
          <t>UPPSALA LÄN</t>
        </is>
      </c>
      <c r="E237" t="inlineStr">
        <is>
          <t>TIERP</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4314-2025</t>
        </is>
      </c>
      <c r="B238" s="1" t="n">
        <v>45685.70260416667</v>
      </c>
      <c r="C238" s="1" t="n">
        <v>46013</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34198-2023</t>
        </is>
      </c>
      <c r="B239" s="1" t="n">
        <v>45138</v>
      </c>
      <c r="C239" s="1" t="n">
        <v>46013</v>
      </c>
      <c r="D239" t="inlineStr">
        <is>
          <t>UPPSALA LÄN</t>
        </is>
      </c>
      <c r="E239" t="inlineStr">
        <is>
          <t>TIERP</t>
        </is>
      </c>
      <c r="F239" t="inlineStr">
        <is>
          <t>Bergvik skog öst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7065-2024</t>
        </is>
      </c>
      <c r="B240" s="1" t="n">
        <v>45343.66717592593</v>
      </c>
      <c r="C240" s="1" t="n">
        <v>46013</v>
      </c>
      <c r="D240" t="inlineStr">
        <is>
          <t>UPPSALA LÄN</t>
        </is>
      </c>
      <c r="E240" t="inlineStr">
        <is>
          <t>TIERP</t>
        </is>
      </c>
      <c r="G240" t="n">
        <v>1.1</v>
      </c>
      <c r="H240" t="n">
        <v>0</v>
      </c>
      <c r="I240" t="n">
        <v>0</v>
      </c>
      <c r="J240" t="n">
        <v>0</v>
      </c>
      <c r="K240" t="n">
        <v>0</v>
      </c>
      <c r="L240" t="n">
        <v>0</v>
      </c>
      <c r="M240" t="n">
        <v>0</v>
      </c>
      <c r="N240" t="n">
        <v>0</v>
      </c>
      <c r="O240" t="n">
        <v>0</v>
      </c>
      <c r="P240" t="n">
        <v>0</v>
      </c>
      <c r="Q240" t="n">
        <v>0</v>
      </c>
      <c r="R240" s="2" t="inlineStr"/>
    </row>
    <row r="241" ht="15" customHeight="1">
      <c r="A241" t="inlineStr">
        <is>
          <t>A 40163-2025</t>
        </is>
      </c>
      <c r="B241" s="1" t="n">
        <v>45894.6178125</v>
      </c>
      <c r="C241" s="1" t="n">
        <v>46013</v>
      </c>
      <c r="D241" t="inlineStr">
        <is>
          <t>UPPSALA LÄN</t>
        </is>
      </c>
      <c r="E241" t="inlineStr">
        <is>
          <t>TIERP</t>
        </is>
      </c>
      <c r="G241" t="n">
        <v>2.1</v>
      </c>
      <c r="H241" t="n">
        <v>0</v>
      </c>
      <c r="I241" t="n">
        <v>0</v>
      </c>
      <c r="J241" t="n">
        <v>0</v>
      </c>
      <c r="K241" t="n">
        <v>0</v>
      </c>
      <c r="L241" t="n">
        <v>0</v>
      </c>
      <c r="M241" t="n">
        <v>0</v>
      </c>
      <c r="N241" t="n">
        <v>0</v>
      </c>
      <c r="O241" t="n">
        <v>0</v>
      </c>
      <c r="P241" t="n">
        <v>0</v>
      </c>
      <c r="Q241" t="n">
        <v>0</v>
      </c>
      <c r="R241" s="2" t="inlineStr"/>
    </row>
    <row r="242" ht="15" customHeight="1">
      <c r="A242" t="inlineStr">
        <is>
          <t>A 40164-2025</t>
        </is>
      </c>
      <c r="B242" s="1" t="n">
        <v>45894.62137731481</v>
      </c>
      <c r="C242" s="1" t="n">
        <v>46013</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46013</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46013</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15193-2024</t>
        </is>
      </c>
      <c r="B245" s="1" t="n">
        <v>45400.41387731482</v>
      </c>
      <c r="C245" s="1" t="n">
        <v>46013</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40627-2025</t>
        </is>
      </c>
      <c r="B246" s="1" t="n">
        <v>45896.58956018519</v>
      </c>
      <c r="C246" s="1" t="n">
        <v>46013</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27270-2025</t>
        </is>
      </c>
      <c r="B247" s="1" t="n">
        <v>45812.4972337963</v>
      </c>
      <c r="C247" s="1" t="n">
        <v>46013</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27360-2025</t>
        </is>
      </c>
      <c r="B248" s="1" t="n">
        <v>45812.63758101852</v>
      </c>
      <c r="C248" s="1" t="n">
        <v>46013</v>
      </c>
      <c r="D248" t="inlineStr">
        <is>
          <t>UPPSALA LÄN</t>
        </is>
      </c>
      <c r="E248" t="inlineStr">
        <is>
          <t>TIERP</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46013</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27252-2025</t>
        </is>
      </c>
      <c r="B250" s="1" t="n">
        <v>45812.47153935185</v>
      </c>
      <c r="C250" s="1" t="n">
        <v>46013</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46013</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5967-2023</t>
        </is>
      </c>
      <c r="B252" s="1" t="n">
        <v>44964</v>
      </c>
      <c r="C252" s="1" t="n">
        <v>46013</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5993-2023</t>
        </is>
      </c>
      <c r="B253" s="1" t="n">
        <v>44964</v>
      </c>
      <c r="C253" s="1" t="n">
        <v>46013</v>
      </c>
      <c r="D253" t="inlineStr">
        <is>
          <t>UPPSALA LÄN</t>
        </is>
      </c>
      <c r="E253" t="inlineStr">
        <is>
          <t>TIERP</t>
        </is>
      </c>
      <c r="F253" t="inlineStr">
        <is>
          <t>Bergvik skog öst AB</t>
        </is>
      </c>
      <c r="G253" t="n">
        <v>4.1</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46013</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6071-2023</t>
        </is>
      </c>
      <c r="B255" s="1" t="n">
        <v>44964.51579861111</v>
      </c>
      <c r="C255" s="1" t="n">
        <v>46013</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46013</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11529-2022</t>
        </is>
      </c>
      <c r="B257" s="1" t="n">
        <v>44631.38126157408</v>
      </c>
      <c r="C257" s="1" t="n">
        <v>46013</v>
      </c>
      <c r="D257" t="inlineStr">
        <is>
          <t>UPPSALA LÄN</t>
        </is>
      </c>
      <c r="E257" t="inlineStr">
        <is>
          <t>TIERP</t>
        </is>
      </c>
      <c r="G257" t="n">
        <v>2.4</v>
      </c>
      <c r="H257" t="n">
        <v>0</v>
      </c>
      <c r="I257" t="n">
        <v>0</v>
      </c>
      <c r="J257" t="n">
        <v>0</v>
      </c>
      <c r="K257" t="n">
        <v>0</v>
      </c>
      <c r="L257" t="n">
        <v>0</v>
      </c>
      <c r="M257" t="n">
        <v>0</v>
      </c>
      <c r="N257" t="n">
        <v>0</v>
      </c>
      <c r="O257" t="n">
        <v>0</v>
      </c>
      <c r="P257" t="n">
        <v>0</v>
      </c>
      <c r="Q257" t="n">
        <v>0</v>
      </c>
      <c r="R257" s="2" t="inlineStr"/>
    </row>
    <row r="258" ht="15" customHeight="1">
      <c r="A258" t="inlineStr">
        <is>
          <t>A 22393-2024</t>
        </is>
      </c>
      <c r="B258" s="1" t="n">
        <v>45446</v>
      </c>
      <c r="C258" s="1" t="n">
        <v>46013</v>
      </c>
      <c r="D258" t="inlineStr">
        <is>
          <t>UPPSALA LÄN</t>
        </is>
      </c>
      <c r="E258" t="inlineStr">
        <is>
          <t>TIERP</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28285-2025</t>
        </is>
      </c>
      <c r="B259" s="1" t="n">
        <v>45818.58984953703</v>
      </c>
      <c r="C259" s="1" t="n">
        <v>46013</v>
      </c>
      <c r="D259" t="inlineStr">
        <is>
          <t>UPPSALA LÄN</t>
        </is>
      </c>
      <c r="E259" t="inlineStr">
        <is>
          <t>TIERP</t>
        </is>
      </c>
      <c r="F259" t="inlineStr">
        <is>
          <t>Bergvik skog öst AB</t>
        </is>
      </c>
      <c r="G259" t="n">
        <v>2</v>
      </c>
      <c r="H259" t="n">
        <v>0</v>
      </c>
      <c r="I259" t="n">
        <v>0</v>
      </c>
      <c r="J259" t="n">
        <v>0</v>
      </c>
      <c r="K259" t="n">
        <v>0</v>
      </c>
      <c r="L259" t="n">
        <v>0</v>
      </c>
      <c r="M259" t="n">
        <v>0</v>
      </c>
      <c r="N259" t="n">
        <v>0</v>
      </c>
      <c r="O259" t="n">
        <v>0</v>
      </c>
      <c r="P259" t="n">
        <v>0</v>
      </c>
      <c r="Q259" t="n">
        <v>0</v>
      </c>
      <c r="R259" s="2" t="inlineStr"/>
    </row>
    <row r="260" ht="15" customHeight="1">
      <c r="A260" t="inlineStr">
        <is>
          <t>A 14527-2025</t>
        </is>
      </c>
      <c r="B260" s="1" t="n">
        <v>45741.65077546296</v>
      </c>
      <c r="C260" s="1" t="n">
        <v>46013</v>
      </c>
      <c r="D260" t="inlineStr">
        <is>
          <t>UPPSALA LÄN</t>
        </is>
      </c>
      <c r="E260" t="inlineStr">
        <is>
          <t>TIERP</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21782-2025</t>
        </is>
      </c>
      <c r="B261" s="1" t="n">
        <v>45783.66872685185</v>
      </c>
      <c r="C261" s="1" t="n">
        <v>46013</v>
      </c>
      <c r="D261" t="inlineStr">
        <is>
          <t>UPPSALA LÄN</t>
        </is>
      </c>
      <c r="E261" t="inlineStr">
        <is>
          <t>TIERP</t>
        </is>
      </c>
      <c r="F261" t="inlineStr">
        <is>
          <t>Bergvik skog öst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46013</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46013</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26556-2025</t>
        </is>
      </c>
      <c r="B264" s="1" t="n">
        <v>45807.62752314815</v>
      </c>
      <c r="C264" s="1" t="n">
        <v>46013</v>
      </c>
      <c r="D264" t="inlineStr">
        <is>
          <t>UPPSALA LÄN</t>
        </is>
      </c>
      <c r="E264" t="inlineStr">
        <is>
          <t>TIERP</t>
        </is>
      </c>
      <c r="G264" t="n">
        <v>2.6</v>
      </c>
      <c r="H264" t="n">
        <v>0</v>
      </c>
      <c r="I264" t="n">
        <v>0</v>
      </c>
      <c r="J264" t="n">
        <v>0</v>
      </c>
      <c r="K264" t="n">
        <v>0</v>
      </c>
      <c r="L264" t="n">
        <v>0</v>
      </c>
      <c r="M264" t="n">
        <v>0</v>
      </c>
      <c r="N264" t="n">
        <v>0</v>
      </c>
      <c r="O264" t="n">
        <v>0</v>
      </c>
      <c r="P264" t="n">
        <v>0</v>
      </c>
      <c r="Q264" t="n">
        <v>0</v>
      </c>
      <c r="R264" s="2" t="inlineStr"/>
    </row>
    <row r="265" ht="15" customHeight="1">
      <c r="A265" t="inlineStr">
        <is>
          <t>A 36830-2024</t>
        </is>
      </c>
      <c r="B265" s="1" t="n">
        <v>45538</v>
      </c>
      <c r="C265" s="1" t="n">
        <v>46013</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28252-2025</t>
        </is>
      </c>
      <c r="B266" s="1" t="n">
        <v>45818.54159722223</v>
      </c>
      <c r="C266" s="1" t="n">
        <v>46013</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4409-2023</t>
        </is>
      </c>
      <c r="B267" s="1" t="n">
        <v>44956.36935185185</v>
      </c>
      <c r="C267" s="1" t="n">
        <v>46013</v>
      </c>
      <c r="D267" t="inlineStr">
        <is>
          <t>UPPSALA LÄN</t>
        </is>
      </c>
      <c r="E267" t="inlineStr">
        <is>
          <t>TIERP</t>
        </is>
      </c>
      <c r="F267" t="inlineStr">
        <is>
          <t>Bergvik skog öst AB</t>
        </is>
      </c>
      <c r="G267" t="n">
        <v>3.7</v>
      </c>
      <c r="H267" t="n">
        <v>0</v>
      </c>
      <c r="I267" t="n">
        <v>0</v>
      </c>
      <c r="J267" t="n">
        <v>0</v>
      </c>
      <c r="K267" t="n">
        <v>0</v>
      </c>
      <c r="L267" t="n">
        <v>0</v>
      </c>
      <c r="M267" t="n">
        <v>0</v>
      </c>
      <c r="N267" t="n">
        <v>0</v>
      </c>
      <c r="O267" t="n">
        <v>0</v>
      </c>
      <c r="P267" t="n">
        <v>0</v>
      </c>
      <c r="Q267" t="n">
        <v>0</v>
      </c>
      <c r="R267" s="2" t="inlineStr"/>
    </row>
    <row r="268" ht="15" customHeight="1">
      <c r="A268" t="inlineStr">
        <is>
          <t>A 41719-2025</t>
        </is>
      </c>
      <c r="B268" s="1" t="n">
        <v>45902.44439814815</v>
      </c>
      <c r="C268" s="1" t="n">
        <v>46013</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26559-2025</t>
        </is>
      </c>
      <c r="B269" s="1" t="n">
        <v>45807.63822916667</v>
      </c>
      <c r="C269" s="1" t="n">
        <v>46013</v>
      </c>
      <c r="D269" t="inlineStr">
        <is>
          <t>UPPSALA LÄN</t>
        </is>
      </c>
      <c r="E269" t="inlineStr">
        <is>
          <t>TIERP</t>
        </is>
      </c>
      <c r="G269" t="n">
        <v>5</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46013</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46013</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28223-2025</t>
        </is>
      </c>
      <c r="B272" s="1" t="n">
        <v>45818.47733796296</v>
      </c>
      <c r="C272" s="1" t="n">
        <v>46013</v>
      </c>
      <c r="D272" t="inlineStr">
        <is>
          <t>UPPSALA LÄN</t>
        </is>
      </c>
      <c r="E272" t="inlineStr">
        <is>
          <t>TIERP</t>
        </is>
      </c>
      <c r="F272" t="inlineStr">
        <is>
          <t>Bergvik skog öst AB</t>
        </is>
      </c>
      <c r="G272" t="n">
        <v>3.8</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46013</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46013</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41537-2025</t>
        </is>
      </c>
      <c r="B275" s="1" t="n">
        <v>45901.56194444445</v>
      </c>
      <c r="C275" s="1" t="n">
        <v>46013</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46013</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46013</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46013</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18412-2025</t>
        </is>
      </c>
      <c r="B279" s="1" t="n">
        <v>45762.61427083334</v>
      </c>
      <c r="C279" s="1" t="n">
        <v>46013</v>
      </c>
      <c r="D279" t="inlineStr">
        <is>
          <t>UPPSALA LÄN</t>
        </is>
      </c>
      <c r="E279" t="inlineStr">
        <is>
          <t>TIERP</t>
        </is>
      </c>
      <c r="F279" t="inlineStr">
        <is>
          <t>Bergvik skog öst AB</t>
        </is>
      </c>
      <c r="G279" t="n">
        <v>7.3</v>
      </c>
      <c r="H279" t="n">
        <v>0</v>
      </c>
      <c r="I279" t="n">
        <v>0</v>
      </c>
      <c r="J279" t="n">
        <v>0</v>
      </c>
      <c r="K279" t="n">
        <v>0</v>
      </c>
      <c r="L279" t="n">
        <v>0</v>
      </c>
      <c r="M279" t="n">
        <v>0</v>
      </c>
      <c r="N279" t="n">
        <v>0</v>
      </c>
      <c r="O279" t="n">
        <v>0</v>
      </c>
      <c r="P279" t="n">
        <v>0</v>
      </c>
      <c r="Q279" t="n">
        <v>0</v>
      </c>
      <c r="R279" s="2" t="inlineStr"/>
    </row>
    <row r="280" ht="15" customHeight="1">
      <c r="A280" t="inlineStr">
        <is>
          <t>A 41490-2025</t>
        </is>
      </c>
      <c r="B280" s="1" t="n">
        <v>45901.48795138889</v>
      </c>
      <c r="C280" s="1" t="n">
        <v>46013</v>
      </c>
      <c r="D280" t="inlineStr">
        <is>
          <t>UPPSALA LÄN</t>
        </is>
      </c>
      <c r="E280" t="inlineStr">
        <is>
          <t>TIERP</t>
        </is>
      </c>
      <c r="G280" t="n">
        <v>1.4</v>
      </c>
      <c r="H280" t="n">
        <v>0</v>
      </c>
      <c r="I280" t="n">
        <v>0</v>
      </c>
      <c r="J280" t="n">
        <v>0</v>
      </c>
      <c r="K280" t="n">
        <v>0</v>
      </c>
      <c r="L280" t="n">
        <v>0</v>
      </c>
      <c r="M280" t="n">
        <v>0</v>
      </c>
      <c r="N280" t="n">
        <v>0</v>
      </c>
      <c r="O280" t="n">
        <v>0</v>
      </c>
      <c r="P280" t="n">
        <v>0</v>
      </c>
      <c r="Q280" t="n">
        <v>0</v>
      </c>
      <c r="R280" s="2" t="inlineStr"/>
    </row>
    <row r="281" ht="15" customHeight="1">
      <c r="A281" t="inlineStr">
        <is>
          <t>A 41497-2025</t>
        </is>
      </c>
      <c r="B281" s="1" t="n">
        <v>45901.49728009259</v>
      </c>
      <c r="C281" s="1" t="n">
        <v>46013</v>
      </c>
      <c r="D281" t="inlineStr">
        <is>
          <t>UPPSALA LÄN</t>
        </is>
      </c>
      <c r="E281" t="inlineStr">
        <is>
          <t>TIERP</t>
        </is>
      </c>
      <c r="G281" t="n">
        <v>0.7</v>
      </c>
      <c r="H281" t="n">
        <v>0</v>
      </c>
      <c r="I281" t="n">
        <v>0</v>
      </c>
      <c r="J281" t="n">
        <v>0</v>
      </c>
      <c r="K281" t="n">
        <v>0</v>
      </c>
      <c r="L281" t="n">
        <v>0</v>
      </c>
      <c r="M281" t="n">
        <v>0</v>
      </c>
      <c r="N281" t="n">
        <v>0</v>
      </c>
      <c r="O281" t="n">
        <v>0</v>
      </c>
      <c r="P281" t="n">
        <v>0</v>
      </c>
      <c r="Q281" t="n">
        <v>0</v>
      </c>
      <c r="R281" s="2" t="inlineStr"/>
    </row>
    <row r="282" ht="15" customHeight="1">
      <c r="A282" t="inlineStr">
        <is>
          <t>A 16802-2025</t>
        </is>
      </c>
      <c r="B282" s="1" t="n">
        <v>45754</v>
      </c>
      <c r="C282" s="1" t="n">
        <v>46013</v>
      </c>
      <c r="D282" t="inlineStr">
        <is>
          <t>UPPSALA LÄN</t>
        </is>
      </c>
      <c r="E282" t="inlineStr">
        <is>
          <t>TIERP</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3561-2023</t>
        </is>
      </c>
      <c r="B283" s="1" t="n">
        <v>44950.47427083334</v>
      </c>
      <c r="C283" s="1" t="n">
        <v>46013</v>
      </c>
      <c r="D283" t="inlineStr">
        <is>
          <t>UPPSALA LÄN</t>
        </is>
      </c>
      <c r="E283" t="inlineStr">
        <is>
          <t>TIERP</t>
        </is>
      </c>
      <c r="G283" t="n">
        <v>2</v>
      </c>
      <c r="H283" t="n">
        <v>0</v>
      </c>
      <c r="I283" t="n">
        <v>0</v>
      </c>
      <c r="J283" t="n">
        <v>0</v>
      </c>
      <c r="K283" t="n">
        <v>0</v>
      </c>
      <c r="L283" t="n">
        <v>0</v>
      </c>
      <c r="M283" t="n">
        <v>0</v>
      </c>
      <c r="N283" t="n">
        <v>0</v>
      </c>
      <c r="O283" t="n">
        <v>0</v>
      </c>
      <c r="P283" t="n">
        <v>0</v>
      </c>
      <c r="Q283" t="n">
        <v>0</v>
      </c>
      <c r="R283" s="2" t="inlineStr"/>
    </row>
    <row r="284" ht="15" customHeight="1">
      <c r="A284" t="inlineStr">
        <is>
          <t>A 12424-2024</t>
        </is>
      </c>
      <c r="B284" s="1" t="n">
        <v>45379.4344212963</v>
      </c>
      <c r="C284" s="1" t="n">
        <v>46013</v>
      </c>
      <c r="D284" t="inlineStr">
        <is>
          <t>UPPSALA LÄN</t>
        </is>
      </c>
      <c r="E284" t="inlineStr">
        <is>
          <t>TIERP</t>
        </is>
      </c>
      <c r="G284" t="n">
        <v>11.6</v>
      </c>
      <c r="H284" t="n">
        <v>0</v>
      </c>
      <c r="I284" t="n">
        <v>0</v>
      </c>
      <c r="J284" t="n">
        <v>0</v>
      </c>
      <c r="K284" t="n">
        <v>0</v>
      </c>
      <c r="L284" t="n">
        <v>0</v>
      </c>
      <c r="M284" t="n">
        <v>0</v>
      </c>
      <c r="N284" t="n">
        <v>0</v>
      </c>
      <c r="O284" t="n">
        <v>0</v>
      </c>
      <c r="P284" t="n">
        <v>0</v>
      </c>
      <c r="Q284" t="n">
        <v>0</v>
      </c>
      <c r="R284" s="2" t="inlineStr"/>
    </row>
    <row r="285" ht="15" customHeight="1">
      <c r="A285" t="inlineStr">
        <is>
          <t>A 40748-2024</t>
        </is>
      </c>
      <c r="B285" s="1" t="n">
        <v>45558.45347222222</v>
      </c>
      <c r="C285" s="1" t="n">
        <v>46013</v>
      </c>
      <c r="D285" t="inlineStr">
        <is>
          <t>UPPSALA LÄN</t>
        </is>
      </c>
      <c r="E285" t="inlineStr">
        <is>
          <t>TIERP</t>
        </is>
      </c>
      <c r="G285" t="n">
        <v>2.8</v>
      </c>
      <c r="H285" t="n">
        <v>0</v>
      </c>
      <c r="I285" t="n">
        <v>0</v>
      </c>
      <c r="J285" t="n">
        <v>0</v>
      </c>
      <c r="K285" t="n">
        <v>0</v>
      </c>
      <c r="L285" t="n">
        <v>0</v>
      </c>
      <c r="M285" t="n">
        <v>0</v>
      </c>
      <c r="N285" t="n">
        <v>0</v>
      </c>
      <c r="O285" t="n">
        <v>0</v>
      </c>
      <c r="P285" t="n">
        <v>0</v>
      </c>
      <c r="Q285" t="n">
        <v>0</v>
      </c>
      <c r="R285" s="2" t="inlineStr"/>
    </row>
    <row r="286" ht="15" customHeight="1">
      <c r="A286" t="inlineStr">
        <is>
          <t>A 51716-2023</t>
        </is>
      </c>
      <c r="B286" s="1" t="n">
        <v>45222</v>
      </c>
      <c r="C286" s="1" t="n">
        <v>46013</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29282-2025</t>
        </is>
      </c>
      <c r="B287" s="1" t="n">
        <v>45824.42741898148</v>
      </c>
      <c r="C287" s="1" t="n">
        <v>46013</v>
      </c>
      <c r="D287" t="inlineStr">
        <is>
          <t>UPPSALA LÄN</t>
        </is>
      </c>
      <c r="E287" t="inlineStr">
        <is>
          <t>TIERP</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42106-2025</t>
        </is>
      </c>
      <c r="B288" s="1" t="n">
        <v>45903</v>
      </c>
      <c r="C288" s="1" t="n">
        <v>46013</v>
      </c>
      <c r="D288" t="inlineStr">
        <is>
          <t>UPPSALA LÄN</t>
        </is>
      </c>
      <c r="E288" t="inlineStr">
        <is>
          <t>TIERP</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29382-2025</t>
        </is>
      </c>
      <c r="B289" s="1" t="n">
        <v>45824.59332175926</v>
      </c>
      <c r="C289" s="1" t="n">
        <v>46013</v>
      </c>
      <c r="D289" t="inlineStr">
        <is>
          <t>UPPSALA LÄN</t>
        </is>
      </c>
      <c r="E289" t="inlineStr">
        <is>
          <t>TIERP</t>
        </is>
      </c>
      <c r="F289" t="inlineStr">
        <is>
          <t>Bergvik skog väst AB</t>
        </is>
      </c>
      <c r="G289" t="n">
        <v>4.4</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46013</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46013</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29133-2025</t>
        </is>
      </c>
      <c r="B292" s="1" t="n">
        <v>45821.60461805556</v>
      </c>
      <c r="C292" s="1" t="n">
        <v>46013</v>
      </c>
      <c r="D292" t="inlineStr">
        <is>
          <t>UPPSALA LÄN</t>
        </is>
      </c>
      <c r="E292" t="inlineStr">
        <is>
          <t>TIERP</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46013</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44775-2024</t>
        </is>
      </c>
      <c r="B294" s="1" t="n">
        <v>45574</v>
      </c>
      <c r="C294" s="1" t="n">
        <v>46013</v>
      </c>
      <c r="D294" t="inlineStr">
        <is>
          <t>UPPSALA LÄN</t>
        </is>
      </c>
      <c r="E294" t="inlineStr">
        <is>
          <t>TIERP</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54764-2022</t>
        </is>
      </c>
      <c r="B295" s="1" t="n">
        <v>44883</v>
      </c>
      <c r="C295" s="1" t="n">
        <v>46013</v>
      </c>
      <c r="D295" t="inlineStr">
        <is>
          <t>UPPSALA LÄN</t>
        </is>
      </c>
      <c r="E295" t="inlineStr">
        <is>
          <t>TIERP</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2266-2023</t>
        </is>
      </c>
      <c r="B296" s="1" t="n">
        <v>44942.49743055556</v>
      </c>
      <c r="C296" s="1" t="n">
        <v>46013</v>
      </c>
      <c r="D296" t="inlineStr">
        <is>
          <t>UPPSALA LÄN</t>
        </is>
      </c>
      <c r="E296" t="inlineStr">
        <is>
          <t>TIERP</t>
        </is>
      </c>
      <c r="G296" t="n">
        <v>1.3</v>
      </c>
      <c r="H296" t="n">
        <v>0</v>
      </c>
      <c r="I296" t="n">
        <v>0</v>
      </c>
      <c r="J296" t="n">
        <v>0</v>
      </c>
      <c r="K296" t="n">
        <v>0</v>
      </c>
      <c r="L296" t="n">
        <v>0</v>
      </c>
      <c r="M296" t="n">
        <v>0</v>
      </c>
      <c r="N296" t="n">
        <v>0</v>
      </c>
      <c r="O296" t="n">
        <v>0</v>
      </c>
      <c r="P296" t="n">
        <v>0</v>
      </c>
      <c r="Q296" t="n">
        <v>0</v>
      </c>
      <c r="R296" s="2" t="inlineStr"/>
    </row>
    <row r="297" ht="15" customHeight="1">
      <c r="A297" t="inlineStr">
        <is>
          <t>A 60989-2023</t>
        </is>
      </c>
      <c r="B297" s="1" t="n">
        <v>45259</v>
      </c>
      <c r="C297" s="1" t="n">
        <v>46013</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46013</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46013</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42838-2025</t>
        </is>
      </c>
      <c r="B300" s="1" t="n">
        <v>45908.58109953703</v>
      </c>
      <c r="C300" s="1" t="n">
        <v>46013</v>
      </c>
      <c r="D300" t="inlineStr">
        <is>
          <t>UPPSALA LÄN</t>
        </is>
      </c>
      <c r="E300" t="inlineStr">
        <is>
          <t>TIERP</t>
        </is>
      </c>
      <c r="F300" t="inlineStr">
        <is>
          <t>Bergvik skog öst AB</t>
        </is>
      </c>
      <c r="G300" t="n">
        <v>13.1</v>
      </c>
      <c r="H300" t="n">
        <v>0</v>
      </c>
      <c r="I300" t="n">
        <v>0</v>
      </c>
      <c r="J300" t="n">
        <v>0</v>
      </c>
      <c r="K300" t="n">
        <v>0</v>
      </c>
      <c r="L300" t="n">
        <v>0</v>
      </c>
      <c r="M300" t="n">
        <v>0</v>
      </c>
      <c r="N300" t="n">
        <v>0</v>
      </c>
      <c r="O300" t="n">
        <v>0</v>
      </c>
      <c r="P300" t="n">
        <v>0</v>
      </c>
      <c r="Q300" t="n">
        <v>0</v>
      </c>
      <c r="R300" s="2" t="inlineStr"/>
    </row>
    <row r="301" ht="15" customHeight="1">
      <c r="A301" t="inlineStr">
        <is>
          <t>A 30083-2025</t>
        </is>
      </c>
      <c r="B301" s="1" t="n">
        <v>45826.65520833333</v>
      </c>
      <c r="C301" s="1" t="n">
        <v>46013</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43260-2025</t>
        </is>
      </c>
      <c r="B302" s="1" t="n">
        <v>45910.56313657408</v>
      </c>
      <c r="C302" s="1" t="n">
        <v>46013</v>
      </c>
      <c r="D302" t="inlineStr">
        <is>
          <t>UPPSALA LÄN</t>
        </is>
      </c>
      <c r="E302" t="inlineStr">
        <is>
          <t>TIERP</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43220-2025</t>
        </is>
      </c>
      <c r="B303" s="1" t="n">
        <v>45910.47623842592</v>
      </c>
      <c r="C303" s="1" t="n">
        <v>46013</v>
      </c>
      <c r="D303" t="inlineStr">
        <is>
          <t>UPPSALA LÄN</t>
        </is>
      </c>
      <c r="E303" t="inlineStr">
        <is>
          <t>TIERP</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43222-2025</t>
        </is>
      </c>
      <c r="B304" s="1" t="n">
        <v>45910.47983796296</v>
      </c>
      <c r="C304" s="1" t="n">
        <v>46013</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43224-2025</t>
        </is>
      </c>
      <c r="B305" s="1" t="n">
        <v>45910.48737268519</v>
      </c>
      <c r="C305" s="1" t="n">
        <v>46013</v>
      </c>
      <c r="D305" t="inlineStr">
        <is>
          <t>UPPSALA LÄN</t>
        </is>
      </c>
      <c r="E305" t="inlineStr">
        <is>
          <t>TIERP</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5995-2023</t>
        </is>
      </c>
      <c r="B306" s="1" t="n">
        <v>44964</v>
      </c>
      <c r="C306" s="1" t="n">
        <v>46013</v>
      </c>
      <c r="D306" t="inlineStr">
        <is>
          <t>UPPSALA LÄN</t>
        </is>
      </c>
      <c r="E306" t="inlineStr">
        <is>
          <t>TIERP</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43121-2025</t>
        </is>
      </c>
      <c r="B307" s="1" t="n">
        <v>45909</v>
      </c>
      <c r="C307" s="1" t="n">
        <v>46013</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31083-2025</t>
        </is>
      </c>
      <c r="B308" s="1" t="n">
        <v>45832.58662037037</v>
      </c>
      <c r="C308" s="1" t="n">
        <v>46013</v>
      </c>
      <c r="D308" t="inlineStr">
        <is>
          <t>UPPSALA LÄN</t>
        </is>
      </c>
      <c r="E308" t="inlineStr">
        <is>
          <t>TIERP</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43525-2025</t>
        </is>
      </c>
      <c r="B309" s="1" t="n">
        <v>45911.58546296296</v>
      </c>
      <c r="C309" s="1" t="n">
        <v>46013</v>
      </c>
      <c r="D309" t="inlineStr">
        <is>
          <t>UPPSALA LÄN</t>
        </is>
      </c>
      <c r="E309" t="inlineStr">
        <is>
          <t>TIERP</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31199-2025</t>
        </is>
      </c>
      <c r="B310" s="1" t="n">
        <v>45832.69494212963</v>
      </c>
      <c r="C310" s="1" t="n">
        <v>46013</v>
      </c>
      <c r="D310" t="inlineStr">
        <is>
          <t>UPPSALA LÄN</t>
        </is>
      </c>
      <c r="E310" t="inlineStr">
        <is>
          <t>TIERP</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30867-2025</t>
        </is>
      </c>
      <c r="B311" s="1" t="n">
        <v>45832.32575231481</v>
      </c>
      <c r="C311" s="1" t="n">
        <v>46013</v>
      </c>
      <c r="D311" t="inlineStr">
        <is>
          <t>UPPSALA LÄN</t>
        </is>
      </c>
      <c r="E311" t="inlineStr">
        <is>
          <t>TIERP</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31201-2025</t>
        </is>
      </c>
      <c r="B312" s="1" t="n">
        <v>45832.69688657407</v>
      </c>
      <c r="C312" s="1" t="n">
        <v>46013</v>
      </c>
      <c r="D312" t="inlineStr">
        <is>
          <t>UPPSALA LÄN</t>
        </is>
      </c>
      <c r="E312" t="inlineStr">
        <is>
          <t>TIERP</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20846-2024</t>
        </is>
      </c>
      <c r="B313" s="1" t="n">
        <v>45439</v>
      </c>
      <c r="C313" s="1" t="n">
        <v>46013</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43858-2025</t>
        </is>
      </c>
      <c r="B314" s="1" t="n">
        <v>45912.64945601852</v>
      </c>
      <c r="C314" s="1" t="n">
        <v>46013</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36150-2021</t>
        </is>
      </c>
      <c r="B315" s="1" t="n">
        <v>44389</v>
      </c>
      <c r="C315" s="1" t="n">
        <v>46013</v>
      </c>
      <c r="D315" t="inlineStr">
        <is>
          <t>UPPSALA LÄN</t>
        </is>
      </c>
      <c r="E315" t="inlineStr">
        <is>
          <t>TIERP</t>
        </is>
      </c>
      <c r="F315" t="inlineStr">
        <is>
          <t>Bergvik skog öst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43378-2025</t>
        </is>
      </c>
      <c r="B316" s="1" t="n">
        <v>45911.35693287037</v>
      </c>
      <c r="C316" s="1" t="n">
        <v>46013</v>
      </c>
      <c r="D316" t="inlineStr">
        <is>
          <t>UPPSALA LÄN</t>
        </is>
      </c>
      <c r="E316" t="inlineStr">
        <is>
          <t>TIERP</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31616-2025</t>
        </is>
      </c>
      <c r="B317" s="1" t="n">
        <v>45833.816875</v>
      </c>
      <c r="C317" s="1" t="n">
        <v>46013</v>
      </c>
      <c r="D317" t="inlineStr">
        <is>
          <t>UPPSALA LÄN</t>
        </is>
      </c>
      <c r="E317" t="inlineStr">
        <is>
          <t>TIERP</t>
        </is>
      </c>
      <c r="F317" t="inlineStr">
        <is>
          <t>Bergvik skog väst AB</t>
        </is>
      </c>
      <c r="G317" t="n">
        <v>4.9</v>
      </c>
      <c r="H317" t="n">
        <v>0</v>
      </c>
      <c r="I317" t="n">
        <v>0</v>
      </c>
      <c r="J317" t="n">
        <v>0</v>
      </c>
      <c r="K317" t="n">
        <v>0</v>
      </c>
      <c r="L317" t="n">
        <v>0</v>
      </c>
      <c r="M317" t="n">
        <v>0</v>
      </c>
      <c r="N317" t="n">
        <v>0</v>
      </c>
      <c r="O317" t="n">
        <v>0</v>
      </c>
      <c r="P317" t="n">
        <v>0</v>
      </c>
      <c r="Q317" t="n">
        <v>0</v>
      </c>
      <c r="R317" s="2" t="inlineStr"/>
    </row>
    <row r="318" ht="15" customHeight="1">
      <c r="A318" t="inlineStr">
        <is>
          <t>A 31523-2025</t>
        </is>
      </c>
      <c r="B318" s="1" t="n">
        <v>45833.60854166667</v>
      </c>
      <c r="C318" s="1" t="n">
        <v>46013</v>
      </c>
      <c r="D318" t="inlineStr">
        <is>
          <t>UPPSALA LÄN</t>
        </is>
      </c>
      <c r="E318" t="inlineStr">
        <is>
          <t>TIERP</t>
        </is>
      </c>
      <c r="F318" t="inlineStr">
        <is>
          <t>Bergvik skog öst AB</t>
        </is>
      </c>
      <c r="G318" t="n">
        <v>5.6</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46013</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35195-2025</t>
        </is>
      </c>
      <c r="B320" s="1" t="n">
        <v>45853.36192129629</v>
      </c>
      <c r="C320" s="1" t="n">
        <v>46013</v>
      </c>
      <c r="D320" t="inlineStr">
        <is>
          <t>UPPSALA LÄN</t>
        </is>
      </c>
      <c r="E320" t="inlineStr">
        <is>
          <t>TIERP</t>
        </is>
      </c>
      <c r="G320" t="n">
        <v>0.9</v>
      </c>
      <c r="H320" t="n">
        <v>0</v>
      </c>
      <c r="I320" t="n">
        <v>0</v>
      </c>
      <c r="J320" t="n">
        <v>0</v>
      </c>
      <c r="K320" t="n">
        <v>0</v>
      </c>
      <c r="L320" t="n">
        <v>0</v>
      </c>
      <c r="M320" t="n">
        <v>0</v>
      </c>
      <c r="N320" t="n">
        <v>0</v>
      </c>
      <c r="O320" t="n">
        <v>0</v>
      </c>
      <c r="P320" t="n">
        <v>0</v>
      </c>
      <c r="Q320" t="n">
        <v>0</v>
      </c>
      <c r="R320" s="2" t="inlineStr"/>
    </row>
    <row r="321" ht="15" customHeight="1">
      <c r="A321" t="inlineStr">
        <is>
          <t>A 35196-2025</t>
        </is>
      </c>
      <c r="B321" s="1" t="n">
        <v>45853</v>
      </c>
      <c r="C321" s="1" t="n">
        <v>46013</v>
      </c>
      <c r="D321" t="inlineStr">
        <is>
          <t>UPPSALA LÄN</t>
        </is>
      </c>
      <c r="E321" t="inlineStr">
        <is>
          <t>TIERP</t>
        </is>
      </c>
      <c r="G321" t="n">
        <v>2.6</v>
      </c>
      <c r="H321" t="n">
        <v>0</v>
      </c>
      <c r="I321" t="n">
        <v>0</v>
      </c>
      <c r="J321" t="n">
        <v>0</v>
      </c>
      <c r="K321" t="n">
        <v>0</v>
      </c>
      <c r="L321" t="n">
        <v>0</v>
      </c>
      <c r="M321" t="n">
        <v>0</v>
      </c>
      <c r="N321" t="n">
        <v>0</v>
      </c>
      <c r="O321" t="n">
        <v>0</v>
      </c>
      <c r="P321" t="n">
        <v>0</v>
      </c>
      <c r="Q321" t="n">
        <v>0</v>
      </c>
      <c r="R321" s="2" t="inlineStr"/>
    </row>
    <row r="322" ht="15" customHeight="1">
      <c r="A322" t="inlineStr">
        <is>
          <t>A 22529-2025</t>
        </is>
      </c>
      <c r="B322" s="1" t="n">
        <v>45786</v>
      </c>
      <c r="C322" s="1" t="n">
        <v>46013</v>
      </c>
      <c r="D322" t="inlineStr">
        <is>
          <t>UPPSALA LÄN</t>
        </is>
      </c>
      <c r="E322" t="inlineStr">
        <is>
          <t>TIERP</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59923-2023</t>
        </is>
      </c>
      <c r="B323" s="1" t="n">
        <v>45257.65261574074</v>
      </c>
      <c r="C323" s="1" t="n">
        <v>46013</v>
      </c>
      <c r="D323" t="inlineStr">
        <is>
          <t>UPPSALA LÄN</t>
        </is>
      </c>
      <c r="E323" t="inlineStr">
        <is>
          <t>TIERP</t>
        </is>
      </c>
      <c r="G323" t="n">
        <v>1.8</v>
      </c>
      <c r="H323" t="n">
        <v>0</v>
      </c>
      <c r="I323" t="n">
        <v>0</v>
      </c>
      <c r="J323" t="n">
        <v>0</v>
      </c>
      <c r="K323" t="n">
        <v>0</v>
      </c>
      <c r="L323" t="n">
        <v>0</v>
      </c>
      <c r="M323" t="n">
        <v>0</v>
      </c>
      <c r="N323" t="n">
        <v>0</v>
      </c>
      <c r="O323" t="n">
        <v>0</v>
      </c>
      <c r="P323" t="n">
        <v>0</v>
      </c>
      <c r="Q323" t="n">
        <v>0</v>
      </c>
      <c r="R323" s="2" t="inlineStr"/>
    </row>
    <row r="324" ht="15" customHeight="1">
      <c r="A324" t="inlineStr">
        <is>
          <t>A 1202-2025</t>
        </is>
      </c>
      <c r="B324" s="1" t="n">
        <v>45667</v>
      </c>
      <c r="C324" s="1" t="n">
        <v>46013</v>
      </c>
      <c r="D324" t="inlineStr">
        <is>
          <t>UPPSALA LÄN</t>
        </is>
      </c>
      <c r="E324" t="inlineStr">
        <is>
          <t>TIERP</t>
        </is>
      </c>
      <c r="G324" t="n">
        <v>3.1</v>
      </c>
      <c r="H324" t="n">
        <v>0</v>
      </c>
      <c r="I324" t="n">
        <v>0</v>
      </c>
      <c r="J324" t="n">
        <v>0</v>
      </c>
      <c r="K324" t="n">
        <v>0</v>
      </c>
      <c r="L324" t="n">
        <v>0</v>
      </c>
      <c r="M324" t="n">
        <v>0</v>
      </c>
      <c r="N324" t="n">
        <v>0</v>
      </c>
      <c r="O324" t="n">
        <v>0</v>
      </c>
      <c r="P324" t="n">
        <v>0</v>
      </c>
      <c r="Q324" t="n">
        <v>0</v>
      </c>
      <c r="R324" s="2" t="inlineStr"/>
    </row>
    <row r="325" ht="15" customHeight="1">
      <c r="A325" t="inlineStr">
        <is>
          <t>A 34044-2025</t>
        </is>
      </c>
      <c r="B325" s="1" t="n">
        <v>45845.38168981481</v>
      </c>
      <c r="C325" s="1" t="n">
        <v>46013</v>
      </c>
      <c r="D325" t="inlineStr">
        <is>
          <t>UPPSALA LÄN</t>
        </is>
      </c>
      <c r="E325" t="inlineStr">
        <is>
          <t>TIERP</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2899-2023</t>
        </is>
      </c>
      <c r="B326" s="1" t="n">
        <v>44945</v>
      </c>
      <c r="C326" s="1" t="n">
        <v>46013</v>
      </c>
      <c r="D326" t="inlineStr">
        <is>
          <t>UPPSALA LÄN</t>
        </is>
      </c>
      <c r="E326" t="inlineStr">
        <is>
          <t>TIERP</t>
        </is>
      </c>
      <c r="G326" t="n">
        <v>1.7</v>
      </c>
      <c r="H326" t="n">
        <v>0</v>
      </c>
      <c r="I326" t="n">
        <v>0</v>
      </c>
      <c r="J326" t="n">
        <v>0</v>
      </c>
      <c r="K326" t="n">
        <v>0</v>
      </c>
      <c r="L326" t="n">
        <v>0</v>
      </c>
      <c r="M326" t="n">
        <v>0</v>
      </c>
      <c r="N326" t="n">
        <v>0</v>
      </c>
      <c r="O326" t="n">
        <v>0</v>
      </c>
      <c r="P326" t="n">
        <v>0</v>
      </c>
      <c r="Q326" t="n">
        <v>0</v>
      </c>
      <c r="R326" s="2" t="inlineStr"/>
    </row>
    <row r="327" ht="15" customHeight="1">
      <c r="A327" t="inlineStr">
        <is>
          <t>A 57818-2024</t>
        </is>
      </c>
      <c r="B327" s="1" t="n">
        <v>45631.38019675926</v>
      </c>
      <c r="C327" s="1" t="n">
        <v>46013</v>
      </c>
      <c r="D327" t="inlineStr">
        <is>
          <t>UPPSALA LÄN</t>
        </is>
      </c>
      <c r="E327" t="inlineStr">
        <is>
          <t>TIERP</t>
        </is>
      </c>
      <c r="G327" t="n">
        <v>2</v>
      </c>
      <c r="H327" t="n">
        <v>0</v>
      </c>
      <c r="I327" t="n">
        <v>0</v>
      </c>
      <c r="J327" t="n">
        <v>0</v>
      </c>
      <c r="K327" t="n">
        <v>0</v>
      </c>
      <c r="L327" t="n">
        <v>0</v>
      </c>
      <c r="M327" t="n">
        <v>0</v>
      </c>
      <c r="N327" t="n">
        <v>0</v>
      </c>
      <c r="O327" t="n">
        <v>0</v>
      </c>
      <c r="P327" t="n">
        <v>0</v>
      </c>
      <c r="Q327" t="n">
        <v>0</v>
      </c>
      <c r="R327" s="2" t="inlineStr"/>
    </row>
    <row r="328" ht="15" customHeight="1">
      <c r="A328" t="inlineStr">
        <is>
          <t>A 73-2023</t>
        </is>
      </c>
      <c r="B328" s="1" t="n">
        <v>44928.45600694444</v>
      </c>
      <c r="C328" s="1" t="n">
        <v>46013</v>
      </c>
      <c r="D328" t="inlineStr">
        <is>
          <t>UPPSALA LÄN</t>
        </is>
      </c>
      <c r="E328" t="inlineStr">
        <is>
          <t>TIERP</t>
        </is>
      </c>
      <c r="G328" t="n">
        <v>2.9</v>
      </c>
      <c r="H328" t="n">
        <v>0</v>
      </c>
      <c r="I328" t="n">
        <v>0</v>
      </c>
      <c r="J328" t="n">
        <v>0</v>
      </c>
      <c r="K328" t="n">
        <v>0</v>
      </c>
      <c r="L328" t="n">
        <v>0</v>
      </c>
      <c r="M328" t="n">
        <v>0</v>
      </c>
      <c r="N328" t="n">
        <v>0</v>
      </c>
      <c r="O328" t="n">
        <v>0</v>
      </c>
      <c r="P328" t="n">
        <v>0</v>
      </c>
      <c r="Q328" t="n">
        <v>0</v>
      </c>
      <c r="R328" s="2" t="inlineStr"/>
    </row>
    <row r="329" ht="15" customHeight="1">
      <c r="A329" t="inlineStr">
        <is>
          <t>A 45769-2022</t>
        </is>
      </c>
      <c r="B329" s="1" t="n">
        <v>44846.38762731481</v>
      </c>
      <c r="C329" s="1" t="n">
        <v>46013</v>
      </c>
      <c r="D329" t="inlineStr">
        <is>
          <t>UPPSALA LÄN</t>
        </is>
      </c>
      <c r="E329" t="inlineStr">
        <is>
          <t>TIERP</t>
        </is>
      </c>
      <c r="G329" t="n">
        <v>1.2</v>
      </c>
      <c r="H329" t="n">
        <v>0</v>
      </c>
      <c r="I329" t="n">
        <v>0</v>
      </c>
      <c r="J329" t="n">
        <v>0</v>
      </c>
      <c r="K329" t="n">
        <v>0</v>
      </c>
      <c r="L329" t="n">
        <v>0</v>
      </c>
      <c r="M329" t="n">
        <v>0</v>
      </c>
      <c r="N329" t="n">
        <v>0</v>
      </c>
      <c r="O329" t="n">
        <v>0</v>
      </c>
      <c r="P329" t="n">
        <v>0</v>
      </c>
      <c r="Q329" t="n">
        <v>0</v>
      </c>
      <c r="R329" s="2" t="inlineStr"/>
    </row>
    <row r="330" ht="15" customHeight="1">
      <c r="A330" t="inlineStr">
        <is>
          <t>A 56350-2022</t>
        </is>
      </c>
      <c r="B330" s="1" t="n">
        <v>44890</v>
      </c>
      <c r="C330" s="1" t="n">
        <v>46013</v>
      </c>
      <c r="D330" t="inlineStr">
        <is>
          <t>UPPSALA LÄN</t>
        </is>
      </c>
      <c r="E330" t="inlineStr">
        <is>
          <t>TIERP</t>
        </is>
      </c>
      <c r="G330" t="n">
        <v>3.3</v>
      </c>
      <c r="H330" t="n">
        <v>0</v>
      </c>
      <c r="I330" t="n">
        <v>0</v>
      </c>
      <c r="J330" t="n">
        <v>0</v>
      </c>
      <c r="K330" t="n">
        <v>0</v>
      </c>
      <c r="L330" t="n">
        <v>0</v>
      </c>
      <c r="M330" t="n">
        <v>0</v>
      </c>
      <c r="N330" t="n">
        <v>0</v>
      </c>
      <c r="O330" t="n">
        <v>0</v>
      </c>
      <c r="P330" t="n">
        <v>0</v>
      </c>
      <c r="Q330" t="n">
        <v>0</v>
      </c>
      <c r="R330" s="2" t="inlineStr"/>
    </row>
    <row r="331" ht="15" customHeight="1">
      <c r="A331" t="inlineStr">
        <is>
          <t>A 31525-2025</t>
        </is>
      </c>
      <c r="B331" s="1" t="n">
        <v>45833.61322916667</v>
      </c>
      <c r="C331" s="1" t="n">
        <v>46013</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31549-2025</t>
        </is>
      </c>
      <c r="B332" s="1" t="n">
        <v>45833.63829861111</v>
      </c>
      <c r="C332" s="1" t="n">
        <v>46013</v>
      </c>
      <c r="D332" t="inlineStr">
        <is>
          <t>UPPSALA LÄN</t>
        </is>
      </c>
      <c r="E332" t="inlineStr">
        <is>
          <t>TIERP</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31556-2025</t>
        </is>
      </c>
      <c r="B333" s="1" t="n">
        <v>45833.65157407407</v>
      </c>
      <c r="C333" s="1" t="n">
        <v>46013</v>
      </c>
      <c r="D333" t="inlineStr">
        <is>
          <t>UPPSALA LÄN</t>
        </is>
      </c>
      <c r="E333" t="inlineStr">
        <is>
          <t>TIERP</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56947-2022</t>
        </is>
      </c>
      <c r="B334" s="1" t="n">
        <v>44894</v>
      </c>
      <c r="C334" s="1" t="n">
        <v>46013</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4329-2023</t>
        </is>
      </c>
      <c r="B335" s="1" t="n">
        <v>44953</v>
      </c>
      <c r="C335" s="1" t="n">
        <v>46013</v>
      </c>
      <c r="D335" t="inlineStr">
        <is>
          <t>UPPSALA LÄN</t>
        </is>
      </c>
      <c r="E335" t="inlineStr">
        <is>
          <t>TIERP</t>
        </is>
      </c>
      <c r="G335" t="n">
        <v>4.9</v>
      </c>
      <c r="H335" t="n">
        <v>0</v>
      </c>
      <c r="I335" t="n">
        <v>0</v>
      </c>
      <c r="J335" t="n">
        <v>0</v>
      </c>
      <c r="K335" t="n">
        <v>0</v>
      </c>
      <c r="L335" t="n">
        <v>0</v>
      </c>
      <c r="M335" t="n">
        <v>0</v>
      </c>
      <c r="N335" t="n">
        <v>0</v>
      </c>
      <c r="O335" t="n">
        <v>0</v>
      </c>
      <c r="P335" t="n">
        <v>0</v>
      </c>
      <c r="Q335" t="n">
        <v>0</v>
      </c>
      <c r="R335" s="2" t="inlineStr"/>
    </row>
    <row r="336" ht="15" customHeight="1">
      <c r="A336" t="inlineStr">
        <is>
          <t>A 31614-2025</t>
        </is>
      </c>
      <c r="B336" s="1" t="n">
        <v>45833.81484953704</v>
      </c>
      <c r="C336" s="1" t="n">
        <v>46013</v>
      </c>
      <c r="D336" t="inlineStr">
        <is>
          <t>UPPSALA LÄN</t>
        </is>
      </c>
      <c r="E336" t="inlineStr">
        <is>
          <t>TIERP</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31383-2025</t>
        </is>
      </c>
      <c r="B337" s="1" t="n">
        <v>45833.45049768518</v>
      </c>
      <c r="C337" s="1" t="n">
        <v>46013</v>
      </c>
      <c r="D337" t="inlineStr">
        <is>
          <t>UPPSALA LÄN</t>
        </is>
      </c>
      <c r="E337" t="inlineStr">
        <is>
          <t>TIERP</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31421-2025</t>
        </is>
      </c>
      <c r="B338" s="1" t="n">
        <v>45833.48898148148</v>
      </c>
      <c r="C338" s="1" t="n">
        <v>46013</v>
      </c>
      <c r="D338" t="inlineStr">
        <is>
          <t>UPPSALA LÄN</t>
        </is>
      </c>
      <c r="E338" t="inlineStr">
        <is>
          <t>TIERP</t>
        </is>
      </c>
      <c r="G338" t="n">
        <v>0.8</v>
      </c>
      <c r="H338" t="n">
        <v>0</v>
      </c>
      <c r="I338" t="n">
        <v>0</v>
      </c>
      <c r="J338" t="n">
        <v>0</v>
      </c>
      <c r="K338" t="n">
        <v>0</v>
      </c>
      <c r="L338" t="n">
        <v>0</v>
      </c>
      <c r="M338" t="n">
        <v>0</v>
      </c>
      <c r="N338" t="n">
        <v>0</v>
      </c>
      <c r="O338" t="n">
        <v>0</v>
      </c>
      <c r="P338" t="n">
        <v>0</v>
      </c>
      <c r="Q338" t="n">
        <v>0</v>
      </c>
      <c r="R338" s="2" t="inlineStr"/>
    </row>
    <row r="339" ht="15" customHeight="1">
      <c r="A339" t="inlineStr">
        <is>
          <t>A 22528-2025</t>
        </is>
      </c>
      <c r="B339" s="1" t="n">
        <v>45786</v>
      </c>
      <c r="C339" s="1" t="n">
        <v>46013</v>
      </c>
      <c r="D339" t="inlineStr">
        <is>
          <t>UPPSALA LÄN</t>
        </is>
      </c>
      <c r="E339" t="inlineStr">
        <is>
          <t>TIERP</t>
        </is>
      </c>
      <c r="F339" t="inlineStr">
        <is>
          <t>Övriga Aktiebolag</t>
        </is>
      </c>
      <c r="G339" t="n">
        <v>7.7</v>
      </c>
      <c r="H339" t="n">
        <v>0</v>
      </c>
      <c r="I339" t="n">
        <v>0</v>
      </c>
      <c r="J339" t="n">
        <v>0</v>
      </c>
      <c r="K339" t="n">
        <v>0</v>
      </c>
      <c r="L339" t="n">
        <v>0</v>
      </c>
      <c r="M339" t="n">
        <v>0</v>
      </c>
      <c r="N339" t="n">
        <v>0</v>
      </c>
      <c r="O339" t="n">
        <v>0</v>
      </c>
      <c r="P339" t="n">
        <v>0</v>
      </c>
      <c r="Q339" t="n">
        <v>0</v>
      </c>
      <c r="R339" s="2" t="inlineStr"/>
    </row>
    <row r="340" ht="15" customHeight="1">
      <c r="A340" t="inlineStr">
        <is>
          <t>A 55816-2024</t>
        </is>
      </c>
      <c r="B340" s="1" t="n">
        <v>45623.47248842593</v>
      </c>
      <c r="C340" s="1" t="n">
        <v>46013</v>
      </c>
      <c r="D340" t="inlineStr">
        <is>
          <t>UPPSALA LÄN</t>
        </is>
      </c>
      <c r="E340" t="inlineStr">
        <is>
          <t>TIERP</t>
        </is>
      </c>
      <c r="G340" t="n">
        <v>5.2</v>
      </c>
      <c r="H340" t="n">
        <v>0</v>
      </c>
      <c r="I340" t="n">
        <v>0</v>
      </c>
      <c r="J340" t="n">
        <v>0</v>
      </c>
      <c r="K340" t="n">
        <v>0</v>
      </c>
      <c r="L340" t="n">
        <v>0</v>
      </c>
      <c r="M340" t="n">
        <v>0</v>
      </c>
      <c r="N340" t="n">
        <v>0</v>
      </c>
      <c r="O340" t="n">
        <v>0</v>
      </c>
      <c r="P340" t="n">
        <v>0</v>
      </c>
      <c r="Q340" t="n">
        <v>0</v>
      </c>
      <c r="R340" s="2" t="inlineStr"/>
    </row>
    <row r="341" ht="15" customHeight="1">
      <c r="A341" t="inlineStr">
        <is>
          <t>A 30110-2024</t>
        </is>
      </c>
      <c r="B341" s="1" t="n">
        <v>45489</v>
      </c>
      <c r="C341" s="1" t="n">
        <v>46013</v>
      </c>
      <c r="D341" t="inlineStr">
        <is>
          <t>UPPSALA LÄN</t>
        </is>
      </c>
      <c r="E341" t="inlineStr">
        <is>
          <t>TIERP</t>
        </is>
      </c>
      <c r="G341" t="n">
        <v>1.4</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46013</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22672-2023</t>
        </is>
      </c>
      <c r="B343" s="1" t="n">
        <v>45071.64012731481</v>
      </c>
      <c r="C343" s="1" t="n">
        <v>46013</v>
      </c>
      <c r="D343" t="inlineStr">
        <is>
          <t>UPPSALA LÄN</t>
        </is>
      </c>
      <c r="E343" t="inlineStr">
        <is>
          <t>TIERP</t>
        </is>
      </c>
      <c r="G343" t="n">
        <v>1.5</v>
      </c>
      <c r="H343" t="n">
        <v>0</v>
      </c>
      <c r="I343" t="n">
        <v>0</v>
      </c>
      <c r="J343" t="n">
        <v>0</v>
      </c>
      <c r="K343" t="n">
        <v>0</v>
      </c>
      <c r="L343" t="n">
        <v>0</v>
      </c>
      <c r="M343" t="n">
        <v>0</v>
      </c>
      <c r="N343" t="n">
        <v>0</v>
      </c>
      <c r="O343" t="n">
        <v>0</v>
      </c>
      <c r="P343" t="n">
        <v>0</v>
      </c>
      <c r="Q343" t="n">
        <v>0</v>
      </c>
      <c r="R343" s="2" t="inlineStr"/>
    </row>
    <row r="344" ht="15" customHeight="1">
      <c r="A344" t="inlineStr">
        <is>
          <t>A 57532-2022</t>
        </is>
      </c>
      <c r="B344" s="1" t="n">
        <v>44896.68234953703</v>
      </c>
      <c r="C344" s="1" t="n">
        <v>46013</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43873-2025</t>
        </is>
      </c>
      <c r="B345" s="1" t="n">
        <v>45912.67254629629</v>
      </c>
      <c r="C345" s="1" t="n">
        <v>46013</v>
      </c>
      <c r="D345" t="inlineStr">
        <is>
          <t>UPPSALA LÄN</t>
        </is>
      </c>
      <c r="E345" t="inlineStr">
        <is>
          <t>TIERP</t>
        </is>
      </c>
      <c r="G345" t="n">
        <v>1.1</v>
      </c>
      <c r="H345" t="n">
        <v>0</v>
      </c>
      <c r="I345" t="n">
        <v>0</v>
      </c>
      <c r="J345" t="n">
        <v>0</v>
      </c>
      <c r="K345" t="n">
        <v>0</v>
      </c>
      <c r="L345" t="n">
        <v>0</v>
      </c>
      <c r="M345" t="n">
        <v>0</v>
      </c>
      <c r="N345" t="n">
        <v>0</v>
      </c>
      <c r="O345" t="n">
        <v>0</v>
      </c>
      <c r="P345" t="n">
        <v>0</v>
      </c>
      <c r="Q345" t="n">
        <v>0</v>
      </c>
      <c r="R345" s="2" t="inlineStr"/>
    </row>
    <row r="346" ht="15" customHeight="1">
      <c r="A346" t="inlineStr">
        <is>
          <t>A 55711-2023</t>
        </is>
      </c>
      <c r="B346" s="1" t="n">
        <v>45239.37905092593</v>
      </c>
      <c r="C346" s="1" t="n">
        <v>46013</v>
      </c>
      <c r="D346" t="inlineStr">
        <is>
          <t>UPPSALA LÄN</t>
        </is>
      </c>
      <c r="E346" t="inlineStr">
        <is>
          <t>TIERP</t>
        </is>
      </c>
      <c r="G346" t="n">
        <v>1.6</v>
      </c>
      <c r="H346" t="n">
        <v>0</v>
      </c>
      <c r="I346" t="n">
        <v>0</v>
      </c>
      <c r="J346" t="n">
        <v>0</v>
      </c>
      <c r="K346" t="n">
        <v>0</v>
      </c>
      <c r="L346" t="n">
        <v>0</v>
      </c>
      <c r="M346" t="n">
        <v>0</v>
      </c>
      <c r="N346" t="n">
        <v>0</v>
      </c>
      <c r="O346" t="n">
        <v>0</v>
      </c>
      <c r="P346" t="n">
        <v>0</v>
      </c>
      <c r="Q346" t="n">
        <v>0</v>
      </c>
      <c r="R346" s="2" t="inlineStr"/>
    </row>
    <row r="347" ht="15" customHeight="1">
      <c r="A347" t="inlineStr">
        <is>
          <t>A 55780-2024</t>
        </is>
      </c>
      <c r="B347" s="1" t="n">
        <v>45623.41342592592</v>
      </c>
      <c r="C347" s="1" t="n">
        <v>46013</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22663-2022</t>
        </is>
      </c>
      <c r="B348" s="1" t="n">
        <v>44713</v>
      </c>
      <c r="C348" s="1" t="n">
        <v>46013</v>
      </c>
      <c r="D348" t="inlineStr">
        <is>
          <t>UPPSALA LÄN</t>
        </is>
      </c>
      <c r="E348" t="inlineStr">
        <is>
          <t>TIERP</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46013</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57822-2024</t>
        </is>
      </c>
      <c r="B350" s="1" t="n">
        <v>45631.38398148148</v>
      </c>
      <c r="C350" s="1" t="n">
        <v>46013</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43871-2025</t>
        </is>
      </c>
      <c r="B351" s="1" t="n">
        <v>45912.66787037037</v>
      </c>
      <c r="C351" s="1" t="n">
        <v>46013</v>
      </c>
      <c r="D351" t="inlineStr">
        <is>
          <t>UPPSALA LÄN</t>
        </is>
      </c>
      <c r="E351" t="inlineStr">
        <is>
          <t>TIERP</t>
        </is>
      </c>
      <c r="G351" t="n">
        <v>3.9</v>
      </c>
      <c r="H351" t="n">
        <v>0</v>
      </c>
      <c r="I351" t="n">
        <v>0</v>
      </c>
      <c r="J351" t="n">
        <v>0</v>
      </c>
      <c r="K351" t="n">
        <v>0</v>
      </c>
      <c r="L351" t="n">
        <v>0</v>
      </c>
      <c r="M351" t="n">
        <v>0</v>
      </c>
      <c r="N351" t="n">
        <v>0</v>
      </c>
      <c r="O351" t="n">
        <v>0</v>
      </c>
      <c r="P351" t="n">
        <v>0</v>
      </c>
      <c r="Q351" t="n">
        <v>0</v>
      </c>
      <c r="R351" s="2" t="inlineStr"/>
    </row>
    <row r="352" ht="15" customHeight="1">
      <c r="A352" t="inlineStr">
        <is>
          <t>A 43874-2025</t>
        </is>
      </c>
      <c r="B352" s="1" t="n">
        <v>45912.67517361111</v>
      </c>
      <c r="C352" s="1" t="n">
        <v>46013</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1056-2025</t>
        </is>
      </c>
      <c r="B353" s="1" t="n">
        <v>45666</v>
      </c>
      <c r="C353" s="1" t="n">
        <v>46013</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46013</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46013</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32227-2025</t>
        </is>
      </c>
      <c r="B356" s="1" t="n">
        <v>45835.59493055556</v>
      </c>
      <c r="C356" s="1" t="n">
        <v>46013</v>
      </c>
      <c r="D356" t="inlineStr">
        <is>
          <t>UPPSALA LÄN</t>
        </is>
      </c>
      <c r="E356" t="inlineStr">
        <is>
          <t>TIERP</t>
        </is>
      </c>
      <c r="F356" t="inlineStr">
        <is>
          <t>Bergvik skog väst AB</t>
        </is>
      </c>
      <c r="G356" t="n">
        <v>13.1</v>
      </c>
      <c r="H356" t="n">
        <v>0</v>
      </c>
      <c r="I356" t="n">
        <v>0</v>
      </c>
      <c r="J356" t="n">
        <v>0</v>
      </c>
      <c r="K356" t="n">
        <v>0</v>
      </c>
      <c r="L356" t="n">
        <v>0</v>
      </c>
      <c r="M356" t="n">
        <v>0</v>
      </c>
      <c r="N356" t="n">
        <v>0</v>
      </c>
      <c r="O356" t="n">
        <v>0</v>
      </c>
      <c r="P356" t="n">
        <v>0</v>
      </c>
      <c r="Q356" t="n">
        <v>0</v>
      </c>
      <c r="R356" s="2" t="inlineStr"/>
    </row>
    <row r="357" ht="15" customHeight="1">
      <c r="A357" t="inlineStr">
        <is>
          <t>A 58252-2024</t>
        </is>
      </c>
      <c r="B357" s="1" t="n">
        <v>45632.55709490741</v>
      </c>
      <c r="C357" s="1" t="n">
        <v>46013</v>
      </c>
      <c r="D357" t="inlineStr">
        <is>
          <t>UPPSALA LÄN</t>
        </is>
      </c>
      <c r="E357" t="inlineStr">
        <is>
          <t>TIERP</t>
        </is>
      </c>
      <c r="G357" t="n">
        <v>3.2</v>
      </c>
      <c r="H357" t="n">
        <v>0</v>
      </c>
      <c r="I357" t="n">
        <v>0</v>
      </c>
      <c r="J357" t="n">
        <v>0</v>
      </c>
      <c r="K357" t="n">
        <v>0</v>
      </c>
      <c r="L357" t="n">
        <v>0</v>
      </c>
      <c r="M357" t="n">
        <v>0</v>
      </c>
      <c r="N357" t="n">
        <v>0</v>
      </c>
      <c r="O357" t="n">
        <v>0</v>
      </c>
      <c r="P357" t="n">
        <v>0</v>
      </c>
      <c r="Q357" t="n">
        <v>0</v>
      </c>
      <c r="R357" s="2" t="inlineStr"/>
    </row>
    <row r="358" ht="15" customHeight="1">
      <c r="A358" t="inlineStr">
        <is>
          <t>A 1572-2023</t>
        </is>
      </c>
      <c r="B358" s="1" t="n">
        <v>44937.61023148148</v>
      </c>
      <c r="C358" s="1" t="n">
        <v>46013</v>
      </c>
      <c r="D358" t="inlineStr">
        <is>
          <t>UPPSALA LÄN</t>
        </is>
      </c>
      <c r="E358" t="inlineStr">
        <is>
          <t>TIERP</t>
        </is>
      </c>
      <c r="G358" t="n">
        <v>7.4</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46013</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57536-2022</t>
        </is>
      </c>
      <c r="B360" s="1" t="n">
        <v>44896.69231481481</v>
      </c>
      <c r="C360" s="1" t="n">
        <v>46013</v>
      </c>
      <c r="D360" t="inlineStr">
        <is>
          <t>UPPSALA LÄN</t>
        </is>
      </c>
      <c r="E360" t="inlineStr">
        <is>
          <t>TIERP</t>
        </is>
      </c>
      <c r="G360" t="n">
        <v>0.6</v>
      </c>
      <c r="H360" t="n">
        <v>0</v>
      </c>
      <c r="I360" t="n">
        <v>0</v>
      </c>
      <c r="J360" t="n">
        <v>0</v>
      </c>
      <c r="K360" t="n">
        <v>0</v>
      </c>
      <c r="L360" t="n">
        <v>0</v>
      </c>
      <c r="M360" t="n">
        <v>0</v>
      </c>
      <c r="N360" t="n">
        <v>0</v>
      </c>
      <c r="O360" t="n">
        <v>0</v>
      </c>
      <c r="P360" t="n">
        <v>0</v>
      </c>
      <c r="Q360" t="n">
        <v>0</v>
      </c>
      <c r="R360" s="2" t="inlineStr"/>
    </row>
    <row r="361" ht="15" customHeight="1">
      <c r="A361" t="inlineStr">
        <is>
          <t>A 32209-2025</t>
        </is>
      </c>
      <c r="B361" s="1" t="n">
        <v>45835.58365740741</v>
      </c>
      <c r="C361" s="1" t="n">
        <v>46013</v>
      </c>
      <c r="D361" t="inlineStr">
        <is>
          <t>UPPSALA LÄN</t>
        </is>
      </c>
      <c r="E361" t="inlineStr">
        <is>
          <t>TIERP</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32376-2025</t>
        </is>
      </c>
      <c r="B362" s="1" t="n">
        <v>45837.72260416667</v>
      </c>
      <c r="C362" s="1" t="n">
        <v>46013</v>
      </c>
      <c r="D362" t="inlineStr">
        <is>
          <t>UPPSALA LÄN</t>
        </is>
      </c>
      <c r="E362" t="inlineStr">
        <is>
          <t>TIERP</t>
        </is>
      </c>
      <c r="G362" t="n">
        <v>1.8</v>
      </c>
      <c r="H362" t="n">
        <v>0</v>
      </c>
      <c r="I362" t="n">
        <v>0</v>
      </c>
      <c r="J362" t="n">
        <v>0</v>
      </c>
      <c r="K362" t="n">
        <v>0</v>
      </c>
      <c r="L362" t="n">
        <v>0</v>
      </c>
      <c r="M362" t="n">
        <v>0</v>
      </c>
      <c r="N362" t="n">
        <v>0</v>
      </c>
      <c r="O362" t="n">
        <v>0</v>
      </c>
      <c r="P362" t="n">
        <v>0</v>
      </c>
      <c r="Q362" t="n">
        <v>0</v>
      </c>
      <c r="R362" s="2" t="inlineStr"/>
    </row>
    <row r="363" ht="15" customHeight="1">
      <c r="A363" t="inlineStr">
        <is>
          <t>A 44659-2025</t>
        </is>
      </c>
      <c r="B363" s="1" t="n">
        <v>45917.55430555555</v>
      </c>
      <c r="C363" s="1" t="n">
        <v>46013</v>
      </c>
      <c r="D363" t="inlineStr">
        <is>
          <t>UPPSALA LÄN</t>
        </is>
      </c>
      <c r="E363" t="inlineStr">
        <is>
          <t>TIERP</t>
        </is>
      </c>
      <c r="F363" t="inlineStr">
        <is>
          <t>Bergvik skog väst AB</t>
        </is>
      </c>
      <c r="G363" t="n">
        <v>12.2</v>
      </c>
      <c r="H363" t="n">
        <v>0</v>
      </c>
      <c r="I363" t="n">
        <v>0</v>
      </c>
      <c r="J363" t="n">
        <v>0</v>
      </c>
      <c r="K363" t="n">
        <v>0</v>
      </c>
      <c r="L363" t="n">
        <v>0</v>
      </c>
      <c r="M363" t="n">
        <v>0</v>
      </c>
      <c r="N363" t="n">
        <v>0</v>
      </c>
      <c r="O363" t="n">
        <v>0</v>
      </c>
      <c r="P363" t="n">
        <v>0</v>
      </c>
      <c r="Q363" t="n">
        <v>0</v>
      </c>
      <c r="R363" s="2" t="inlineStr"/>
    </row>
    <row r="364" ht="15" customHeight="1">
      <c r="A364" t="inlineStr">
        <is>
          <t>A 32296-2025</t>
        </is>
      </c>
      <c r="B364" s="1" t="n">
        <v>45835</v>
      </c>
      <c r="C364" s="1" t="n">
        <v>46013</v>
      </c>
      <c r="D364" t="inlineStr">
        <is>
          <t>UPPSALA LÄN</t>
        </is>
      </c>
      <c r="E364" t="inlineStr">
        <is>
          <t>TIERP</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44675-2025</t>
        </is>
      </c>
      <c r="B365" s="1" t="n">
        <v>45917.56850694444</v>
      </c>
      <c r="C365" s="1" t="n">
        <v>46013</v>
      </c>
      <c r="D365" t="inlineStr">
        <is>
          <t>UPPSALA LÄN</t>
        </is>
      </c>
      <c r="E365" t="inlineStr">
        <is>
          <t>TIERP</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44612-2025</t>
        </is>
      </c>
      <c r="B366" s="1" t="n">
        <v>45917.45171296296</v>
      </c>
      <c r="C366" s="1" t="n">
        <v>46013</v>
      </c>
      <c r="D366" t="inlineStr">
        <is>
          <t>UPPSALA LÄN</t>
        </is>
      </c>
      <c r="E366" t="inlineStr">
        <is>
          <t>TIERP</t>
        </is>
      </c>
      <c r="G366" t="n">
        <v>2.6</v>
      </c>
      <c r="H366" t="n">
        <v>0</v>
      </c>
      <c r="I366" t="n">
        <v>0</v>
      </c>
      <c r="J366" t="n">
        <v>0</v>
      </c>
      <c r="K366" t="n">
        <v>0</v>
      </c>
      <c r="L366" t="n">
        <v>0</v>
      </c>
      <c r="M366" t="n">
        <v>0</v>
      </c>
      <c r="N366" t="n">
        <v>0</v>
      </c>
      <c r="O366" t="n">
        <v>0</v>
      </c>
      <c r="P366" t="n">
        <v>0</v>
      </c>
      <c r="Q366" t="n">
        <v>0</v>
      </c>
      <c r="R366" s="2" t="inlineStr"/>
    </row>
    <row r="367" ht="15" customHeight="1">
      <c r="A367" t="inlineStr">
        <is>
          <t>A 32199-2025</t>
        </is>
      </c>
      <c r="B367" s="1" t="n">
        <v>45835.57688657408</v>
      </c>
      <c r="C367" s="1" t="n">
        <v>46013</v>
      </c>
      <c r="D367" t="inlineStr">
        <is>
          <t>UPPSALA LÄN</t>
        </is>
      </c>
      <c r="E367" t="inlineStr">
        <is>
          <t>TIERP</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31949-2025</t>
        </is>
      </c>
      <c r="B368" s="1" t="n">
        <v>45835.32549768518</v>
      </c>
      <c r="C368" s="1" t="n">
        <v>46013</v>
      </c>
      <c r="D368" t="inlineStr">
        <is>
          <t>UPPSALA LÄN</t>
        </is>
      </c>
      <c r="E368" t="inlineStr">
        <is>
          <t>TIERP</t>
        </is>
      </c>
      <c r="G368" t="n">
        <v>0.8</v>
      </c>
      <c r="H368" t="n">
        <v>0</v>
      </c>
      <c r="I368" t="n">
        <v>0</v>
      </c>
      <c r="J368" t="n">
        <v>0</v>
      </c>
      <c r="K368" t="n">
        <v>0</v>
      </c>
      <c r="L368" t="n">
        <v>0</v>
      </c>
      <c r="M368" t="n">
        <v>0</v>
      </c>
      <c r="N368" t="n">
        <v>0</v>
      </c>
      <c r="O368" t="n">
        <v>0</v>
      </c>
      <c r="P368" t="n">
        <v>0</v>
      </c>
      <c r="Q368" t="n">
        <v>0</v>
      </c>
      <c r="R368" s="2" t="inlineStr"/>
    </row>
    <row r="369" ht="15" customHeight="1">
      <c r="A369" t="inlineStr">
        <is>
          <t>A 21032-2022</t>
        </is>
      </c>
      <c r="B369" s="1" t="n">
        <v>44704</v>
      </c>
      <c r="C369" s="1" t="n">
        <v>46013</v>
      </c>
      <c r="D369" t="inlineStr">
        <is>
          <t>UPPSALA LÄN</t>
        </is>
      </c>
      <c r="E369" t="inlineStr">
        <is>
          <t>TIERP</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18781-2022</t>
        </is>
      </c>
      <c r="B370" s="1" t="n">
        <v>44689</v>
      </c>
      <c r="C370" s="1" t="n">
        <v>46013</v>
      </c>
      <c r="D370" t="inlineStr">
        <is>
          <t>UPPSALA LÄN</t>
        </is>
      </c>
      <c r="E370" t="inlineStr">
        <is>
          <t>TIERP</t>
        </is>
      </c>
      <c r="F370" t="inlineStr">
        <is>
          <t>Kyrkan</t>
        </is>
      </c>
      <c r="G370" t="n">
        <v>8.4</v>
      </c>
      <c r="H370" t="n">
        <v>0</v>
      </c>
      <c r="I370" t="n">
        <v>0</v>
      </c>
      <c r="J370" t="n">
        <v>0</v>
      </c>
      <c r="K370" t="n">
        <v>0</v>
      </c>
      <c r="L370" t="n">
        <v>0</v>
      </c>
      <c r="M370" t="n">
        <v>0</v>
      </c>
      <c r="N370" t="n">
        <v>0</v>
      </c>
      <c r="O370" t="n">
        <v>0</v>
      </c>
      <c r="P370" t="n">
        <v>0</v>
      </c>
      <c r="Q370" t="n">
        <v>0</v>
      </c>
      <c r="R370" s="2" t="inlineStr"/>
    </row>
    <row r="371" ht="15" customHeight="1">
      <c r="A371" t="inlineStr">
        <is>
          <t>A 45449-2025</t>
        </is>
      </c>
      <c r="B371" s="1" t="n">
        <v>45922.48269675926</v>
      </c>
      <c r="C371" s="1" t="n">
        <v>46013</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45586-2025</t>
        </is>
      </c>
      <c r="B372" s="1" t="n">
        <v>45922.66908564815</v>
      </c>
      <c r="C372" s="1" t="n">
        <v>46013</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41389-2024</t>
        </is>
      </c>
      <c r="B373" s="1" t="n">
        <v>45560</v>
      </c>
      <c r="C373" s="1" t="n">
        <v>46013</v>
      </c>
      <c r="D373" t="inlineStr">
        <is>
          <t>UPPSALA LÄN</t>
        </is>
      </c>
      <c r="E373" t="inlineStr">
        <is>
          <t>TIERP</t>
        </is>
      </c>
      <c r="F373" t="inlineStr">
        <is>
          <t>Bergvik skog öst AB</t>
        </is>
      </c>
      <c r="G373" t="n">
        <v>0.3</v>
      </c>
      <c r="H373" t="n">
        <v>0</v>
      </c>
      <c r="I373" t="n">
        <v>0</v>
      </c>
      <c r="J373" t="n">
        <v>0</v>
      </c>
      <c r="K373" t="n">
        <v>0</v>
      </c>
      <c r="L373" t="n">
        <v>0</v>
      </c>
      <c r="M373" t="n">
        <v>0</v>
      </c>
      <c r="N373" t="n">
        <v>0</v>
      </c>
      <c r="O373" t="n">
        <v>0</v>
      </c>
      <c r="P373" t="n">
        <v>0</v>
      </c>
      <c r="Q373" t="n">
        <v>0</v>
      </c>
      <c r="R373" s="2" t="inlineStr"/>
    </row>
    <row r="374" ht="15" customHeight="1">
      <c r="A374" t="inlineStr">
        <is>
          <t>A 33180-2025</t>
        </is>
      </c>
      <c r="B374" s="1" t="n">
        <v>45840.5905324074</v>
      </c>
      <c r="C374" s="1" t="n">
        <v>46013</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46013</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46013</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45310-2025</t>
        </is>
      </c>
      <c r="B377" s="1" t="n">
        <v>45921.71658564815</v>
      </c>
      <c r="C377" s="1" t="n">
        <v>46013</v>
      </c>
      <c r="D377" t="inlineStr">
        <is>
          <t>UPPSALA LÄN</t>
        </is>
      </c>
      <c r="E377" t="inlineStr">
        <is>
          <t>TIERP</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46013</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46013</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45915-2024</t>
        </is>
      </c>
      <c r="B380" s="1" t="n">
        <v>45580</v>
      </c>
      <c r="C380" s="1" t="n">
        <v>46013</v>
      </c>
      <c r="D380" t="inlineStr">
        <is>
          <t>UPPSALA LÄN</t>
        </is>
      </c>
      <c r="E380" t="inlineStr">
        <is>
          <t>TIERP</t>
        </is>
      </c>
      <c r="G380" t="n">
        <v>1.1</v>
      </c>
      <c r="H380" t="n">
        <v>0</v>
      </c>
      <c r="I380" t="n">
        <v>0</v>
      </c>
      <c r="J380" t="n">
        <v>0</v>
      </c>
      <c r="K380" t="n">
        <v>0</v>
      </c>
      <c r="L380" t="n">
        <v>0</v>
      </c>
      <c r="M380" t="n">
        <v>0</v>
      </c>
      <c r="N380" t="n">
        <v>0</v>
      </c>
      <c r="O380" t="n">
        <v>0</v>
      </c>
      <c r="P380" t="n">
        <v>0</v>
      </c>
      <c r="Q380" t="n">
        <v>0</v>
      </c>
      <c r="R380" s="2" t="inlineStr"/>
    </row>
    <row r="381" ht="15" customHeight="1">
      <c r="A381" t="inlineStr">
        <is>
          <t>A 33954-2025</t>
        </is>
      </c>
      <c r="B381" s="1" t="n">
        <v>45842.67362268519</v>
      </c>
      <c r="C381" s="1" t="n">
        <v>46013</v>
      </c>
      <c r="D381" t="inlineStr">
        <is>
          <t>UPPSALA LÄN</t>
        </is>
      </c>
      <c r="E381" t="inlineStr">
        <is>
          <t>TIERP</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33946-2025</t>
        </is>
      </c>
      <c r="B382" s="1" t="n">
        <v>45842.65422453704</v>
      </c>
      <c r="C382" s="1" t="n">
        <v>46013</v>
      </c>
      <c r="D382" t="inlineStr">
        <is>
          <t>UPPSALA LÄN</t>
        </is>
      </c>
      <c r="E382" t="inlineStr">
        <is>
          <t>TIERP</t>
        </is>
      </c>
      <c r="F382" t="inlineStr">
        <is>
          <t>Bergvik skog öst AB</t>
        </is>
      </c>
      <c r="G382" t="n">
        <v>5.4</v>
      </c>
      <c r="H382" t="n">
        <v>0</v>
      </c>
      <c r="I382" t="n">
        <v>0</v>
      </c>
      <c r="J382" t="n">
        <v>0</v>
      </c>
      <c r="K382" t="n">
        <v>0</v>
      </c>
      <c r="L382" t="n">
        <v>0</v>
      </c>
      <c r="M382" t="n">
        <v>0</v>
      </c>
      <c r="N382" t="n">
        <v>0</v>
      </c>
      <c r="O382" t="n">
        <v>0</v>
      </c>
      <c r="P382" t="n">
        <v>0</v>
      </c>
      <c r="Q382" t="n">
        <v>0</v>
      </c>
      <c r="R382" s="2" t="inlineStr"/>
    </row>
    <row r="383" ht="15" customHeight="1">
      <c r="A383" t="inlineStr">
        <is>
          <t>A 21017-2022</t>
        </is>
      </c>
      <c r="B383" s="1" t="n">
        <v>44704</v>
      </c>
      <c r="C383" s="1" t="n">
        <v>46013</v>
      </c>
      <c r="D383" t="inlineStr">
        <is>
          <t>UPPSALA LÄN</t>
        </is>
      </c>
      <c r="E383" t="inlineStr">
        <is>
          <t>TIERP</t>
        </is>
      </c>
      <c r="G383" t="n">
        <v>3.5</v>
      </c>
      <c r="H383" t="n">
        <v>0</v>
      </c>
      <c r="I383" t="n">
        <v>0</v>
      </c>
      <c r="J383" t="n">
        <v>0</v>
      </c>
      <c r="K383" t="n">
        <v>0</v>
      </c>
      <c r="L383" t="n">
        <v>0</v>
      </c>
      <c r="M383" t="n">
        <v>0</v>
      </c>
      <c r="N383" t="n">
        <v>0</v>
      </c>
      <c r="O383" t="n">
        <v>0</v>
      </c>
      <c r="P383" t="n">
        <v>0</v>
      </c>
      <c r="Q383" t="n">
        <v>0</v>
      </c>
      <c r="R383" s="2" t="inlineStr"/>
    </row>
    <row r="384" ht="15" customHeight="1">
      <c r="A384" t="inlineStr">
        <is>
          <t>A 21034-2022</t>
        </is>
      </c>
      <c r="B384" s="1" t="n">
        <v>44704.40528935185</v>
      </c>
      <c r="C384" s="1" t="n">
        <v>46013</v>
      </c>
      <c r="D384" t="inlineStr">
        <is>
          <t>UPPSALA LÄN</t>
        </is>
      </c>
      <c r="E384" t="inlineStr">
        <is>
          <t>TIERP</t>
        </is>
      </c>
      <c r="G384" t="n">
        <v>4</v>
      </c>
      <c r="H384" t="n">
        <v>0</v>
      </c>
      <c r="I384" t="n">
        <v>0</v>
      </c>
      <c r="J384" t="n">
        <v>0</v>
      </c>
      <c r="K384" t="n">
        <v>0</v>
      </c>
      <c r="L384" t="n">
        <v>0</v>
      </c>
      <c r="M384" t="n">
        <v>0</v>
      </c>
      <c r="N384" t="n">
        <v>0</v>
      </c>
      <c r="O384" t="n">
        <v>0</v>
      </c>
      <c r="P384" t="n">
        <v>0</v>
      </c>
      <c r="Q384" t="n">
        <v>0</v>
      </c>
      <c r="R384" s="2" t="inlineStr"/>
    </row>
    <row r="385" ht="15" customHeight="1">
      <c r="A385" t="inlineStr">
        <is>
          <t>A 20911-2022</t>
        </is>
      </c>
      <c r="B385" s="1" t="n">
        <v>44701.60350694445</v>
      </c>
      <c r="C385" s="1" t="n">
        <v>46013</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33953-2025</t>
        </is>
      </c>
      <c r="B386" s="1" t="n">
        <v>45842.67251157408</v>
      </c>
      <c r="C386" s="1" t="n">
        <v>46013</v>
      </c>
      <c r="D386" t="inlineStr">
        <is>
          <t>UPPSALA LÄN</t>
        </is>
      </c>
      <c r="E386" t="inlineStr">
        <is>
          <t>TIERP</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34112-2025</t>
        </is>
      </c>
      <c r="B387" s="1" t="n">
        <v>45845.50091435185</v>
      </c>
      <c r="C387" s="1" t="n">
        <v>46013</v>
      </c>
      <c r="D387" t="inlineStr">
        <is>
          <t>UPPSALA LÄN</t>
        </is>
      </c>
      <c r="E387" t="inlineStr">
        <is>
          <t>TIERP</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46644-2025</t>
        </is>
      </c>
      <c r="B388" s="1" t="n">
        <v>45926.47443287037</v>
      </c>
      <c r="C388" s="1" t="n">
        <v>46013</v>
      </c>
      <c r="D388" t="inlineStr">
        <is>
          <t>UPPSALA LÄN</t>
        </is>
      </c>
      <c r="E388" t="inlineStr">
        <is>
          <t>TIERP</t>
        </is>
      </c>
      <c r="G388" t="n">
        <v>2.1</v>
      </c>
      <c r="H388" t="n">
        <v>0</v>
      </c>
      <c r="I388" t="n">
        <v>0</v>
      </c>
      <c r="J388" t="n">
        <v>0</v>
      </c>
      <c r="K388" t="n">
        <v>0</v>
      </c>
      <c r="L388" t="n">
        <v>0</v>
      </c>
      <c r="M388" t="n">
        <v>0</v>
      </c>
      <c r="N388" t="n">
        <v>0</v>
      </c>
      <c r="O388" t="n">
        <v>0</v>
      </c>
      <c r="P388" t="n">
        <v>0</v>
      </c>
      <c r="Q388" t="n">
        <v>0</v>
      </c>
      <c r="R388" s="2" t="inlineStr"/>
    </row>
    <row r="389" ht="15" customHeight="1">
      <c r="A389" t="inlineStr">
        <is>
          <t>A 7036-2021</t>
        </is>
      </c>
      <c r="B389" s="1" t="n">
        <v>44237</v>
      </c>
      <c r="C389" s="1" t="n">
        <v>46013</v>
      </c>
      <c r="D389" t="inlineStr">
        <is>
          <t>UPPSALA LÄN</t>
        </is>
      </c>
      <c r="E389" t="inlineStr">
        <is>
          <t>TIERP</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46390-2025</t>
        </is>
      </c>
      <c r="B390" s="1" t="n">
        <v>45925.54199074074</v>
      </c>
      <c r="C390" s="1" t="n">
        <v>46013</v>
      </c>
      <c r="D390" t="inlineStr">
        <is>
          <t>UPPSALA LÄN</t>
        </is>
      </c>
      <c r="E390" t="inlineStr">
        <is>
          <t>TIERP</t>
        </is>
      </c>
      <c r="F390" t="inlineStr">
        <is>
          <t>Bergvik skog öst AB</t>
        </is>
      </c>
      <c r="G390" t="n">
        <v>16.3</v>
      </c>
      <c r="H390" t="n">
        <v>0</v>
      </c>
      <c r="I390" t="n">
        <v>0</v>
      </c>
      <c r="J390" t="n">
        <v>0</v>
      </c>
      <c r="K390" t="n">
        <v>0</v>
      </c>
      <c r="L390" t="n">
        <v>0</v>
      </c>
      <c r="M390" t="n">
        <v>0</v>
      </c>
      <c r="N390" t="n">
        <v>0</v>
      </c>
      <c r="O390" t="n">
        <v>0</v>
      </c>
      <c r="P390" t="n">
        <v>0</v>
      </c>
      <c r="Q390" t="n">
        <v>0</v>
      </c>
      <c r="R390" s="2" t="inlineStr"/>
    </row>
    <row r="391" ht="15" customHeight="1">
      <c r="A391" t="inlineStr">
        <is>
          <t>A 34114-2025</t>
        </is>
      </c>
      <c r="B391" s="1" t="n">
        <v>45845.50322916666</v>
      </c>
      <c r="C391" s="1" t="n">
        <v>46013</v>
      </c>
      <c r="D391" t="inlineStr">
        <is>
          <t>UPPSALA LÄN</t>
        </is>
      </c>
      <c r="E391" t="inlineStr">
        <is>
          <t>TIERP</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11570-2025</t>
        </is>
      </c>
      <c r="B392" s="1" t="n">
        <v>45727.37976851852</v>
      </c>
      <c r="C392" s="1" t="n">
        <v>46013</v>
      </c>
      <c r="D392" t="inlineStr">
        <is>
          <t>UPPSALA LÄN</t>
        </is>
      </c>
      <c r="E392" t="inlineStr">
        <is>
          <t>TIERP</t>
        </is>
      </c>
      <c r="F392" t="inlineStr">
        <is>
          <t>Bergvik skog öst AB</t>
        </is>
      </c>
      <c r="G392" t="n">
        <v>3.7</v>
      </c>
      <c r="H392" t="n">
        <v>0</v>
      </c>
      <c r="I392" t="n">
        <v>0</v>
      </c>
      <c r="J392" t="n">
        <v>0</v>
      </c>
      <c r="K392" t="n">
        <v>0</v>
      </c>
      <c r="L392" t="n">
        <v>0</v>
      </c>
      <c r="M392" t="n">
        <v>0</v>
      </c>
      <c r="N392" t="n">
        <v>0</v>
      </c>
      <c r="O392" t="n">
        <v>0</v>
      </c>
      <c r="P392" t="n">
        <v>0</v>
      </c>
      <c r="Q392" t="n">
        <v>0</v>
      </c>
      <c r="R392" s="2" t="inlineStr"/>
    </row>
    <row r="393" ht="15" customHeight="1">
      <c r="A393" t="inlineStr">
        <is>
          <t>A 14086-2023</t>
        </is>
      </c>
      <c r="B393" s="1" t="n">
        <v>45009.33243055556</v>
      </c>
      <c r="C393" s="1" t="n">
        <v>46013</v>
      </c>
      <c r="D393" t="inlineStr">
        <is>
          <t>UPPSALA LÄN</t>
        </is>
      </c>
      <c r="E393" t="inlineStr">
        <is>
          <t>TIERP</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47445-2025</t>
        </is>
      </c>
      <c r="B394" s="1" t="n">
        <v>45930</v>
      </c>
      <c r="C394" s="1" t="n">
        <v>46013</v>
      </c>
      <c r="D394" t="inlineStr">
        <is>
          <t>UPPSALA LÄN</t>
        </is>
      </c>
      <c r="E394" t="inlineStr">
        <is>
          <t>TIERP</t>
        </is>
      </c>
      <c r="F394" t="inlineStr">
        <is>
          <t>Bergvik skog väst AB</t>
        </is>
      </c>
      <c r="G394" t="n">
        <v>39.6</v>
      </c>
      <c r="H394" t="n">
        <v>0</v>
      </c>
      <c r="I394" t="n">
        <v>0</v>
      </c>
      <c r="J394" t="n">
        <v>0</v>
      </c>
      <c r="K394" t="n">
        <v>0</v>
      </c>
      <c r="L394" t="n">
        <v>0</v>
      </c>
      <c r="M394" t="n">
        <v>0</v>
      </c>
      <c r="N394" t="n">
        <v>0</v>
      </c>
      <c r="O394" t="n">
        <v>0</v>
      </c>
      <c r="P394" t="n">
        <v>0</v>
      </c>
      <c r="Q394" t="n">
        <v>0</v>
      </c>
      <c r="R394" s="2" t="inlineStr"/>
    </row>
    <row r="395" ht="15" customHeight="1">
      <c r="A395" t="inlineStr">
        <is>
          <t>A 34455-2025</t>
        </is>
      </c>
      <c r="B395" s="1" t="n">
        <v>45847.32696759259</v>
      </c>
      <c r="C395" s="1" t="n">
        <v>46013</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5289-2023</t>
        </is>
      </c>
      <c r="B396" s="1" t="n">
        <v>44959.52206018518</v>
      </c>
      <c r="C396" s="1" t="n">
        <v>46013</v>
      </c>
      <c r="D396" t="inlineStr">
        <is>
          <t>UPPSALA LÄN</t>
        </is>
      </c>
      <c r="E396" t="inlineStr">
        <is>
          <t>TIERP</t>
        </is>
      </c>
      <c r="G396" t="n">
        <v>2</v>
      </c>
      <c r="H396" t="n">
        <v>0</v>
      </c>
      <c r="I396" t="n">
        <v>0</v>
      </c>
      <c r="J396" t="n">
        <v>0</v>
      </c>
      <c r="K396" t="n">
        <v>0</v>
      </c>
      <c r="L396" t="n">
        <v>0</v>
      </c>
      <c r="M396" t="n">
        <v>0</v>
      </c>
      <c r="N396" t="n">
        <v>0</v>
      </c>
      <c r="O396" t="n">
        <v>0</v>
      </c>
      <c r="P396" t="n">
        <v>0</v>
      </c>
      <c r="Q396" t="n">
        <v>0</v>
      </c>
      <c r="R396" s="2" t="inlineStr"/>
    </row>
    <row r="397" ht="15" customHeight="1">
      <c r="A397" t="inlineStr">
        <is>
          <t>A 35012-2025</t>
        </is>
      </c>
      <c r="B397" s="1" t="n">
        <v>45851.55586805556</v>
      </c>
      <c r="C397" s="1" t="n">
        <v>46013</v>
      </c>
      <c r="D397" t="inlineStr">
        <is>
          <t>UPPSALA LÄN</t>
        </is>
      </c>
      <c r="E397" t="inlineStr">
        <is>
          <t>TIERP</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35013-2025</t>
        </is>
      </c>
      <c r="B398" s="1" t="n">
        <v>45851.55748842593</v>
      </c>
      <c r="C398" s="1" t="n">
        <v>46013</v>
      </c>
      <c r="D398" t="inlineStr">
        <is>
          <t>UPPSALA LÄN</t>
        </is>
      </c>
      <c r="E398" t="inlineStr">
        <is>
          <t>TIERP</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46842-2025</t>
        </is>
      </c>
      <c r="B399" s="1" t="n">
        <v>45928.59989583334</v>
      </c>
      <c r="C399" s="1" t="n">
        <v>46013</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35011-2025</t>
        </is>
      </c>
      <c r="B400" s="1" t="n">
        <v>45851.55418981481</v>
      </c>
      <c r="C400" s="1" t="n">
        <v>46013</v>
      </c>
      <c r="D400" t="inlineStr">
        <is>
          <t>UPPSALA LÄN</t>
        </is>
      </c>
      <c r="E400" t="inlineStr">
        <is>
          <t>TIERP</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46013</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34922-2025</t>
        </is>
      </c>
      <c r="B402" s="1" t="n">
        <v>45849.55525462963</v>
      </c>
      <c r="C402" s="1" t="n">
        <v>46013</v>
      </c>
      <c r="D402" t="inlineStr">
        <is>
          <t>UPPSALA LÄN</t>
        </is>
      </c>
      <c r="E402" t="inlineStr">
        <is>
          <t>TIERP</t>
        </is>
      </c>
      <c r="G402" t="n">
        <v>4.7</v>
      </c>
      <c r="H402" t="n">
        <v>0</v>
      </c>
      <c r="I402" t="n">
        <v>0</v>
      </c>
      <c r="J402" t="n">
        <v>0</v>
      </c>
      <c r="K402" t="n">
        <v>0</v>
      </c>
      <c r="L402" t="n">
        <v>0</v>
      </c>
      <c r="M402" t="n">
        <v>0</v>
      </c>
      <c r="N402" t="n">
        <v>0</v>
      </c>
      <c r="O402" t="n">
        <v>0</v>
      </c>
      <c r="P402" t="n">
        <v>0</v>
      </c>
      <c r="Q402" t="n">
        <v>0</v>
      </c>
      <c r="R402" s="2" t="inlineStr"/>
    </row>
    <row r="403" ht="15" customHeight="1">
      <c r="A403" t="inlineStr">
        <is>
          <t>A 55716-2025</t>
        </is>
      </c>
      <c r="B403" s="1" t="n">
        <v>45972</v>
      </c>
      <c r="C403" s="1" t="n">
        <v>46013</v>
      </c>
      <c r="D403" t="inlineStr">
        <is>
          <t>UPPSALA LÄN</t>
        </is>
      </c>
      <c r="E403" t="inlineStr">
        <is>
          <t>TIERP</t>
        </is>
      </c>
      <c r="G403" t="n">
        <v>4.8</v>
      </c>
      <c r="H403" t="n">
        <v>0</v>
      </c>
      <c r="I403" t="n">
        <v>0</v>
      </c>
      <c r="J403" t="n">
        <v>0</v>
      </c>
      <c r="K403" t="n">
        <v>0</v>
      </c>
      <c r="L403" t="n">
        <v>0</v>
      </c>
      <c r="M403" t="n">
        <v>0</v>
      </c>
      <c r="N403" t="n">
        <v>0</v>
      </c>
      <c r="O403" t="n">
        <v>0</v>
      </c>
      <c r="P403" t="n">
        <v>0</v>
      </c>
      <c r="Q403" t="n">
        <v>0</v>
      </c>
      <c r="R403" s="2" t="inlineStr"/>
    </row>
    <row r="404" ht="15" customHeight="1">
      <c r="A404" t="inlineStr">
        <is>
          <t>A 55719-2025</t>
        </is>
      </c>
      <c r="B404" s="1" t="n">
        <v>45972</v>
      </c>
      <c r="C404" s="1" t="n">
        <v>46013</v>
      </c>
      <c r="D404" t="inlineStr">
        <is>
          <t>UPPSALA LÄN</t>
        </is>
      </c>
      <c r="E404" t="inlineStr">
        <is>
          <t>TIERP</t>
        </is>
      </c>
      <c r="G404" t="n">
        <v>1.7</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46013</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46013</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35105-2025</t>
        </is>
      </c>
      <c r="B407" s="1" t="n">
        <v>45852.57078703704</v>
      </c>
      <c r="C407" s="1" t="n">
        <v>46013</v>
      </c>
      <c r="D407" t="inlineStr">
        <is>
          <t>UPPSALA LÄN</t>
        </is>
      </c>
      <c r="E407" t="inlineStr">
        <is>
          <t>TIERP</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61280-2024</t>
        </is>
      </c>
      <c r="B408" s="1" t="n">
        <v>45645</v>
      </c>
      <c r="C408" s="1" t="n">
        <v>46013</v>
      </c>
      <c r="D408" t="inlineStr">
        <is>
          <t>UPPSALA LÄN</t>
        </is>
      </c>
      <c r="E408" t="inlineStr">
        <is>
          <t>TIERP</t>
        </is>
      </c>
      <c r="G408" t="n">
        <v>5.4</v>
      </c>
      <c r="H408" t="n">
        <v>0</v>
      </c>
      <c r="I408" t="n">
        <v>0</v>
      </c>
      <c r="J408" t="n">
        <v>0</v>
      </c>
      <c r="K408" t="n">
        <v>0</v>
      </c>
      <c r="L408" t="n">
        <v>0</v>
      </c>
      <c r="M408" t="n">
        <v>0</v>
      </c>
      <c r="N408" t="n">
        <v>0</v>
      </c>
      <c r="O408" t="n">
        <v>0</v>
      </c>
      <c r="P408" t="n">
        <v>0</v>
      </c>
      <c r="Q408" t="n">
        <v>0</v>
      </c>
      <c r="R408" s="2" t="inlineStr"/>
    </row>
    <row r="409" ht="15" customHeight="1">
      <c r="A409" t="inlineStr">
        <is>
          <t>A 35108-2025</t>
        </is>
      </c>
      <c r="B409" s="1" t="n">
        <v>45852.5746412037</v>
      </c>
      <c r="C409" s="1" t="n">
        <v>46013</v>
      </c>
      <c r="D409" t="inlineStr">
        <is>
          <t>UPPSALA LÄN</t>
        </is>
      </c>
      <c r="E409" t="inlineStr">
        <is>
          <t>TIERP</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35112-2025</t>
        </is>
      </c>
      <c r="B410" s="1" t="n">
        <v>45852.58104166666</v>
      </c>
      <c r="C410" s="1" t="n">
        <v>46013</v>
      </c>
      <c r="D410" t="inlineStr">
        <is>
          <t>UPPSALA LÄN</t>
        </is>
      </c>
      <c r="E410" t="inlineStr">
        <is>
          <t>TIERP</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27269-2025</t>
        </is>
      </c>
      <c r="B411" s="1" t="n">
        <v>45812.49445601852</v>
      </c>
      <c r="C411" s="1" t="n">
        <v>46013</v>
      </c>
      <c r="D411" t="inlineStr">
        <is>
          <t>UPPSALA LÄN</t>
        </is>
      </c>
      <c r="E411" t="inlineStr">
        <is>
          <t>TIERP</t>
        </is>
      </c>
      <c r="G411" t="n">
        <v>1.3</v>
      </c>
      <c r="H411" t="n">
        <v>0</v>
      </c>
      <c r="I411" t="n">
        <v>0</v>
      </c>
      <c r="J411" t="n">
        <v>0</v>
      </c>
      <c r="K411" t="n">
        <v>0</v>
      </c>
      <c r="L411" t="n">
        <v>0</v>
      </c>
      <c r="M411" t="n">
        <v>0</v>
      </c>
      <c r="N411" t="n">
        <v>0</v>
      </c>
      <c r="O411" t="n">
        <v>0</v>
      </c>
      <c r="P411" t="n">
        <v>0</v>
      </c>
      <c r="Q411" t="n">
        <v>0</v>
      </c>
      <c r="R411" s="2" t="inlineStr"/>
    </row>
    <row r="412" ht="15" customHeight="1">
      <c r="A412" t="inlineStr">
        <is>
          <t>A 35118-2025</t>
        </is>
      </c>
      <c r="B412" s="1" t="n">
        <v>45852.59546296296</v>
      </c>
      <c r="C412" s="1" t="n">
        <v>46013</v>
      </c>
      <c r="D412" t="inlineStr">
        <is>
          <t>UPPSALA LÄN</t>
        </is>
      </c>
      <c r="E412" t="inlineStr">
        <is>
          <t>TIERP</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44774-2024</t>
        </is>
      </c>
      <c r="B413" s="1" t="n">
        <v>45574</v>
      </c>
      <c r="C413" s="1" t="n">
        <v>46013</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2676-2024</t>
        </is>
      </c>
      <c r="B414" s="1" t="n">
        <v>45314.43193287037</v>
      </c>
      <c r="C414" s="1" t="n">
        <v>46013</v>
      </c>
      <c r="D414" t="inlineStr">
        <is>
          <t>UPPSALA LÄN</t>
        </is>
      </c>
      <c r="E414" t="inlineStr">
        <is>
          <t>TIERP</t>
        </is>
      </c>
      <c r="G414" t="n">
        <v>6.3</v>
      </c>
      <c r="H414" t="n">
        <v>0</v>
      </c>
      <c r="I414" t="n">
        <v>0</v>
      </c>
      <c r="J414" t="n">
        <v>0</v>
      </c>
      <c r="K414" t="n">
        <v>0</v>
      </c>
      <c r="L414" t="n">
        <v>0</v>
      </c>
      <c r="M414" t="n">
        <v>0</v>
      </c>
      <c r="N414" t="n">
        <v>0</v>
      </c>
      <c r="O414" t="n">
        <v>0</v>
      </c>
      <c r="P414" t="n">
        <v>0</v>
      </c>
      <c r="Q414" t="n">
        <v>0</v>
      </c>
      <c r="R414" s="2" t="inlineStr"/>
    </row>
    <row r="415" ht="15" customHeight="1">
      <c r="A415" t="inlineStr">
        <is>
          <t>A 55720-2025</t>
        </is>
      </c>
      <c r="B415" s="1" t="n">
        <v>45972</v>
      </c>
      <c r="C415" s="1" t="n">
        <v>46013</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56044-2025</t>
        </is>
      </c>
      <c r="B416" s="1" t="n">
        <v>45973.61974537037</v>
      </c>
      <c r="C416" s="1" t="n">
        <v>46013</v>
      </c>
      <c r="D416" t="inlineStr">
        <is>
          <t>UPPSALA LÄN</t>
        </is>
      </c>
      <c r="E416" t="inlineStr">
        <is>
          <t>TIERP</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56046-2025</t>
        </is>
      </c>
      <c r="B417" s="1" t="n">
        <v>45973.62456018518</v>
      </c>
      <c r="C417" s="1" t="n">
        <v>46013</v>
      </c>
      <c r="D417" t="inlineStr">
        <is>
          <t>UPPSALA LÄN</t>
        </is>
      </c>
      <c r="E417" t="inlineStr">
        <is>
          <t>TIERP</t>
        </is>
      </c>
      <c r="F417" t="inlineStr">
        <is>
          <t>Bergvik skog väst AB</t>
        </is>
      </c>
      <c r="G417" t="n">
        <v>1.9</v>
      </c>
      <c r="H417" t="n">
        <v>0</v>
      </c>
      <c r="I417" t="n">
        <v>0</v>
      </c>
      <c r="J417" t="n">
        <v>0</v>
      </c>
      <c r="K417" t="n">
        <v>0</v>
      </c>
      <c r="L417" t="n">
        <v>0</v>
      </c>
      <c r="M417" t="n">
        <v>0</v>
      </c>
      <c r="N417" t="n">
        <v>0</v>
      </c>
      <c r="O417" t="n">
        <v>0</v>
      </c>
      <c r="P417" t="n">
        <v>0</v>
      </c>
      <c r="Q417" t="n">
        <v>0</v>
      </c>
      <c r="R417" s="2" t="inlineStr"/>
    </row>
    <row r="418" ht="15" customHeight="1">
      <c r="A418" t="inlineStr">
        <is>
          <t>A 55872-2025</t>
        </is>
      </c>
      <c r="B418" s="1" t="n">
        <v>45973.35476851852</v>
      </c>
      <c r="C418" s="1" t="n">
        <v>46013</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56059-2025</t>
        </is>
      </c>
      <c r="B419" s="1" t="n">
        <v>45973.63755787037</v>
      </c>
      <c r="C419" s="1" t="n">
        <v>46013</v>
      </c>
      <c r="D419" t="inlineStr">
        <is>
          <t>UPPSALA LÄN</t>
        </is>
      </c>
      <c r="E419" t="inlineStr">
        <is>
          <t>TIERP</t>
        </is>
      </c>
      <c r="F419" t="inlineStr">
        <is>
          <t>Bergvik skog väst AB</t>
        </is>
      </c>
      <c r="G419" t="n">
        <v>3.2</v>
      </c>
      <c r="H419" t="n">
        <v>0</v>
      </c>
      <c r="I419" t="n">
        <v>0</v>
      </c>
      <c r="J419" t="n">
        <v>0</v>
      </c>
      <c r="K419" t="n">
        <v>0</v>
      </c>
      <c r="L419" t="n">
        <v>0</v>
      </c>
      <c r="M419" t="n">
        <v>0</v>
      </c>
      <c r="N419" t="n">
        <v>0</v>
      </c>
      <c r="O419" t="n">
        <v>0</v>
      </c>
      <c r="P419" t="n">
        <v>0</v>
      </c>
      <c r="Q419" t="n">
        <v>0</v>
      </c>
      <c r="R419" s="2" t="inlineStr"/>
    </row>
    <row r="420" ht="15" customHeight="1">
      <c r="A420" t="inlineStr">
        <is>
          <t>A 55833-2025</t>
        </is>
      </c>
      <c r="B420" s="1" t="n">
        <v>45972</v>
      </c>
      <c r="C420" s="1" t="n">
        <v>46013</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56067-2025</t>
        </is>
      </c>
      <c r="B421" s="1" t="n">
        <v>45973.6449537037</v>
      </c>
      <c r="C421" s="1" t="n">
        <v>46013</v>
      </c>
      <c r="D421" t="inlineStr">
        <is>
          <t>UPPSALA LÄN</t>
        </is>
      </c>
      <c r="E421" t="inlineStr">
        <is>
          <t>TIERP</t>
        </is>
      </c>
      <c r="F421" t="inlineStr">
        <is>
          <t>Bergvik skog väst AB</t>
        </is>
      </c>
      <c r="G421" t="n">
        <v>8.6</v>
      </c>
      <c r="H421" t="n">
        <v>0</v>
      </c>
      <c r="I421" t="n">
        <v>0</v>
      </c>
      <c r="J421" t="n">
        <v>0</v>
      </c>
      <c r="K421" t="n">
        <v>0</v>
      </c>
      <c r="L421" t="n">
        <v>0</v>
      </c>
      <c r="M421" t="n">
        <v>0</v>
      </c>
      <c r="N421" t="n">
        <v>0</v>
      </c>
      <c r="O421" t="n">
        <v>0</v>
      </c>
      <c r="P421" t="n">
        <v>0</v>
      </c>
      <c r="Q421" t="n">
        <v>0</v>
      </c>
      <c r="R421" s="2" t="inlineStr"/>
    </row>
    <row r="422" ht="15" customHeight="1">
      <c r="A422" t="inlineStr">
        <is>
          <t>A 35911-2025</t>
        </is>
      </c>
      <c r="B422" s="1" t="n">
        <v>45862.52585648148</v>
      </c>
      <c r="C422" s="1" t="n">
        <v>46013</v>
      </c>
      <c r="D422" t="inlineStr">
        <is>
          <t>UPPSALA LÄN</t>
        </is>
      </c>
      <c r="E422" t="inlineStr">
        <is>
          <t>TIERP</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35921-2025</t>
        </is>
      </c>
      <c r="B423" s="1" t="n">
        <v>45862.56547453703</v>
      </c>
      <c r="C423" s="1" t="n">
        <v>46013</v>
      </c>
      <c r="D423" t="inlineStr">
        <is>
          <t>UPPSALA LÄN</t>
        </is>
      </c>
      <c r="E423" t="inlineStr">
        <is>
          <t>TIERP</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35913-2025</t>
        </is>
      </c>
      <c r="B424" s="1" t="n">
        <v>45862.53918981482</v>
      </c>
      <c r="C424" s="1" t="n">
        <v>46013</v>
      </c>
      <c r="D424" t="inlineStr">
        <is>
          <t>UPPSALA LÄN</t>
        </is>
      </c>
      <c r="E424" t="inlineStr">
        <is>
          <t>TIERP</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22135-2025</t>
        </is>
      </c>
      <c r="B425" s="1" t="n">
        <v>45785.54427083334</v>
      </c>
      <c r="C425" s="1" t="n">
        <v>46013</v>
      </c>
      <c r="D425" t="inlineStr">
        <is>
          <t>UPPSALA LÄN</t>
        </is>
      </c>
      <c r="E425" t="inlineStr">
        <is>
          <t>TIERP</t>
        </is>
      </c>
      <c r="G425" t="n">
        <v>1.2</v>
      </c>
      <c r="H425" t="n">
        <v>0</v>
      </c>
      <c r="I425" t="n">
        <v>0</v>
      </c>
      <c r="J425" t="n">
        <v>0</v>
      </c>
      <c r="K425" t="n">
        <v>0</v>
      </c>
      <c r="L425" t="n">
        <v>0</v>
      </c>
      <c r="M425" t="n">
        <v>0</v>
      </c>
      <c r="N425" t="n">
        <v>0</v>
      </c>
      <c r="O425" t="n">
        <v>0</v>
      </c>
      <c r="P425" t="n">
        <v>0</v>
      </c>
      <c r="Q425" t="n">
        <v>0</v>
      </c>
      <c r="R425" s="2" t="inlineStr"/>
    </row>
    <row r="426" ht="15" customHeight="1">
      <c r="A426" t="inlineStr">
        <is>
          <t>A 23154-2023</t>
        </is>
      </c>
      <c r="B426" s="1" t="n">
        <v>45075</v>
      </c>
      <c r="C426" s="1" t="n">
        <v>46013</v>
      </c>
      <c r="D426" t="inlineStr">
        <is>
          <t>UPPSALA LÄN</t>
        </is>
      </c>
      <c r="E426" t="inlineStr">
        <is>
          <t>TIERP</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35119-2025</t>
        </is>
      </c>
      <c r="B427" s="1" t="n">
        <v>45852.60275462963</v>
      </c>
      <c r="C427" s="1" t="n">
        <v>46013</v>
      </c>
      <c r="D427" t="inlineStr">
        <is>
          <t>UPPSALA LÄN</t>
        </is>
      </c>
      <c r="E427" t="inlineStr">
        <is>
          <t>TIERP</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36029-2025</t>
        </is>
      </c>
      <c r="B428" s="1" t="n">
        <v>45865.4359837963</v>
      </c>
      <c r="C428" s="1" t="n">
        <v>46013</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2549-2025</t>
        </is>
      </c>
      <c r="B429" s="1" t="n">
        <v>45674</v>
      </c>
      <c r="C429" s="1" t="n">
        <v>46013</v>
      </c>
      <c r="D429" t="inlineStr">
        <is>
          <t>UPPSALA LÄN</t>
        </is>
      </c>
      <c r="E429" t="inlineStr">
        <is>
          <t>TIERP</t>
        </is>
      </c>
      <c r="G429" t="n">
        <v>4</v>
      </c>
      <c r="H429" t="n">
        <v>0</v>
      </c>
      <c r="I429" t="n">
        <v>0</v>
      </c>
      <c r="J429" t="n">
        <v>0</v>
      </c>
      <c r="K429" t="n">
        <v>0</v>
      </c>
      <c r="L429" t="n">
        <v>0</v>
      </c>
      <c r="M429" t="n">
        <v>0</v>
      </c>
      <c r="N429" t="n">
        <v>0</v>
      </c>
      <c r="O429" t="n">
        <v>0</v>
      </c>
      <c r="P429" t="n">
        <v>0</v>
      </c>
      <c r="Q429" t="n">
        <v>0</v>
      </c>
      <c r="R429" s="2" t="inlineStr"/>
    </row>
    <row r="430" ht="15" customHeight="1">
      <c r="A430" t="inlineStr">
        <is>
          <t>A 56051-2025</t>
        </is>
      </c>
      <c r="B430" s="1" t="n">
        <v>45973.63171296296</v>
      </c>
      <c r="C430" s="1" t="n">
        <v>46013</v>
      </c>
      <c r="D430" t="inlineStr">
        <is>
          <t>UPPSALA LÄN</t>
        </is>
      </c>
      <c r="E430" t="inlineStr">
        <is>
          <t>TIERP</t>
        </is>
      </c>
      <c r="F430" t="inlineStr">
        <is>
          <t>Bergvik skog väst AB</t>
        </is>
      </c>
      <c r="G430" t="n">
        <v>4.6</v>
      </c>
      <c r="H430" t="n">
        <v>0</v>
      </c>
      <c r="I430" t="n">
        <v>0</v>
      </c>
      <c r="J430" t="n">
        <v>0</v>
      </c>
      <c r="K430" t="n">
        <v>0</v>
      </c>
      <c r="L430" t="n">
        <v>0</v>
      </c>
      <c r="M430" t="n">
        <v>0</v>
      </c>
      <c r="N430" t="n">
        <v>0</v>
      </c>
      <c r="O430" t="n">
        <v>0</v>
      </c>
      <c r="P430" t="n">
        <v>0</v>
      </c>
      <c r="Q430" t="n">
        <v>0</v>
      </c>
      <c r="R430" s="2" t="inlineStr"/>
    </row>
    <row r="431" ht="15" customHeight="1">
      <c r="A431" t="inlineStr">
        <is>
          <t>A 60314-2024</t>
        </is>
      </c>
      <c r="B431" s="1" t="n">
        <v>45643</v>
      </c>
      <c r="C431" s="1" t="n">
        <v>46013</v>
      </c>
      <c r="D431" t="inlineStr">
        <is>
          <t>UPPSALA LÄN</t>
        </is>
      </c>
      <c r="E431" t="inlineStr">
        <is>
          <t>TIERP</t>
        </is>
      </c>
      <c r="F431" t="inlineStr">
        <is>
          <t>Bergvik skog öst AB</t>
        </is>
      </c>
      <c r="G431" t="n">
        <v>4.4</v>
      </c>
      <c r="H431" t="n">
        <v>0</v>
      </c>
      <c r="I431" t="n">
        <v>0</v>
      </c>
      <c r="J431" t="n">
        <v>0</v>
      </c>
      <c r="K431" t="n">
        <v>0</v>
      </c>
      <c r="L431" t="n">
        <v>0</v>
      </c>
      <c r="M431" t="n">
        <v>0</v>
      </c>
      <c r="N431" t="n">
        <v>0</v>
      </c>
      <c r="O431" t="n">
        <v>0</v>
      </c>
      <c r="P431" t="n">
        <v>0</v>
      </c>
      <c r="Q431" t="n">
        <v>0</v>
      </c>
      <c r="R431" s="2" t="inlineStr"/>
    </row>
    <row r="432" ht="15" customHeight="1">
      <c r="A432" t="inlineStr">
        <is>
          <t>A 59244-2024</t>
        </is>
      </c>
      <c r="B432" s="1" t="n">
        <v>45637</v>
      </c>
      <c r="C432" s="1" t="n">
        <v>46013</v>
      </c>
      <c r="D432" t="inlineStr">
        <is>
          <t>UPPSALA LÄN</t>
        </is>
      </c>
      <c r="E432" t="inlineStr">
        <is>
          <t>TIERP</t>
        </is>
      </c>
      <c r="G432" t="n">
        <v>2.1</v>
      </c>
      <c r="H432" t="n">
        <v>0</v>
      </c>
      <c r="I432" t="n">
        <v>0</v>
      </c>
      <c r="J432" t="n">
        <v>0</v>
      </c>
      <c r="K432" t="n">
        <v>0</v>
      </c>
      <c r="L432" t="n">
        <v>0</v>
      </c>
      <c r="M432" t="n">
        <v>0</v>
      </c>
      <c r="N432" t="n">
        <v>0</v>
      </c>
      <c r="O432" t="n">
        <v>0</v>
      </c>
      <c r="P432" t="n">
        <v>0</v>
      </c>
      <c r="Q432" t="n">
        <v>0</v>
      </c>
      <c r="R432" s="2" t="inlineStr"/>
    </row>
    <row r="433" ht="15" customHeight="1">
      <c r="A433" t="inlineStr">
        <is>
          <t>A 36027-2025</t>
        </is>
      </c>
      <c r="B433" s="1" t="n">
        <v>45864.63327546296</v>
      </c>
      <c r="C433" s="1" t="n">
        <v>46013</v>
      </c>
      <c r="D433" t="inlineStr">
        <is>
          <t>UPPSALA LÄN</t>
        </is>
      </c>
      <c r="E433" t="inlineStr">
        <is>
          <t>TIERP</t>
        </is>
      </c>
      <c r="F433" t="inlineStr">
        <is>
          <t>Bergvik skog väst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59267-2024</t>
        </is>
      </c>
      <c r="B434" s="1" t="n">
        <v>45637</v>
      </c>
      <c r="C434" s="1" t="n">
        <v>46013</v>
      </c>
      <c r="D434" t="inlineStr">
        <is>
          <t>UPPSALA LÄN</t>
        </is>
      </c>
      <c r="E434" t="inlineStr">
        <is>
          <t>TIERP</t>
        </is>
      </c>
      <c r="G434" t="n">
        <v>4.1</v>
      </c>
      <c r="H434" t="n">
        <v>0</v>
      </c>
      <c r="I434" t="n">
        <v>0</v>
      </c>
      <c r="J434" t="n">
        <v>0</v>
      </c>
      <c r="K434" t="n">
        <v>0</v>
      </c>
      <c r="L434" t="n">
        <v>0</v>
      </c>
      <c r="M434" t="n">
        <v>0</v>
      </c>
      <c r="N434" t="n">
        <v>0</v>
      </c>
      <c r="O434" t="n">
        <v>0</v>
      </c>
      <c r="P434" t="n">
        <v>0</v>
      </c>
      <c r="Q434" t="n">
        <v>0</v>
      </c>
      <c r="R434" s="2" t="inlineStr"/>
    </row>
    <row r="435" ht="15" customHeight="1">
      <c r="A435" t="inlineStr">
        <is>
          <t>A 61230-2024</t>
        </is>
      </c>
      <c r="B435" s="1" t="n">
        <v>45645</v>
      </c>
      <c r="C435" s="1" t="n">
        <v>46013</v>
      </c>
      <c r="D435" t="inlineStr">
        <is>
          <t>UPPSALA LÄN</t>
        </is>
      </c>
      <c r="E435" t="inlineStr">
        <is>
          <t>TIERP</t>
        </is>
      </c>
      <c r="G435" t="n">
        <v>1.8</v>
      </c>
      <c r="H435" t="n">
        <v>0</v>
      </c>
      <c r="I435" t="n">
        <v>0</v>
      </c>
      <c r="J435" t="n">
        <v>0</v>
      </c>
      <c r="K435" t="n">
        <v>0</v>
      </c>
      <c r="L435" t="n">
        <v>0</v>
      </c>
      <c r="M435" t="n">
        <v>0</v>
      </c>
      <c r="N435" t="n">
        <v>0</v>
      </c>
      <c r="O435" t="n">
        <v>0</v>
      </c>
      <c r="P435" t="n">
        <v>0</v>
      </c>
      <c r="Q435" t="n">
        <v>0</v>
      </c>
      <c r="R435" s="2" t="inlineStr"/>
      <c r="U435">
        <f>HYPERLINK("https://klasma.github.io/Logging_0360/knärot/A 61230-2024 karta knärot.png", "A 61230-2024")</f>
        <v/>
      </c>
      <c r="V435">
        <f>HYPERLINK("https://klasma.github.io/Logging_0360/klagomål/A 61230-2024 FSC-klagomål.docx", "A 61230-2024")</f>
        <v/>
      </c>
      <c r="W435">
        <f>HYPERLINK("https://klasma.github.io/Logging_0360/klagomålsmail/A 61230-2024 FSC-klagomål mail.docx", "A 61230-2024")</f>
        <v/>
      </c>
      <c r="X435">
        <f>HYPERLINK("https://klasma.github.io/Logging_0360/tillsyn/A 61230-2024 tillsynsbegäran.docx", "A 61230-2024")</f>
        <v/>
      </c>
      <c r="Y435">
        <f>HYPERLINK("https://klasma.github.io/Logging_0360/tillsynsmail/A 61230-2024 tillsynsbegäran mail.docx", "A 61230-2024")</f>
        <v/>
      </c>
    </row>
    <row r="436" ht="15" customHeight="1">
      <c r="A436" t="inlineStr">
        <is>
          <t>A 36030-2025</t>
        </is>
      </c>
      <c r="B436" s="1" t="n">
        <v>45865.44140046297</v>
      </c>
      <c r="C436" s="1" t="n">
        <v>46013</v>
      </c>
      <c r="D436" t="inlineStr">
        <is>
          <t>UPPSALA LÄN</t>
        </is>
      </c>
      <c r="E436" t="inlineStr">
        <is>
          <t>TIERP</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36189-2025</t>
        </is>
      </c>
      <c r="B437" s="1" t="n">
        <v>45867.42266203704</v>
      </c>
      <c r="C437" s="1" t="n">
        <v>46013</v>
      </c>
      <c r="D437" t="inlineStr">
        <is>
          <t>UPPSALA LÄN</t>
        </is>
      </c>
      <c r="E437" t="inlineStr">
        <is>
          <t>TIERP</t>
        </is>
      </c>
      <c r="G437" t="n">
        <v>2.6</v>
      </c>
      <c r="H437" t="n">
        <v>0</v>
      </c>
      <c r="I437" t="n">
        <v>0</v>
      </c>
      <c r="J437" t="n">
        <v>0</v>
      </c>
      <c r="K437" t="n">
        <v>0</v>
      </c>
      <c r="L437" t="n">
        <v>0</v>
      </c>
      <c r="M437" t="n">
        <v>0</v>
      </c>
      <c r="N437" t="n">
        <v>0</v>
      </c>
      <c r="O437" t="n">
        <v>0</v>
      </c>
      <c r="P437" t="n">
        <v>0</v>
      </c>
      <c r="Q437" t="n">
        <v>0</v>
      </c>
      <c r="R437" s="2" t="inlineStr"/>
    </row>
    <row r="438" ht="15" customHeight="1">
      <c r="A438" t="inlineStr">
        <is>
          <t>A 48487-2025</t>
        </is>
      </c>
      <c r="B438" s="1" t="n">
        <v>45936.36195601852</v>
      </c>
      <c r="C438" s="1" t="n">
        <v>46013</v>
      </c>
      <c r="D438" t="inlineStr">
        <is>
          <t>UPPSALA LÄN</t>
        </is>
      </c>
      <c r="E438" t="inlineStr">
        <is>
          <t>TIERP</t>
        </is>
      </c>
      <c r="F438" t="inlineStr">
        <is>
          <t>Bergvik skog väst AB</t>
        </is>
      </c>
      <c r="G438" t="n">
        <v>4.7</v>
      </c>
      <c r="H438" t="n">
        <v>0</v>
      </c>
      <c r="I438" t="n">
        <v>0</v>
      </c>
      <c r="J438" t="n">
        <v>0</v>
      </c>
      <c r="K438" t="n">
        <v>0</v>
      </c>
      <c r="L438" t="n">
        <v>0</v>
      </c>
      <c r="M438" t="n">
        <v>0</v>
      </c>
      <c r="N438" t="n">
        <v>0</v>
      </c>
      <c r="O438" t="n">
        <v>0</v>
      </c>
      <c r="P438" t="n">
        <v>0</v>
      </c>
      <c r="Q438" t="n">
        <v>0</v>
      </c>
      <c r="R438" s="2" t="inlineStr"/>
    </row>
    <row r="439" ht="15" customHeight="1">
      <c r="A439" t="inlineStr">
        <is>
          <t>A 48494-2025</t>
        </is>
      </c>
      <c r="B439" s="1" t="n">
        <v>45936.36921296296</v>
      </c>
      <c r="C439" s="1" t="n">
        <v>46013</v>
      </c>
      <c r="D439" t="inlineStr">
        <is>
          <t>UPPSALA LÄN</t>
        </is>
      </c>
      <c r="E439" t="inlineStr">
        <is>
          <t>TIERP</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19840-2022</t>
        </is>
      </c>
      <c r="B440" s="1" t="n">
        <v>44696</v>
      </c>
      <c r="C440" s="1" t="n">
        <v>46013</v>
      </c>
      <c r="D440" t="inlineStr">
        <is>
          <t>UPPSALA LÄN</t>
        </is>
      </c>
      <c r="E440" t="inlineStr">
        <is>
          <t>TIERP</t>
        </is>
      </c>
      <c r="G440" t="n">
        <v>3</v>
      </c>
      <c r="H440" t="n">
        <v>0</v>
      </c>
      <c r="I440" t="n">
        <v>0</v>
      </c>
      <c r="J440" t="n">
        <v>0</v>
      </c>
      <c r="K440" t="n">
        <v>0</v>
      </c>
      <c r="L440" t="n">
        <v>0</v>
      </c>
      <c r="M440" t="n">
        <v>0</v>
      </c>
      <c r="N440" t="n">
        <v>0</v>
      </c>
      <c r="O440" t="n">
        <v>0</v>
      </c>
      <c r="P440" t="n">
        <v>0</v>
      </c>
      <c r="Q440" t="n">
        <v>0</v>
      </c>
      <c r="R440" s="2" t="inlineStr"/>
    </row>
    <row r="441" ht="15" customHeight="1">
      <c r="A441" t="inlineStr">
        <is>
          <t>A 48545-2025</t>
        </is>
      </c>
      <c r="B441" s="1" t="n">
        <v>45936.41964120371</v>
      </c>
      <c r="C441" s="1" t="n">
        <v>46013</v>
      </c>
      <c r="D441" t="inlineStr">
        <is>
          <t>UPPSALA LÄN</t>
        </is>
      </c>
      <c r="E441" t="inlineStr">
        <is>
          <t>TIERP</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33307-2023</t>
        </is>
      </c>
      <c r="B442" s="1" t="n">
        <v>45127</v>
      </c>
      <c r="C442" s="1" t="n">
        <v>46013</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17412-2025</t>
        </is>
      </c>
      <c r="B443" s="1" t="n">
        <v>45757.37369212963</v>
      </c>
      <c r="C443" s="1" t="n">
        <v>46013</v>
      </c>
      <c r="D443" t="inlineStr">
        <is>
          <t>UPPSALA LÄN</t>
        </is>
      </c>
      <c r="E443" t="inlineStr">
        <is>
          <t>TIERP</t>
        </is>
      </c>
      <c r="F443" t="inlineStr">
        <is>
          <t>Bergvik skog öst AB</t>
        </is>
      </c>
      <c r="G443" t="n">
        <v>14.1</v>
      </c>
      <c r="H443" t="n">
        <v>0</v>
      </c>
      <c r="I443" t="n">
        <v>0</v>
      </c>
      <c r="J443" t="n">
        <v>0</v>
      </c>
      <c r="K443" t="n">
        <v>0</v>
      </c>
      <c r="L443" t="n">
        <v>0</v>
      </c>
      <c r="M443" t="n">
        <v>0</v>
      </c>
      <c r="N443" t="n">
        <v>0</v>
      </c>
      <c r="O443" t="n">
        <v>0</v>
      </c>
      <c r="P443" t="n">
        <v>0</v>
      </c>
      <c r="Q443" t="n">
        <v>0</v>
      </c>
      <c r="R443" s="2" t="inlineStr"/>
    </row>
    <row r="444" ht="15" customHeight="1">
      <c r="A444" t="inlineStr">
        <is>
          <t>A 48523-2025</t>
        </is>
      </c>
      <c r="B444" s="1" t="n">
        <v>45936.40495370371</v>
      </c>
      <c r="C444" s="1" t="n">
        <v>46013</v>
      </c>
      <c r="D444" t="inlineStr">
        <is>
          <t>UPPSALA LÄN</t>
        </is>
      </c>
      <c r="E444" t="inlineStr">
        <is>
          <t>TIERP</t>
        </is>
      </c>
      <c r="F444" t="inlineStr">
        <is>
          <t>Bergvik skog väst AB</t>
        </is>
      </c>
      <c r="G444" t="n">
        <v>16.4</v>
      </c>
      <c r="H444" t="n">
        <v>0</v>
      </c>
      <c r="I444" t="n">
        <v>0</v>
      </c>
      <c r="J444" t="n">
        <v>0</v>
      </c>
      <c r="K444" t="n">
        <v>0</v>
      </c>
      <c r="L444" t="n">
        <v>0</v>
      </c>
      <c r="M444" t="n">
        <v>0</v>
      </c>
      <c r="N444" t="n">
        <v>0</v>
      </c>
      <c r="O444" t="n">
        <v>0</v>
      </c>
      <c r="P444" t="n">
        <v>0</v>
      </c>
      <c r="Q444" t="n">
        <v>0</v>
      </c>
      <c r="R444" s="2" t="inlineStr"/>
    </row>
    <row r="445" ht="15" customHeight="1">
      <c r="A445" t="inlineStr">
        <is>
          <t>A 36195-2025</t>
        </is>
      </c>
      <c r="B445" s="1" t="n">
        <v>45867.43064814815</v>
      </c>
      <c r="C445" s="1" t="n">
        <v>46013</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36307-2025</t>
        </is>
      </c>
      <c r="B446" s="1" t="n">
        <v>45868.29372685185</v>
      </c>
      <c r="C446" s="1" t="n">
        <v>46013</v>
      </c>
      <c r="D446" t="inlineStr">
        <is>
          <t>UPPSALA LÄN</t>
        </is>
      </c>
      <c r="E446" t="inlineStr">
        <is>
          <t>TIERP</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5963-2023</t>
        </is>
      </c>
      <c r="B447" s="1" t="n">
        <v>44964</v>
      </c>
      <c r="C447" s="1" t="n">
        <v>46013</v>
      </c>
      <c r="D447" t="inlineStr">
        <is>
          <t>UPPSALA LÄN</t>
        </is>
      </c>
      <c r="E447" t="inlineStr">
        <is>
          <t>TIERP</t>
        </is>
      </c>
      <c r="F447" t="inlineStr">
        <is>
          <t>Bergvik skog öst AB</t>
        </is>
      </c>
      <c r="G447" t="n">
        <v>4.1</v>
      </c>
      <c r="H447" t="n">
        <v>0</v>
      </c>
      <c r="I447" t="n">
        <v>0</v>
      </c>
      <c r="J447" t="n">
        <v>0</v>
      </c>
      <c r="K447" t="n">
        <v>0</v>
      </c>
      <c r="L447" t="n">
        <v>0</v>
      </c>
      <c r="M447" t="n">
        <v>0</v>
      </c>
      <c r="N447" t="n">
        <v>0</v>
      </c>
      <c r="O447" t="n">
        <v>0</v>
      </c>
      <c r="P447" t="n">
        <v>0</v>
      </c>
      <c r="Q447" t="n">
        <v>0</v>
      </c>
      <c r="R447" s="2" t="inlineStr"/>
    </row>
    <row r="448" ht="15" customHeight="1">
      <c r="A448" t="inlineStr">
        <is>
          <t>A 31149-2025</t>
        </is>
      </c>
      <c r="B448" s="1" t="n">
        <v>45832.64122685185</v>
      </c>
      <c r="C448" s="1" t="n">
        <v>46013</v>
      </c>
      <c r="D448" t="inlineStr">
        <is>
          <t>UPPSALA LÄN</t>
        </is>
      </c>
      <c r="E448" t="inlineStr">
        <is>
          <t>TIERP</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36419-2025</t>
        </is>
      </c>
      <c r="B449" s="1" t="n">
        <v>45868.83431712963</v>
      </c>
      <c r="C449" s="1" t="n">
        <v>46013</v>
      </c>
      <c r="D449" t="inlineStr">
        <is>
          <t>UPPSALA LÄN</t>
        </is>
      </c>
      <c r="E449" t="inlineStr">
        <is>
          <t>TIERP</t>
        </is>
      </c>
      <c r="G449" t="n">
        <v>2.5</v>
      </c>
      <c r="H449" t="n">
        <v>0</v>
      </c>
      <c r="I449" t="n">
        <v>0</v>
      </c>
      <c r="J449" t="n">
        <v>0</v>
      </c>
      <c r="K449" t="n">
        <v>0</v>
      </c>
      <c r="L449" t="n">
        <v>0</v>
      </c>
      <c r="M449" t="n">
        <v>0</v>
      </c>
      <c r="N449" t="n">
        <v>0</v>
      </c>
      <c r="O449" t="n">
        <v>0</v>
      </c>
      <c r="P449" t="n">
        <v>0</v>
      </c>
      <c r="Q449" t="n">
        <v>0</v>
      </c>
      <c r="R449" s="2" t="inlineStr"/>
    </row>
    <row r="450" ht="15" customHeight="1">
      <c r="A450" t="inlineStr">
        <is>
          <t>A 36422-2025</t>
        </is>
      </c>
      <c r="B450" s="1" t="n">
        <v>45868.85018518518</v>
      </c>
      <c r="C450" s="1" t="n">
        <v>46013</v>
      </c>
      <c r="D450" t="inlineStr">
        <is>
          <t>UPPSALA LÄN</t>
        </is>
      </c>
      <c r="E450" t="inlineStr">
        <is>
          <t>TIERP</t>
        </is>
      </c>
      <c r="F450" t="inlineStr">
        <is>
          <t>Bergvik skog väst AB</t>
        </is>
      </c>
      <c r="G450" t="n">
        <v>2.3</v>
      </c>
      <c r="H450" t="n">
        <v>0</v>
      </c>
      <c r="I450" t="n">
        <v>0</v>
      </c>
      <c r="J450" t="n">
        <v>0</v>
      </c>
      <c r="K450" t="n">
        <v>0</v>
      </c>
      <c r="L450" t="n">
        <v>0</v>
      </c>
      <c r="M450" t="n">
        <v>0</v>
      </c>
      <c r="N450" t="n">
        <v>0</v>
      </c>
      <c r="O450" t="n">
        <v>0</v>
      </c>
      <c r="P450" t="n">
        <v>0</v>
      </c>
      <c r="Q450" t="n">
        <v>0</v>
      </c>
      <c r="R450" s="2" t="inlineStr"/>
    </row>
    <row r="451" ht="15" customHeight="1">
      <c r="A451" t="inlineStr">
        <is>
          <t>A 16631-2023</t>
        </is>
      </c>
      <c r="B451" s="1" t="n">
        <v>45030</v>
      </c>
      <c r="C451" s="1" t="n">
        <v>46013</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48684-2025</t>
        </is>
      </c>
      <c r="B452" s="1" t="n">
        <v>45936.59858796297</v>
      </c>
      <c r="C452" s="1" t="n">
        <v>46013</v>
      </c>
      <c r="D452" t="inlineStr">
        <is>
          <t>UPPSALA LÄN</t>
        </is>
      </c>
      <c r="E452" t="inlineStr">
        <is>
          <t>TIERP</t>
        </is>
      </c>
      <c r="G452" t="n">
        <v>0.8</v>
      </c>
      <c r="H452" t="n">
        <v>0</v>
      </c>
      <c r="I452" t="n">
        <v>0</v>
      </c>
      <c r="J452" t="n">
        <v>0</v>
      </c>
      <c r="K452" t="n">
        <v>0</v>
      </c>
      <c r="L452" t="n">
        <v>0</v>
      </c>
      <c r="M452" t="n">
        <v>0</v>
      </c>
      <c r="N452" t="n">
        <v>0</v>
      </c>
      <c r="O452" t="n">
        <v>0</v>
      </c>
      <c r="P452" t="n">
        <v>0</v>
      </c>
      <c r="Q452" t="n">
        <v>0</v>
      </c>
      <c r="R452" s="2" t="inlineStr"/>
    </row>
    <row r="453" ht="15" customHeight="1">
      <c r="A453" t="inlineStr">
        <is>
          <t>A 36420-2025</t>
        </is>
      </c>
      <c r="B453" s="1" t="n">
        <v>45868.83913194444</v>
      </c>
      <c r="C453" s="1" t="n">
        <v>46013</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36421-2025</t>
        </is>
      </c>
      <c r="B454" s="1" t="n">
        <v>45868.84859953704</v>
      </c>
      <c r="C454" s="1" t="n">
        <v>46013</v>
      </c>
      <c r="D454" t="inlineStr">
        <is>
          <t>UPPSALA LÄN</t>
        </is>
      </c>
      <c r="E454" t="inlineStr">
        <is>
          <t>TIERP</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36423-2025</t>
        </is>
      </c>
      <c r="B455" s="1" t="n">
        <v>45868.85131944445</v>
      </c>
      <c r="C455" s="1" t="n">
        <v>46013</v>
      </c>
      <c r="D455" t="inlineStr">
        <is>
          <t>UPPSALA LÄN</t>
        </is>
      </c>
      <c r="E455" t="inlineStr">
        <is>
          <t>TIERP</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34014-2025</t>
        </is>
      </c>
      <c r="B456" s="1" t="n">
        <v>45845.30168981481</v>
      </c>
      <c r="C456" s="1" t="n">
        <v>46013</v>
      </c>
      <c r="D456" t="inlineStr">
        <is>
          <t>UPPSALA LÄN</t>
        </is>
      </c>
      <c r="E456" t="inlineStr">
        <is>
          <t>TIERP</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35122-2025</t>
        </is>
      </c>
      <c r="B457" s="1" t="n">
        <v>45852.61168981482</v>
      </c>
      <c r="C457" s="1" t="n">
        <v>46013</v>
      </c>
      <c r="D457" t="inlineStr">
        <is>
          <t>UPPSALA LÄN</t>
        </is>
      </c>
      <c r="E457" t="inlineStr">
        <is>
          <t>TIERP</t>
        </is>
      </c>
      <c r="G457" t="n">
        <v>0.7</v>
      </c>
      <c r="H457" t="n">
        <v>0</v>
      </c>
      <c r="I457" t="n">
        <v>0</v>
      </c>
      <c r="J457" t="n">
        <v>0</v>
      </c>
      <c r="K457" t="n">
        <v>0</v>
      </c>
      <c r="L457" t="n">
        <v>0</v>
      </c>
      <c r="M457" t="n">
        <v>0</v>
      </c>
      <c r="N457" t="n">
        <v>0</v>
      </c>
      <c r="O457" t="n">
        <v>0</v>
      </c>
      <c r="P457" t="n">
        <v>0</v>
      </c>
      <c r="Q457" t="n">
        <v>0</v>
      </c>
      <c r="R457" s="2" t="inlineStr"/>
    </row>
    <row r="458" ht="15" customHeight="1">
      <c r="A458" t="inlineStr">
        <is>
          <t>A 13214-2025</t>
        </is>
      </c>
      <c r="B458" s="1" t="n">
        <v>45735.44649305556</v>
      </c>
      <c r="C458" s="1" t="n">
        <v>46013</v>
      </c>
      <c r="D458" t="inlineStr">
        <is>
          <t>UPPSALA LÄN</t>
        </is>
      </c>
      <c r="E458" t="inlineStr">
        <is>
          <t>TIERP</t>
        </is>
      </c>
      <c r="G458" t="n">
        <v>1.9</v>
      </c>
      <c r="H458" t="n">
        <v>0</v>
      </c>
      <c r="I458" t="n">
        <v>0</v>
      </c>
      <c r="J458" t="n">
        <v>0</v>
      </c>
      <c r="K458" t="n">
        <v>0</v>
      </c>
      <c r="L458" t="n">
        <v>0</v>
      </c>
      <c r="M458" t="n">
        <v>0</v>
      </c>
      <c r="N458" t="n">
        <v>0</v>
      </c>
      <c r="O458" t="n">
        <v>0</v>
      </c>
      <c r="P458" t="n">
        <v>0</v>
      </c>
      <c r="Q458" t="n">
        <v>0</v>
      </c>
      <c r="R458" s="2" t="inlineStr"/>
    </row>
    <row r="459" ht="15" customHeight="1">
      <c r="A459" t="inlineStr">
        <is>
          <t>A 23468-2025</t>
        </is>
      </c>
      <c r="B459" s="1" t="n">
        <v>45792.43809027778</v>
      </c>
      <c r="C459" s="1" t="n">
        <v>46013</v>
      </c>
      <c r="D459" t="inlineStr">
        <is>
          <t>UPPSALA LÄN</t>
        </is>
      </c>
      <c r="E459" t="inlineStr">
        <is>
          <t>TIERP</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48550-2025</t>
        </is>
      </c>
      <c r="B460" s="1" t="n">
        <v>45936.42704861111</v>
      </c>
      <c r="C460" s="1" t="n">
        <v>46013</v>
      </c>
      <c r="D460" t="inlineStr">
        <is>
          <t>UPPSALA LÄN</t>
        </is>
      </c>
      <c r="E460" t="inlineStr">
        <is>
          <t>TIERP</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60985-2024</t>
        </is>
      </c>
      <c r="B461" s="1" t="n">
        <v>45645.41540509259</v>
      </c>
      <c r="C461" s="1" t="n">
        <v>46013</v>
      </c>
      <c r="D461" t="inlineStr">
        <is>
          <t>UPPSALA LÄN</t>
        </is>
      </c>
      <c r="E461" t="inlineStr">
        <is>
          <t>TIERP</t>
        </is>
      </c>
      <c r="G461" t="n">
        <v>5.5</v>
      </c>
      <c r="H461" t="n">
        <v>0</v>
      </c>
      <c r="I461" t="n">
        <v>0</v>
      </c>
      <c r="J461" t="n">
        <v>0</v>
      </c>
      <c r="K461" t="n">
        <v>0</v>
      </c>
      <c r="L461" t="n">
        <v>0</v>
      </c>
      <c r="M461" t="n">
        <v>0</v>
      </c>
      <c r="N461" t="n">
        <v>0</v>
      </c>
      <c r="O461" t="n">
        <v>0</v>
      </c>
      <c r="P461" t="n">
        <v>0</v>
      </c>
      <c r="Q461" t="n">
        <v>0</v>
      </c>
      <c r="R461" s="2" t="inlineStr"/>
    </row>
    <row r="462" ht="15" customHeight="1">
      <c r="A462" t="inlineStr">
        <is>
          <t>A 34838-2024</t>
        </is>
      </c>
      <c r="B462" s="1" t="n">
        <v>45526</v>
      </c>
      <c r="C462" s="1" t="n">
        <v>46013</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48674-2025</t>
        </is>
      </c>
      <c r="B463" s="1" t="n">
        <v>45936.58931712963</v>
      </c>
      <c r="C463" s="1" t="n">
        <v>46013</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48685-2025</t>
        </is>
      </c>
      <c r="B464" s="1" t="n">
        <v>45936.60018518518</v>
      </c>
      <c r="C464" s="1" t="n">
        <v>46013</v>
      </c>
      <c r="D464" t="inlineStr">
        <is>
          <t>UPPSALA LÄN</t>
        </is>
      </c>
      <c r="E464" t="inlineStr">
        <is>
          <t>TIERP</t>
        </is>
      </c>
      <c r="G464" t="n">
        <v>0.4</v>
      </c>
      <c r="H464" t="n">
        <v>0</v>
      </c>
      <c r="I464" t="n">
        <v>0</v>
      </c>
      <c r="J464" t="n">
        <v>0</v>
      </c>
      <c r="K464" t="n">
        <v>0</v>
      </c>
      <c r="L464" t="n">
        <v>0</v>
      </c>
      <c r="M464" t="n">
        <v>0</v>
      </c>
      <c r="N464" t="n">
        <v>0</v>
      </c>
      <c r="O464" t="n">
        <v>0</v>
      </c>
      <c r="P464" t="n">
        <v>0</v>
      </c>
      <c r="Q464" t="n">
        <v>0</v>
      </c>
      <c r="R464" s="2" t="inlineStr"/>
    </row>
    <row r="465" ht="15" customHeight="1">
      <c r="A465" t="inlineStr">
        <is>
          <t>A 26380-2023</t>
        </is>
      </c>
      <c r="B465" s="1" t="n">
        <v>45092</v>
      </c>
      <c r="C465" s="1" t="n">
        <v>46013</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57277-2025</t>
        </is>
      </c>
      <c r="B466" s="1" t="n">
        <v>45979.68946759259</v>
      </c>
      <c r="C466" s="1" t="n">
        <v>46013</v>
      </c>
      <c r="D466" t="inlineStr">
        <is>
          <t>UPPSALA LÄN</t>
        </is>
      </c>
      <c r="E466" t="inlineStr">
        <is>
          <t>TIERP</t>
        </is>
      </c>
      <c r="G466" t="n">
        <v>4</v>
      </c>
      <c r="H466" t="n">
        <v>0</v>
      </c>
      <c r="I466" t="n">
        <v>0</v>
      </c>
      <c r="J466" t="n">
        <v>0</v>
      </c>
      <c r="K466" t="n">
        <v>0</v>
      </c>
      <c r="L466" t="n">
        <v>0</v>
      </c>
      <c r="M466" t="n">
        <v>0</v>
      </c>
      <c r="N466" t="n">
        <v>0</v>
      </c>
      <c r="O466" t="n">
        <v>0</v>
      </c>
      <c r="P466" t="n">
        <v>0</v>
      </c>
      <c r="Q466" t="n">
        <v>0</v>
      </c>
      <c r="R466" s="2" t="inlineStr"/>
    </row>
    <row r="467" ht="15" customHeight="1">
      <c r="A467" t="inlineStr">
        <is>
          <t>A 49191-2025</t>
        </is>
      </c>
      <c r="B467" s="1" t="n">
        <v>45938.40780092592</v>
      </c>
      <c r="C467" s="1" t="n">
        <v>46013</v>
      </c>
      <c r="D467" t="inlineStr">
        <is>
          <t>UPPSALA LÄN</t>
        </is>
      </c>
      <c r="E467" t="inlineStr">
        <is>
          <t>TIERP</t>
        </is>
      </c>
      <c r="F467" t="inlineStr">
        <is>
          <t>Bergvik skog väst AB</t>
        </is>
      </c>
      <c r="G467" t="n">
        <v>38.9</v>
      </c>
      <c r="H467" t="n">
        <v>0</v>
      </c>
      <c r="I467" t="n">
        <v>0</v>
      </c>
      <c r="J467" t="n">
        <v>0</v>
      </c>
      <c r="K467" t="n">
        <v>0</v>
      </c>
      <c r="L467" t="n">
        <v>0</v>
      </c>
      <c r="M467" t="n">
        <v>0</v>
      </c>
      <c r="N467" t="n">
        <v>0</v>
      </c>
      <c r="O467" t="n">
        <v>0</v>
      </c>
      <c r="P467" t="n">
        <v>0</v>
      </c>
      <c r="Q467" t="n">
        <v>0</v>
      </c>
      <c r="R467" s="2" t="inlineStr"/>
    </row>
    <row r="468" ht="15" customHeight="1">
      <c r="A468" t="inlineStr">
        <is>
          <t>A 48596-2025</t>
        </is>
      </c>
      <c r="B468" s="1" t="n">
        <v>45936</v>
      </c>
      <c r="C468" s="1" t="n">
        <v>46013</v>
      </c>
      <c r="D468" t="inlineStr">
        <is>
          <t>UPPSALA LÄN</t>
        </is>
      </c>
      <c r="E468" t="inlineStr">
        <is>
          <t>TIERP</t>
        </is>
      </c>
      <c r="G468" t="n">
        <v>7.4</v>
      </c>
      <c r="H468" t="n">
        <v>0</v>
      </c>
      <c r="I468" t="n">
        <v>0</v>
      </c>
      <c r="J468" t="n">
        <v>0</v>
      </c>
      <c r="K468" t="n">
        <v>0</v>
      </c>
      <c r="L468" t="n">
        <v>0</v>
      </c>
      <c r="M468" t="n">
        <v>0</v>
      </c>
      <c r="N468" t="n">
        <v>0</v>
      </c>
      <c r="O468" t="n">
        <v>0</v>
      </c>
      <c r="P468" t="n">
        <v>0</v>
      </c>
      <c r="Q468" t="n">
        <v>0</v>
      </c>
      <c r="R468" s="2" t="inlineStr"/>
    </row>
    <row r="469" ht="15" customHeight="1">
      <c r="A469" t="inlineStr">
        <is>
          <t>A 48598-2025</t>
        </is>
      </c>
      <c r="B469" s="1" t="n">
        <v>45936</v>
      </c>
      <c r="C469" s="1" t="n">
        <v>46013</v>
      </c>
      <c r="D469" t="inlineStr">
        <is>
          <t>UPPSALA LÄN</t>
        </is>
      </c>
      <c r="E469" t="inlineStr">
        <is>
          <t>TIERP</t>
        </is>
      </c>
      <c r="G469" t="n">
        <v>8.1</v>
      </c>
      <c r="H469" t="n">
        <v>0</v>
      </c>
      <c r="I469" t="n">
        <v>0</v>
      </c>
      <c r="J469" t="n">
        <v>0</v>
      </c>
      <c r="K469" t="n">
        <v>0</v>
      </c>
      <c r="L469" t="n">
        <v>0</v>
      </c>
      <c r="M469" t="n">
        <v>0</v>
      </c>
      <c r="N469" t="n">
        <v>0</v>
      </c>
      <c r="O469" t="n">
        <v>0</v>
      </c>
      <c r="P469" t="n">
        <v>0</v>
      </c>
      <c r="Q469" t="n">
        <v>0</v>
      </c>
      <c r="R469" s="2" t="inlineStr"/>
    </row>
    <row r="470" ht="15" customHeight="1">
      <c r="A470" t="inlineStr">
        <is>
          <t>A 48871-2025</t>
        </is>
      </c>
      <c r="B470" s="1" t="n">
        <v>45937.4534375</v>
      </c>
      <c r="C470" s="1" t="n">
        <v>46013</v>
      </c>
      <c r="D470" t="inlineStr">
        <is>
          <t>UPPSALA LÄN</t>
        </is>
      </c>
      <c r="E470" t="inlineStr">
        <is>
          <t>TIERP</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4343-2025</t>
        </is>
      </c>
      <c r="B471" s="1" t="n">
        <v>45685.91146990741</v>
      </c>
      <c r="C471" s="1" t="n">
        <v>46013</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57064-2025</t>
        </is>
      </c>
      <c r="B472" s="1" t="n">
        <v>45979.38488425926</v>
      </c>
      <c r="C472" s="1" t="n">
        <v>46013</v>
      </c>
      <c r="D472" t="inlineStr">
        <is>
          <t>UPPSALA LÄN</t>
        </is>
      </c>
      <c r="E472" t="inlineStr">
        <is>
          <t>TIERP</t>
        </is>
      </c>
      <c r="G472" t="n">
        <v>2.6</v>
      </c>
      <c r="H472" t="n">
        <v>0</v>
      </c>
      <c r="I472" t="n">
        <v>0</v>
      </c>
      <c r="J472" t="n">
        <v>0</v>
      </c>
      <c r="K472" t="n">
        <v>0</v>
      </c>
      <c r="L472" t="n">
        <v>0</v>
      </c>
      <c r="M472" t="n">
        <v>0</v>
      </c>
      <c r="N472" t="n">
        <v>0</v>
      </c>
      <c r="O472" t="n">
        <v>0</v>
      </c>
      <c r="P472" t="n">
        <v>0</v>
      </c>
      <c r="Q472" t="n">
        <v>0</v>
      </c>
      <c r="R472" s="2" t="inlineStr"/>
    </row>
    <row r="473" ht="15" customHeight="1">
      <c r="A473" t="inlineStr">
        <is>
          <t>A 49214-2025</t>
        </is>
      </c>
      <c r="B473" s="1" t="n">
        <v>45938</v>
      </c>
      <c r="C473" s="1" t="n">
        <v>46013</v>
      </c>
      <c r="D473" t="inlineStr">
        <is>
          <t>UPPSALA LÄN</t>
        </is>
      </c>
      <c r="E473" t="inlineStr">
        <is>
          <t>TIERP</t>
        </is>
      </c>
      <c r="F473" t="inlineStr">
        <is>
          <t>Bergvik skog väst AB</t>
        </is>
      </c>
      <c r="G473" t="n">
        <v>15.7</v>
      </c>
      <c r="H473" t="n">
        <v>0</v>
      </c>
      <c r="I473" t="n">
        <v>0</v>
      </c>
      <c r="J473" t="n">
        <v>0</v>
      </c>
      <c r="K473" t="n">
        <v>0</v>
      </c>
      <c r="L473" t="n">
        <v>0</v>
      </c>
      <c r="M473" t="n">
        <v>0</v>
      </c>
      <c r="N473" t="n">
        <v>0</v>
      </c>
      <c r="O473" t="n">
        <v>0</v>
      </c>
      <c r="P473" t="n">
        <v>0</v>
      </c>
      <c r="Q473" t="n">
        <v>0</v>
      </c>
      <c r="R473" s="2" t="inlineStr"/>
    </row>
    <row r="474" ht="15" customHeight="1">
      <c r="A474" t="inlineStr">
        <is>
          <t>A 60123-2024</t>
        </is>
      </c>
      <c r="B474" s="1" t="n">
        <v>45642.58673611111</v>
      </c>
      <c r="C474" s="1" t="n">
        <v>46013</v>
      </c>
      <c r="D474" t="inlineStr">
        <is>
          <t>UPPSALA LÄN</t>
        </is>
      </c>
      <c r="E474" t="inlineStr">
        <is>
          <t>TIERP</t>
        </is>
      </c>
      <c r="G474" t="n">
        <v>2.3</v>
      </c>
      <c r="H474" t="n">
        <v>0</v>
      </c>
      <c r="I474" t="n">
        <v>0</v>
      </c>
      <c r="J474" t="n">
        <v>0</v>
      </c>
      <c r="K474" t="n">
        <v>0</v>
      </c>
      <c r="L474" t="n">
        <v>0</v>
      </c>
      <c r="M474" t="n">
        <v>0</v>
      </c>
      <c r="N474" t="n">
        <v>0</v>
      </c>
      <c r="O474" t="n">
        <v>0</v>
      </c>
      <c r="P474" t="n">
        <v>0</v>
      </c>
      <c r="Q474" t="n">
        <v>0</v>
      </c>
      <c r="R474" s="2" t="inlineStr"/>
    </row>
    <row r="475" ht="15" customHeight="1">
      <c r="A475" t="inlineStr">
        <is>
          <t>A 49270-2025</t>
        </is>
      </c>
      <c r="B475" s="1" t="n">
        <v>45938.50260416666</v>
      </c>
      <c r="C475" s="1" t="n">
        <v>46013</v>
      </c>
      <c r="D475" t="inlineStr">
        <is>
          <t>UPPSALA LÄN</t>
        </is>
      </c>
      <c r="E475" t="inlineStr">
        <is>
          <t>TIERP</t>
        </is>
      </c>
      <c r="F475" t="inlineStr">
        <is>
          <t>Bergvik skog väst AB</t>
        </is>
      </c>
      <c r="G475" t="n">
        <v>6.5</v>
      </c>
      <c r="H475" t="n">
        <v>0</v>
      </c>
      <c r="I475" t="n">
        <v>0</v>
      </c>
      <c r="J475" t="n">
        <v>0</v>
      </c>
      <c r="K475" t="n">
        <v>0</v>
      </c>
      <c r="L475" t="n">
        <v>0</v>
      </c>
      <c r="M475" t="n">
        <v>0</v>
      </c>
      <c r="N475" t="n">
        <v>0</v>
      </c>
      <c r="O475" t="n">
        <v>0</v>
      </c>
      <c r="P475" t="n">
        <v>0</v>
      </c>
      <c r="Q475" t="n">
        <v>0</v>
      </c>
      <c r="R475" s="2" t="inlineStr"/>
    </row>
    <row r="476" ht="15" customHeight="1">
      <c r="A476" t="inlineStr">
        <is>
          <t>A 48808-2025</t>
        </is>
      </c>
      <c r="B476" s="1" t="n">
        <v>45937.35484953703</v>
      </c>
      <c r="C476" s="1" t="n">
        <v>46013</v>
      </c>
      <c r="D476" t="inlineStr">
        <is>
          <t>UPPSALA LÄN</t>
        </is>
      </c>
      <c r="E476" t="inlineStr">
        <is>
          <t>TIERP</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57075-2025</t>
        </is>
      </c>
      <c r="B477" s="1" t="n">
        <v>45979.39712962963</v>
      </c>
      <c r="C477" s="1" t="n">
        <v>46013</v>
      </c>
      <c r="D477" t="inlineStr">
        <is>
          <t>UPPSALA LÄN</t>
        </is>
      </c>
      <c r="E477" t="inlineStr">
        <is>
          <t>TIERP</t>
        </is>
      </c>
      <c r="G477" t="n">
        <v>0.6</v>
      </c>
      <c r="H477" t="n">
        <v>0</v>
      </c>
      <c r="I477" t="n">
        <v>0</v>
      </c>
      <c r="J477" t="n">
        <v>0</v>
      </c>
      <c r="K477" t="n">
        <v>0</v>
      </c>
      <c r="L477" t="n">
        <v>0</v>
      </c>
      <c r="M477" t="n">
        <v>0</v>
      </c>
      <c r="N477" t="n">
        <v>0</v>
      </c>
      <c r="O477" t="n">
        <v>0</v>
      </c>
      <c r="P477" t="n">
        <v>0</v>
      </c>
      <c r="Q477" t="n">
        <v>0</v>
      </c>
      <c r="R477" s="2" t="inlineStr"/>
    </row>
    <row r="478" ht="15" customHeight="1">
      <c r="A478" t="inlineStr">
        <is>
          <t>A 57422-2025</t>
        </is>
      </c>
      <c r="B478" s="1" t="n">
        <v>45980.45951388889</v>
      </c>
      <c r="C478" s="1" t="n">
        <v>46013</v>
      </c>
      <c r="D478" t="inlineStr">
        <is>
          <t>UPPSALA LÄN</t>
        </is>
      </c>
      <c r="E478" t="inlineStr">
        <is>
          <t>TIERP</t>
        </is>
      </c>
      <c r="G478" t="n">
        <v>1.1</v>
      </c>
      <c r="H478" t="n">
        <v>0</v>
      </c>
      <c r="I478" t="n">
        <v>0</v>
      </c>
      <c r="J478" t="n">
        <v>0</v>
      </c>
      <c r="K478" t="n">
        <v>0</v>
      </c>
      <c r="L478" t="n">
        <v>0</v>
      </c>
      <c r="M478" t="n">
        <v>0</v>
      </c>
      <c r="N478" t="n">
        <v>0</v>
      </c>
      <c r="O478" t="n">
        <v>0</v>
      </c>
      <c r="P478" t="n">
        <v>0</v>
      </c>
      <c r="Q478" t="n">
        <v>0</v>
      </c>
      <c r="R478" s="2" t="inlineStr"/>
    </row>
    <row r="479" ht="15" customHeight="1">
      <c r="A479" t="inlineStr">
        <is>
          <t>A 57811-2025</t>
        </is>
      </c>
      <c r="B479" s="1" t="n">
        <v>45981.5921875</v>
      </c>
      <c r="C479" s="1" t="n">
        <v>46013</v>
      </c>
      <c r="D479" t="inlineStr">
        <is>
          <t>UPPSALA LÄN</t>
        </is>
      </c>
      <c r="E479" t="inlineStr">
        <is>
          <t>TIERP</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57657-2025</t>
        </is>
      </c>
      <c r="B480" s="1" t="n">
        <v>45981.40962962963</v>
      </c>
      <c r="C480" s="1" t="n">
        <v>46013</v>
      </c>
      <c r="D480" t="inlineStr">
        <is>
          <t>UPPSALA LÄN</t>
        </is>
      </c>
      <c r="E480" t="inlineStr">
        <is>
          <t>TIERP</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49777-2025</t>
        </is>
      </c>
      <c r="B481" s="1" t="n">
        <v>45940.38178240741</v>
      </c>
      <c r="C481" s="1" t="n">
        <v>46013</v>
      </c>
      <c r="D481" t="inlineStr">
        <is>
          <t>UPPSALA LÄN</t>
        </is>
      </c>
      <c r="E481" t="inlineStr">
        <is>
          <t>TIERP</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57945-2025</t>
        </is>
      </c>
      <c r="B482" s="1" t="n">
        <v>45982.32641203704</v>
      </c>
      <c r="C482" s="1" t="n">
        <v>46013</v>
      </c>
      <c r="D482" t="inlineStr">
        <is>
          <t>UPPSALA LÄN</t>
        </is>
      </c>
      <c r="E482" t="inlineStr">
        <is>
          <t>TIERP</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21876-2025</t>
        </is>
      </c>
      <c r="B483" s="1" t="n">
        <v>45784.39814814815</v>
      </c>
      <c r="C483" s="1" t="n">
        <v>46013</v>
      </c>
      <c r="D483" t="inlineStr">
        <is>
          <t>UPPSALA LÄN</t>
        </is>
      </c>
      <c r="E483" t="inlineStr">
        <is>
          <t>TIERP</t>
        </is>
      </c>
      <c r="F483" t="inlineStr">
        <is>
          <t>Bergvik skog öst AB</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62006-2024</t>
        </is>
      </c>
      <c r="B484" s="1" t="n">
        <v>45655</v>
      </c>
      <c r="C484" s="1" t="n">
        <v>46013</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57966-2025</t>
        </is>
      </c>
      <c r="B485" s="1" t="n">
        <v>45982.38324074074</v>
      </c>
      <c r="C485" s="1" t="n">
        <v>46013</v>
      </c>
      <c r="D485" t="inlineStr">
        <is>
          <t>UPPSALA LÄN</t>
        </is>
      </c>
      <c r="E485" t="inlineStr">
        <is>
          <t>TIERP</t>
        </is>
      </c>
      <c r="G485" t="n">
        <v>1.8</v>
      </c>
      <c r="H485" t="n">
        <v>0</v>
      </c>
      <c r="I485" t="n">
        <v>0</v>
      </c>
      <c r="J485" t="n">
        <v>0</v>
      </c>
      <c r="K485" t="n">
        <v>0</v>
      </c>
      <c r="L485" t="n">
        <v>0</v>
      </c>
      <c r="M485" t="n">
        <v>0</v>
      </c>
      <c r="N485" t="n">
        <v>0</v>
      </c>
      <c r="O485" t="n">
        <v>0</v>
      </c>
      <c r="P485" t="n">
        <v>0</v>
      </c>
      <c r="Q485" t="n">
        <v>0</v>
      </c>
      <c r="R485" s="2" t="inlineStr"/>
    </row>
    <row r="486" ht="15" customHeight="1">
      <c r="A486" t="inlineStr">
        <is>
          <t>A 58134-2025</t>
        </is>
      </c>
      <c r="B486" s="1" t="n">
        <v>45982.61978009259</v>
      </c>
      <c r="C486" s="1" t="n">
        <v>46013</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57692-2025</t>
        </is>
      </c>
      <c r="B487" s="1" t="n">
        <v>45981.4483912037</v>
      </c>
      <c r="C487" s="1" t="n">
        <v>46013</v>
      </c>
      <c r="D487" t="inlineStr">
        <is>
          <t>UPPSALA LÄN</t>
        </is>
      </c>
      <c r="E487" t="inlineStr">
        <is>
          <t>TIERP</t>
        </is>
      </c>
      <c r="G487" t="n">
        <v>2.5</v>
      </c>
      <c r="H487" t="n">
        <v>0</v>
      </c>
      <c r="I487" t="n">
        <v>0</v>
      </c>
      <c r="J487" t="n">
        <v>0</v>
      </c>
      <c r="K487" t="n">
        <v>0</v>
      </c>
      <c r="L487" t="n">
        <v>0</v>
      </c>
      <c r="M487" t="n">
        <v>0</v>
      </c>
      <c r="N487" t="n">
        <v>0</v>
      </c>
      <c r="O487" t="n">
        <v>0</v>
      </c>
      <c r="P487" t="n">
        <v>0</v>
      </c>
      <c r="Q487" t="n">
        <v>0</v>
      </c>
      <c r="R487" s="2" t="inlineStr"/>
    </row>
    <row r="488" ht="15" customHeight="1">
      <c r="A488" t="inlineStr">
        <is>
          <t>A 37884-2025</t>
        </is>
      </c>
      <c r="B488" s="1" t="n">
        <v>45881.5046412037</v>
      </c>
      <c r="C488" s="1" t="n">
        <v>46013</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57878-2025</t>
        </is>
      </c>
      <c r="B489" s="1" t="n">
        <v>45981.65857638889</v>
      </c>
      <c r="C489" s="1" t="n">
        <v>46013</v>
      </c>
      <c r="D489" t="inlineStr">
        <is>
          <t>UPPSALA LÄN</t>
        </is>
      </c>
      <c r="E489" t="inlineStr">
        <is>
          <t>TIERP</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49305-2025</t>
        </is>
      </c>
      <c r="B490" s="1" t="n">
        <v>45938.55978009259</v>
      </c>
      <c r="C490" s="1" t="n">
        <v>46013</v>
      </c>
      <c r="D490" t="inlineStr">
        <is>
          <t>UPPSALA LÄN</t>
        </is>
      </c>
      <c r="E490" t="inlineStr">
        <is>
          <t>TIERP</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44505-2023</t>
        </is>
      </c>
      <c r="B491" s="1" t="n">
        <v>45184</v>
      </c>
      <c r="C491" s="1" t="n">
        <v>46013</v>
      </c>
      <c r="D491" t="inlineStr">
        <is>
          <t>UPPSALA LÄN</t>
        </is>
      </c>
      <c r="E491" t="inlineStr">
        <is>
          <t>TIERP</t>
        </is>
      </c>
      <c r="G491" t="n">
        <v>1.9</v>
      </c>
      <c r="H491" t="n">
        <v>0</v>
      </c>
      <c r="I491" t="n">
        <v>0</v>
      </c>
      <c r="J491" t="n">
        <v>0</v>
      </c>
      <c r="K491" t="n">
        <v>0</v>
      </c>
      <c r="L491" t="n">
        <v>0</v>
      </c>
      <c r="M491" t="n">
        <v>0</v>
      </c>
      <c r="N491" t="n">
        <v>0</v>
      </c>
      <c r="O491" t="n">
        <v>0</v>
      </c>
      <c r="P491" t="n">
        <v>0</v>
      </c>
      <c r="Q491" t="n">
        <v>0</v>
      </c>
      <c r="R491" s="2" t="inlineStr"/>
    </row>
    <row r="492" ht="15" customHeight="1">
      <c r="A492" t="inlineStr">
        <is>
          <t>A 49524-2025</t>
        </is>
      </c>
      <c r="B492" s="1" t="n">
        <v>45939.39984953704</v>
      </c>
      <c r="C492" s="1" t="n">
        <v>46013</v>
      </c>
      <c r="D492" t="inlineStr">
        <is>
          <t>UPPSALA LÄN</t>
        </is>
      </c>
      <c r="E492" t="inlineStr">
        <is>
          <t>TIERP</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49538-2025</t>
        </is>
      </c>
      <c r="B493" s="1" t="n">
        <v>45939.42364583333</v>
      </c>
      <c r="C493" s="1" t="n">
        <v>46013</v>
      </c>
      <c r="D493" t="inlineStr">
        <is>
          <t>UPPSALA LÄN</t>
        </is>
      </c>
      <c r="E493" t="inlineStr">
        <is>
          <t>TIERP</t>
        </is>
      </c>
      <c r="F493" t="inlineStr">
        <is>
          <t>Bergvik skog väst AB</t>
        </is>
      </c>
      <c r="G493" t="n">
        <v>20.3</v>
      </c>
      <c r="H493" t="n">
        <v>0</v>
      </c>
      <c r="I493" t="n">
        <v>0</v>
      </c>
      <c r="J493" t="n">
        <v>0</v>
      </c>
      <c r="K493" t="n">
        <v>0</v>
      </c>
      <c r="L493" t="n">
        <v>0</v>
      </c>
      <c r="M493" t="n">
        <v>0</v>
      </c>
      <c r="N493" t="n">
        <v>0</v>
      </c>
      <c r="O493" t="n">
        <v>0</v>
      </c>
      <c r="P493" t="n">
        <v>0</v>
      </c>
      <c r="Q493" t="n">
        <v>0</v>
      </c>
      <c r="R493" s="2" t="inlineStr"/>
    </row>
    <row r="494" ht="15" customHeight="1">
      <c r="A494" t="inlineStr">
        <is>
          <t>A 49558-2025</t>
        </is>
      </c>
      <c r="B494" s="1" t="n">
        <v>45939.45197916667</v>
      </c>
      <c r="C494" s="1" t="n">
        <v>46013</v>
      </c>
      <c r="D494" t="inlineStr">
        <is>
          <t>UPPSALA LÄN</t>
        </is>
      </c>
      <c r="E494" t="inlineStr">
        <is>
          <t>TIERP</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57699-2025</t>
        </is>
      </c>
      <c r="B495" s="1" t="n">
        <v>45981.45741898148</v>
      </c>
      <c r="C495" s="1" t="n">
        <v>46013</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50335-2025</t>
        </is>
      </c>
      <c r="B496" s="1" t="n">
        <v>45944.47350694444</v>
      </c>
      <c r="C496" s="1" t="n">
        <v>46013</v>
      </c>
      <c r="D496" t="inlineStr">
        <is>
          <t>UPPSALA LÄN</t>
        </is>
      </c>
      <c r="E496" t="inlineStr">
        <is>
          <t>TIERP</t>
        </is>
      </c>
      <c r="G496" t="n">
        <v>3.2</v>
      </c>
      <c r="H496" t="n">
        <v>0</v>
      </c>
      <c r="I496" t="n">
        <v>0</v>
      </c>
      <c r="J496" t="n">
        <v>0</v>
      </c>
      <c r="K496" t="n">
        <v>0</v>
      </c>
      <c r="L496" t="n">
        <v>0</v>
      </c>
      <c r="M496" t="n">
        <v>0</v>
      </c>
      <c r="N496" t="n">
        <v>0</v>
      </c>
      <c r="O496" t="n">
        <v>0</v>
      </c>
      <c r="P496" t="n">
        <v>0</v>
      </c>
      <c r="Q496" t="n">
        <v>0</v>
      </c>
      <c r="R496" s="2" t="inlineStr"/>
    </row>
    <row r="497" ht="15" customHeight="1">
      <c r="A497" t="inlineStr">
        <is>
          <t>A 50110-2025</t>
        </is>
      </c>
      <c r="B497" s="1" t="n">
        <v>45943.54231481482</v>
      </c>
      <c r="C497" s="1" t="n">
        <v>46013</v>
      </c>
      <c r="D497" t="inlineStr">
        <is>
          <t>UPPSALA LÄN</t>
        </is>
      </c>
      <c r="E497" t="inlineStr">
        <is>
          <t>TIERP</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11572-2025</t>
        </is>
      </c>
      <c r="B498" s="1" t="n">
        <v>45727.38053240741</v>
      </c>
      <c r="C498" s="1" t="n">
        <v>46013</v>
      </c>
      <c r="D498" t="inlineStr">
        <is>
          <t>UPPSALA LÄN</t>
        </is>
      </c>
      <c r="E498" t="inlineStr">
        <is>
          <t>TIERP</t>
        </is>
      </c>
      <c r="F498" t="inlineStr">
        <is>
          <t>Bergvik skog öst AB</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437-2023</t>
        </is>
      </c>
      <c r="B499" s="1" t="n">
        <v>44924</v>
      </c>
      <c r="C499" s="1" t="n">
        <v>46013</v>
      </c>
      <c r="D499" t="inlineStr">
        <is>
          <t>UPPSALA LÄN</t>
        </is>
      </c>
      <c r="E499" t="inlineStr">
        <is>
          <t>TIERP</t>
        </is>
      </c>
      <c r="G499" t="n">
        <v>3.3</v>
      </c>
      <c r="H499" t="n">
        <v>0</v>
      </c>
      <c r="I499" t="n">
        <v>0</v>
      </c>
      <c r="J499" t="n">
        <v>0</v>
      </c>
      <c r="K499" t="n">
        <v>0</v>
      </c>
      <c r="L499" t="n">
        <v>0</v>
      </c>
      <c r="M499" t="n">
        <v>0</v>
      </c>
      <c r="N499" t="n">
        <v>0</v>
      </c>
      <c r="O499" t="n">
        <v>0</v>
      </c>
      <c r="P499" t="n">
        <v>0</v>
      </c>
      <c r="Q499" t="n">
        <v>0</v>
      </c>
      <c r="R499" s="2" t="inlineStr"/>
    </row>
    <row r="500" ht="15" customHeight="1">
      <c r="A500" t="inlineStr">
        <is>
          <t>A 58661-2025</t>
        </is>
      </c>
      <c r="B500" s="1" t="n">
        <v>45986.53128472222</v>
      </c>
      <c r="C500" s="1" t="n">
        <v>46013</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50117-2025</t>
        </is>
      </c>
      <c r="B501" s="1" t="n">
        <v>45943.54678240741</v>
      </c>
      <c r="C501" s="1" t="n">
        <v>46013</v>
      </c>
      <c r="D501" t="inlineStr">
        <is>
          <t>UPPSALA LÄN</t>
        </is>
      </c>
      <c r="E501" t="inlineStr">
        <is>
          <t>TIERP</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58969-2025</t>
        </is>
      </c>
      <c r="B502" s="1" t="n">
        <v>45987.60527777778</v>
      </c>
      <c r="C502" s="1" t="n">
        <v>46013</v>
      </c>
      <c r="D502" t="inlineStr">
        <is>
          <t>UPPSALA LÄN</t>
        </is>
      </c>
      <c r="E502" t="inlineStr">
        <is>
          <t>TIERP</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50879-2025</t>
        </is>
      </c>
      <c r="B503" s="1" t="n">
        <v>45946.62524305555</v>
      </c>
      <c r="C503" s="1" t="n">
        <v>46013</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4083-2022</t>
        </is>
      </c>
      <c r="B504" s="1" t="n">
        <v>44588</v>
      </c>
      <c r="C504" s="1" t="n">
        <v>46013</v>
      </c>
      <c r="D504" t="inlineStr">
        <is>
          <t>UPPSALA LÄN</t>
        </is>
      </c>
      <c r="E504" t="inlineStr">
        <is>
          <t>TIERP</t>
        </is>
      </c>
      <c r="G504" t="n">
        <v>26.1</v>
      </c>
      <c r="H504" t="n">
        <v>0</v>
      </c>
      <c r="I504" t="n">
        <v>0</v>
      </c>
      <c r="J504" t="n">
        <v>0</v>
      </c>
      <c r="K504" t="n">
        <v>0</v>
      </c>
      <c r="L504" t="n">
        <v>0</v>
      </c>
      <c r="M504" t="n">
        <v>0</v>
      </c>
      <c r="N504" t="n">
        <v>0</v>
      </c>
      <c r="O504" t="n">
        <v>0</v>
      </c>
      <c r="P504" t="n">
        <v>0</v>
      </c>
      <c r="Q504" t="n">
        <v>0</v>
      </c>
      <c r="R504" s="2" t="inlineStr"/>
    </row>
    <row r="505" ht="15" customHeight="1">
      <c r="A505" t="inlineStr">
        <is>
          <t>A 50730-2025</t>
        </is>
      </c>
      <c r="B505" s="1" t="n">
        <v>45946.36325231481</v>
      </c>
      <c r="C505" s="1" t="n">
        <v>46013</v>
      </c>
      <c r="D505" t="inlineStr">
        <is>
          <t>UPPSALA LÄN</t>
        </is>
      </c>
      <c r="E505" t="inlineStr">
        <is>
          <t>TIERP</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59174-2025</t>
        </is>
      </c>
      <c r="B506" s="1" t="n">
        <v>45988.56907407408</v>
      </c>
      <c r="C506" s="1" t="n">
        <v>46013</v>
      </c>
      <c r="D506" t="inlineStr">
        <is>
          <t>UPPSALA LÄN</t>
        </is>
      </c>
      <c r="E506" t="inlineStr">
        <is>
          <t>TIERP</t>
        </is>
      </c>
      <c r="G506" t="n">
        <v>1.4</v>
      </c>
      <c r="H506" t="n">
        <v>0</v>
      </c>
      <c r="I506" t="n">
        <v>0</v>
      </c>
      <c r="J506" t="n">
        <v>0</v>
      </c>
      <c r="K506" t="n">
        <v>0</v>
      </c>
      <c r="L506" t="n">
        <v>0</v>
      </c>
      <c r="M506" t="n">
        <v>0</v>
      </c>
      <c r="N506" t="n">
        <v>0</v>
      </c>
      <c r="O506" t="n">
        <v>0</v>
      </c>
      <c r="P506" t="n">
        <v>0</v>
      </c>
      <c r="Q506" t="n">
        <v>0</v>
      </c>
      <c r="R506" s="2" t="inlineStr"/>
    </row>
    <row r="507" ht="15" customHeight="1">
      <c r="A507" t="inlineStr">
        <is>
          <t>A 58966-2025</t>
        </is>
      </c>
      <c r="B507" s="1" t="n">
        <v>45987.60256944445</v>
      </c>
      <c r="C507" s="1" t="n">
        <v>46013</v>
      </c>
      <c r="D507" t="inlineStr">
        <is>
          <t>UPPSALA LÄN</t>
        </is>
      </c>
      <c r="E507" t="inlineStr">
        <is>
          <t>TIERP</t>
        </is>
      </c>
      <c r="F507" t="inlineStr">
        <is>
          <t>Bergvik skog öst AB</t>
        </is>
      </c>
      <c r="G507" t="n">
        <v>5</v>
      </c>
      <c r="H507" t="n">
        <v>0</v>
      </c>
      <c r="I507" t="n">
        <v>0</v>
      </c>
      <c r="J507" t="n">
        <v>0</v>
      </c>
      <c r="K507" t="n">
        <v>0</v>
      </c>
      <c r="L507" t="n">
        <v>0</v>
      </c>
      <c r="M507" t="n">
        <v>0</v>
      </c>
      <c r="N507" t="n">
        <v>0</v>
      </c>
      <c r="O507" t="n">
        <v>0</v>
      </c>
      <c r="P507" t="n">
        <v>0</v>
      </c>
      <c r="Q507" t="n">
        <v>0</v>
      </c>
      <c r="R507" s="2" t="inlineStr"/>
    </row>
    <row r="508" ht="15" customHeight="1">
      <c r="A508" t="inlineStr">
        <is>
          <t>A 50820-2025</t>
        </is>
      </c>
      <c r="B508" s="1" t="n">
        <v>45946.53392361111</v>
      </c>
      <c r="C508" s="1" t="n">
        <v>46013</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50832-2025</t>
        </is>
      </c>
      <c r="B509" s="1" t="n">
        <v>45946.55498842592</v>
      </c>
      <c r="C509" s="1" t="n">
        <v>46013</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9238-2023</t>
        </is>
      </c>
      <c r="B510" s="1" t="n">
        <v>44980</v>
      </c>
      <c r="C510" s="1" t="n">
        <v>46013</v>
      </c>
      <c r="D510" t="inlineStr">
        <is>
          <t>UPPSALA LÄN</t>
        </is>
      </c>
      <c r="E510" t="inlineStr">
        <is>
          <t>TIERP</t>
        </is>
      </c>
      <c r="G510" t="n">
        <v>4.8</v>
      </c>
      <c r="H510" t="n">
        <v>0</v>
      </c>
      <c r="I510" t="n">
        <v>0</v>
      </c>
      <c r="J510" t="n">
        <v>0</v>
      </c>
      <c r="K510" t="n">
        <v>0</v>
      </c>
      <c r="L510" t="n">
        <v>0</v>
      </c>
      <c r="M510" t="n">
        <v>0</v>
      </c>
      <c r="N510" t="n">
        <v>0</v>
      </c>
      <c r="O510" t="n">
        <v>0</v>
      </c>
      <c r="P510" t="n">
        <v>0</v>
      </c>
      <c r="Q510" t="n">
        <v>0</v>
      </c>
      <c r="R510" s="2" t="inlineStr"/>
    </row>
    <row r="511" ht="15" customHeight="1">
      <c r="A511" t="inlineStr">
        <is>
          <t>A 58946-2025</t>
        </is>
      </c>
      <c r="B511" s="1" t="n">
        <v>45987.58097222223</v>
      </c>
      <c r="C511" s="1" t="n">
        <v>46013</v>
      </c>
      <c r="D511" t="inlineStr">
        <is>
          <t>UPPSALA LÄN</t>
        </is>
      </c>
      <c r="E511" t="inlineStr">
        <is>
          <t>TIERP</t>
        </is>
      </c>
      <c r="G511" t="n">
        <v>5.5</v>
      </c>
      <c r="H511" t="n">
        <v>0</v>
      </c>
      <c r="I511" t="n">
        <v>0</v>
      </c>
      <c r="J511" t="n">
        <v>0</v>
      </c>
      <c r="K511" t="n">
        <v>0</v>
      </c>
      <c r="L511" t="n">
        <v>0</v>
      </c>
      <c r="M511" t="n">
        <v>0</v>
      </c>
      <c r="N511" t="n">
        <v>0</v>
      </c>
      <c r="O511" t="n">
        <v>0</v>
      </c>
      <c r="P511" t="n">
        <v>0</v>
      </c>
      <c r="Q511" t="n">
        <v>0</v>
      </c>
      <c r="R511" s="2" t="inlineStr"/>
    </row>
    <row r="512" ht="15" customHeight="1">
      <c r="A512" t="inlineStr">
        <is>
          <t>A 59185-2025</t>
        </is>
      </c>
      <c r="B512" s="1" t="n">
        <v>45988.57533564815</v>
      </c>
      <c r="C512" s="1" t="n">
        <v>46013</v>
      </c>
      <c r="D512" t="inlineStr">
        <is>
          <t>UPPSALA LÄN</t>
        </is>
      </c>
      <c r="E512" t="inlineStr">
        <is>
          <t>TIERP</t>
        </is>
      </c>
      <c r="G512" t="n">
        <v>1.5</v>
      </c>
      <c r="H512" t="n">
        <v>0</v>
      </c>
      <c r="I512" t="n">
        <v>0</v>
      </c>
      <c r="J512" t="n">
        <v>0</v>
      </c>
      <c r="K512" t="n">
        <v>0</v>
      </c>
      <c r="L512" t="n">
        <v>0</v>
      </c>
      <c r="M512" t="n">
        <v>0</v>
      </c>
      <c r="N512" t="n">
        <v>0</v>
      </c>
      <c r="O512" t="n">
        <v>0</v>
      </c>
      <c r="P512" t="n">
        <v>0</v>
      </c>
      <c r="Q512" t="n">
        <v>0</v>
      </c>
      <c r="R512" s="2" t="inlineStr"/>
    </row>
    <row r="513" ht="15" customHeight="1">
      <c r="A513" t="inlineStr">
        <is>
          <t>A 29089-2021</t>
        </is>
      </c>
      <c r="B513" s="1" t="n">
        <v>44358.56138888889</v>
      </c>
      <c r="C513" s="1" t="n">
        <v>46013</v>
      </c>
      <c r="D513" t="inlineStr">
        <is>
          <t>UPPSALA LÄN</t>
        </is>
      </c>
      <c r="E513" t="inlineStr">
        <is>
          <t>TIERP</t>
        </is>
      </c>
      <c r="G513" t="n">
        <v>2.5</v>
      </c>
      <c r="H513" t="n">
        <v>0</v>
      </c>
      <c r="I513" t="n">
        <v>0</v>
      </c>
      <c r="J513" t="n">
        <v>0</v>
      </c>
      <c r="K513" t="n">
        <v>0</v>
      </c>
      <c r="L513" t="n">
        <v>0</v>
      </c>
      <c r="M513" t="n">
        <v>0</v>
      </c>
      <c r="N513" t="n">
        <v>0</v>
      </c>
      <c r="O513" t="n">
        <v>0</v>
      </c>
      <c r="P513" t="n">
        <v>0</v>
      </c>
      <c r="Q513" t="n">
        <v>0</v>
      </c>
      <c r="R513" s="2" t="inlineStr"/>
    </row>
    <row r="514" ht="15" customHeight="1">
      <c r="A514" t="inlineStr">
        <is>
          <t>A 58842-2025</t>
        </is>
      </c>
      <c r="B514" s="1" t="n">
        <v>45987.36651620371</v>
      </c>
      <c r="C514" s="1" t="n">
        <v>46013</v>
      </c>
      <c r="D514" t="inlineStr">
        <is>
          <t>UPPSALA LÄN</t>
        </is>
      </c>
      <c r="E514" t="inlineStr">
        <is>
          <t>TIERP</t>
        </is>
      </c>
      <c r="G514" t="n">
        <v>5.6</v>
      </c>
      <c r="H514" t="n">
        <v>0</v>
      </c>
      <c r="I514" t="n">
        <v>0</v>
      </c>
      <c r="J514" t="n">
        <v>0</v>
      </c>
      <c r="K514" t="n">
        <v>0</v>
      </c>
      <c r="L514" t="n">
        <v>0</v>
      </c>
      <c r="M514" t="n">
        <v>0</v>
      </c>
      <c r="N514" t="n">
        <v>0</v>
      </c>
      <c r="O514" t="n">
        <v>0</v>
      </c>
      <c r="P514" t="n">
        <v>0</v>
      </c>
      <c r="Q514" t="n">
        <v>0</v>
      </c>
      <c r="R514" s="2" t="inlineStr"/>
    </row>
    <row r="515" ht="15" customHeight="1">
      <c r="A515" t="inlineStr">
        <is>
          <t>A 50713-2025</t>
        </is>
      </c>
      <c r="B515" s="1" t="n">
        <v>45946.34517361111</v>
      </c>
      <c r="C515" s="1" t="n">
        <v>46013</v>
      </c>
      <c r="D515" t="inlineStr">
        <is>
          <t>UPPSALA LÄN</t>
        </is>
      </c>
      <c r="E515" t="inlineStr">
        <is>
          <t>TIERP</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59589-2022</t>
        </is>
      </c>
      <c r="B516" s="1" t="n">
        <v>44907</v>
      </c>
      <c r="C516" s="1" t="n">
        <v>46013</v>
      </c>
      <c r="D516" t="inlineStr">
        <is>
          <t>UPPSALA LÄN</t>
        </is>
      </c>
      <c r="E516" t="inlineStr">
        <is>
          <t>TIERP</t>
        </is>
      </c>
      <c r="G516" t="n">
        <v>0.6</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46013</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51060-2025</t>
        </is>
      </c>
      <c r="B518" s="1" t="n">
        <v>45947.44677083333</v>
      </c>
      <c r="C518" s="1" t="n">
        <v>46013</v>
      </c>
      <c r="D518" t="inlineStr">
        <is>
          <t>UPPSALA LÄN</t>
        </is>
      </c>
      <c r="E518" t="inlineStr">
        <is>
          <t>TIERP</t>
        </is>
      </c>
      <c r="F518" t="inlineStr">
        <is>
          <t>Bergvik skog öst AB</t>
        </is>
      </c>
      <c r="G518" t="n">
        <v>2.3</v>
      </c>
      <c r="H518" t="n">
        <v>0</v>
      </c>
      <c r="I518" t="n">
        <v>0</v>
      </c>
      <c r="J518" t="n">
        <v>0</v>
      </c>
      <c r="K518" t="n">
        <v>0</v>
      </c>
      <c r="L518" t="n">
        <v>0</v>
      </c>
      <c r="M518" t="n">
        <v>0</v>
      </c>
      <c r="N518" t="n">
        <v>0</v>
      </c>
      <c r="O518" t="n">
        <v>0</v>
      </c>
      <c r="P518" t="n">
        <v>0</v>
      </c>
      <c r="Q518" t="n">
        <v>0</v>
      </c>
      <c r="R518" s="2" t="inlineStr"/>
    </row>
    <row r="519" ht="15" customHeight="1">
      <c r="A519" t="inlineStr">
        <is>
          <t>A 51066-2025</t>
        </is>
      </c>
      <c r="B519" s="1" t="n">
        <v>45947.45293981482</v>
      </c>
      <c r="C519" s="1" t="n">
        <v>46013</v>
      </c>
      <c r="D519" t="inlineStr">
        <is>
          <t>UPPSALA LÄN</t>
        </is>
      </c>
      <c r="E519" t="inlineStr">
        <is>
          <t>TIERP</t>
        </is>
      </c>
      <c r="G519" t="n">
        <v>1.5</v>
      </c>
      <c r="H519" t="n">
        <v>0</v>
      </c>
      <c r="I519" t="n">
        <v>0</v>
      </c>
      <c r="J519" t="n">
        <v>0</v>
      </c>
      <c r="K519" t="n">
        <v>0</v>
      </c>
      <c r="L519" t="n">
        <v>0</v>
      </c>
      <c r="M519" t="n">
        <v>0</v>
      </c>
      <c r="N519" t="n">
        <v>0</v>
      </c>
      <c r="O519" t="n">
        <v>0</v>
      </c>
      <c r="P519" t="n">
        <v>0</v>
      </c>
      <c r="Q519" t="n">
        <v>0</v>
      </c>
      <c r="R519" s="2" t="inlineStr"/>
    </row>
    <row r="520" ht="15" customHeight="1">
      <c r="A520" t="inlineStr">
        <is>
          <t>A 18423-2025</t>
        </is>
      </c>
      <c r="B520" s="1" t="n">
        <v>45762.62068287037</v>
      </c>
      <c r="C520" s="1" t="n">
        <v>46013</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59398-2025</t>
        </is>
      </c>
      <c r="B521" s="1" t="n">
        <v>45989.47987268519</v>
      </c>
      <c r="C521" s="1" t="n">
        <v>46013</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59578-2025</t>
        </is>
      </c>
      <c r="B522" s="1" t="n">
        <v>45992.30194444444</v>
      </c>
      <c r="C522" s="1" t="n">
        <v>46013</v>
      </c>
      <c r="D522" t="inlineStr">
        <is>
          <t>UPPSALA LÄN</t>
        </is>
      </c>
      <c r="E522" t="inlineStr">
        <is>
          <t>TIERP</t>
        </is>
      </c>
      <c r="F522" t="inlineStr">
        <is>
          <t>Bergvik skog öst AB</t>
        </is>
      </c>
      <c r="G522" t="n">
        <v>14.4</v>
      </c>
      <c r="H522" t="n">
        <v>0</v>
      </c>
      <c r="I522" t="n">
        <v>0</v>
      </c>
      <c r="J522" t="n">
        <v>0</v>
      </c>
      <c r="K522" t="n">
        <v>0</v>
      </c>
      <c r="L522" t="n">
        <v>0</v>
      </c>
      <c r="M522" t="n">
        <v>0</v>
      </c>
      <c r="N522" t="n">
        <v>0</v>
      </c>
      <c r="O522" t="n">
        <v>0</v>
      </c>
      <c r="P522" t="n">
        <v>0</v>
      </c>
      <c r="Q522" t="n">
        <v>0</v>
      </c>
      <c r="R522" s="2" t="inlineStr"/>
    </row>
    <row r="523" ht="15" customHeight="1">
      <c r="A523" t="inlineStr">
        <is>
          <t>A 51094-2025</t>
        </is>
      </c>
      <c r="B523" s="1" t="n">
        <v>45947.47751157408</v>
      </c>
      <c r="C523" s="1" t="n">
        <v>46013</v>
      </c>
      <c r="D523" t="inlineStr">
        <is>
          <t>UPPSALA LÄN</t>
        </is>
      </c>
      <c r="E523" t="inlineStr">
        <is>
          <t>TIERP</t>
        </is>
      </c>
      <c r="F523" t="inlineStr">
        <is>
          <t>Bergvik skog öst AB</t>
        </is>
      </c>
      <c r="G523" t="n">
        <v>5.2</v>
      </c>
      <c r="H523" t="n">
        <v>0</v>
      </c>
      <c r="I523" t="n">
        <v>0</v>
      </c>
      <c r="J523" t="n">
        <v>0</v>
      </c>
      <c r="K523" t="n">
        <v>0</v>
      </c>
      <c r="L523" t="n">
        <v>0</v>
      </c>
      <c r="M523" t="n">
        <v>0</v>
      </c>
      <c r="N523" t="n">
        <v>0</v>
      </c>
      <c r="O523" t="n">
        <v>0</v>
      </c>
      <c r="P523" t="n">
        <v>0</v>
      </c>
      <c r="Q523" t="n">
        <v>0</v>
      </c>
      <c r="R523" s="2" t="inlineStr"/>
    </row>
    <row r="524" ht="15" customHeight="1">
      <c r="A524" t="inlineStr">
        <is>
          <t>A 51331-2025</t>
        </is>
      </c>
      <c r="B524" s="1" t="n">
        <v>45950.41685185185</v>
      </c>
      <c r="C524" s="1" t="n">
        <v>46013</v>
      </c>
      <c r="D524" t="inlineStr">
        <is>
          <t>UPPSALA LÄN</t>
        </is>
      </c>
      <c r="E524" t="inlineStr">
        <is>
          <t>TIERP</t>
        </is>
      </c>
      <c r="G524" t="n">
        <v>8.9</v>
      </c>
      <c r="H524" t="n">
        <v>0</v>
      </c>
      <c r="I524" t="n">
        <v>0</v>
      </c>
      <c r="J524" t="n">
        <v>0</v>
      </c>
      <c r="K524" t="n">
        <v>0</v>
      </c>
      <c r="L524" t="n">
        <v>0</v>
      </c>
      <c r="M524" t="n">
        <v>0</v>
      </c>
      <c r="N524" t="n">
        <v>0</v>
      </c>
      <c r="O524" t="n">
        <v>0</v>
      </c>
      <c r="P524" t="n">
        <v>0</v>
      </c>
      <c r="Q524" t="n">
        <v>0</v>
      </c>
      <c r="R524" s="2" t="inlineStr"/>
    </row>
    <row r="525" ht="15" customHeight="1">
      <c r="A525" t="inlineStr">
        <is>
          <t>A 34648-2021</t>
        </is>
      </c>
      <c r="B525" s="1" t="n">
        <v>44382</v>
      </c>
      <c r="C525" s="1" t="n">
        <v>46013</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40864-2023</t>
        </is>
      </c>
      <c r="B526" s="1" t="n">
        <v>45173.3516087963</v>
      </c>
      <c r="C526" s="1" t="n">
        <v>46013</v>
      </c>
      <c r="D526" t="inlineStr">
        <is>
          <t>UPPSALA LÄN</t>
        </is>
      </c>
      <c r="E526" t="inlineStr">
        <is>
          <t>TIERP</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51125-2025</t>
        </is>
      </c>
      <c r="B527" s="1" t="n">
        <v>45947.5503587963</v>
      </c>
      <c r="C527" s="1" t="n">
        <v>46013</v>
      </c>
      <c r="D527" t="inlineStr">
        <is>
          <t>UPPSALA LÄN</t>
        </is>
      </c>
      <c r="E527" t="inlineStr">
        <is>
          <t>TIERP</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25363-2022</t>
        </is>
      </c>
      <c r="B528" s="1" t="n">
        <v>44732.35172453704</v>
      </c>
      <c r="C528" s="1" t="n">
        <v>46013</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51139-2025</t>
        </is>
      </c>
      <c r="B529" s="1" t="n">
        <v>45947.56074074074</v>
      </c>
      <c r="C529" s="1" t="n">
        <v>46013</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49647-2022</t>
        </is>
      </c>
      <c r="B530" s="1" t="n">
        <v>44862</v>
      </c>
      <c r="C530" s="1" t="n">
        <v>46013</v>
      </c>
      <c r="D530" t="inlineStr">
        <is>
          <t>UPPSALA LÄN</t>
        </is>
      </c>
      <c r="E530" t="inlineStr">
        <is>
          <t>TIERP</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59575-2025</t>
        </is>
      </c>
      <c r="B531" s="1" t="n">
        <v>45992.29976851852</v>
      </c>
      <c r="C531" s="1" t="n">
        <v>46013</v>
      </c>
      <c r="D531" t="inlineStr">
        <is>
          <t>UPPSALA LÄN</t>
        </is>
      </c>
      <c r="E531" t="inlineStr">
        <is>
          <t>TIERP</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51012-2025</t>
        </is>
      </c>
      <c r="B532" s="1" t="n">
        <v>45947.38002314815</v>
      </c>
      <c r="C532" s="1" t="n">
        <v>46013</v>
      </c>
      <c r="D532" t="inlineStr">
        <is>
          <t>UPPSALA LÄN</t>
        </is>
      </c>
      <c r="E532" t="inlineStr">
        <is>
          <t>TIERP</t>
        </is>
      </c>
      <c r="G532" t="n">
        <v>26.8</v>
      </c>
      <c r="H532" t="n">
        <v>0</v>
      </c>
      <c r="I532" t="n">
        <v>0</v>
      </c>
      <c r="J532" t="n">
        <v>0</v>
      </c>
      <c r="K532" t="n">
        <v>0</v>
      </c>
      <c r="L532" t="n">
        <v>0</v>
      </c>
      <c r="M532" t="n">
        <v>0</v>
      </c>
      <c r="N532" t="n">
        <v>0</v>
      </c>
      <c r="O532" t="n">
        <v>0</v>
      </c>
      <c r="P532" t="n">
        <v>0</v>
      </c>
      <c r="Q532" t="n">
        <v>0</v>
      </c>
      <c r="R532" s="2" t="inlineStr"/>
    </row>
    <row r="533" ht="15" customHeight="1">
      <c r="A533" t="inlineStr">
        <is>
          <t>A 51057-2025</t>
        </is>
      </c>
      <c r="B533" s="1" t="n">
        <v>45947.44466435185</v>
      </c>
      <c r="C533" s="1" t="n">
        <v>46013</v>
      </c>
      <c r="D533" t="inlineStr">
        <is>
          <t>UPPSALA LÄN</t>
        </is>
      </c>
      <c r="E533" t="inlineStr">
        <is>
          <t>TIERP</t>
        </is>
      </c>
      <c r="F533" t="inlineStr">
        <is>
          <t>Bergvik skog öst AB</t>
        </is>
      </c>
      <c r="G533" t="n">
        <v>5.5</v>
      </c>
      <c r="H533" t="n">
        <v>0</v>
      </c>
      <c r="I533" t="n">
        <v>0</v>
      </c>
      <c r="J533" t="n">
        <v>0</v>
      </c>
      <c r="K533" t="n">
        <v>0</v>
      </c>
      <c r="L533" t="n">
        <v>0</v>
      </c>
      <c r="M533" t="n">
        <v>0</v>
      </c>
      <c r="N533" t="n">
        <v>0</v>
      </c>
      <c r="O533" t="n">
        <v>0</v>
      </c>
      <c r="P533" t="n">
        <v>0</v>
      </c>
      <c r="Q533" t="n">
        <v>0</v>
      </c>
      <c r="R533" s="2" t="inlineStr"/>
    </row>
    <row r="534" ht="15" customHeight="1">
      <c r="A534" t="inlineStr">
        <is>
          <t>A 51085-2025</t>
        </is>
      </c>
      <c r="B534" s="1" t="n">
        <v>45947.46891203704</v>
      </c>
      <c r="C534" s="1" t="n">
        <v>46013</v>
      </c>
      <c r="D534" t="inlineStr">
        <is>
          <t>UPPSALA LÄN</t>
        </is>
      </c>
      <c r="E534" t="inlineStr">
        <is>
          <t>TIERP</t>
        </is>
      </c>
      <c r="G534" t="n">
        <v>0.9</v>
      </c>
      <c r="H534" t="n">
        <v>0</v>
      </c>
      <c r="I534" t="n">
        <v>0</v>
      </c>
      <c r="J534" t="n">
        <v>0</v>
      </c>
      <c r="K534" t="n">
        <v>0</v>
      </c>
      <c r="L534" t="n">
        <v>0</v>
      </c>
      <c r="M534" t="n">
        <v>0</v>
      </c>
      <c r="N534" t="n">
        <v>0</v>
      </c>
      <c r="O534" t="n">
        <v>0</v>
      </c>
      <c r="P534" t="n">
        <v>0</v>
      </c>
      <c r="Q534" t="n">
        <v>0</v>
      </c>
      <c r="R534" s="2" t="inlineStr"/>
    </row>
    <row r="535" ht="15" customHeight="1">
      <c r="A535" t="inlineStr">
        <is>
          <t>A 49048-2025</t>
        </is>
      </c>
      <c r="B535" s="1" t="n">
        <v>45937</v>
      </c>
      <c r="C535" s="1" t="n">
        <v>46013</v>
      </c>
      <c r="D535" t="inlineStr">
        <is>
          <t>UPPSALA LÄN</t>
        </is>
      </c>
      <c r="E535" t="inlineStr">
        <is>
          <t>TIERP</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59555-2025</t>
        </is>
      </c>
      <c r="B536" s="1" t="n">
        <v>45991.36298611111</v>
      </c>
      <c r="C536" s="1" t="n">
        <v>46013</v>
      </c>
      <c r="D536" t="inlineStr">
        <is>
          <t>UPPSALA LÄN</t>
        </is>
      </c>
      <c r="E536" t="inlineStr">
        <is>
          <t>TIERP</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59572-2025</t>
        </is>
      </c>
      <c r="B537" s="1" t="n">
        <v>45992.28574074074</v>
      </c>
      <c r="C537" s="1" t="n">
        <v>46013</v>
      </c>
      <c r="D537" t="inlineStr">
        <is>
          <t>UPPSALA LÄN</t>
        </is>
      </c>
      <c r="E537" t="inlineStr">
        <is>
          <t>TIERP</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51116-2025</t>
        </is>
      </c>
      <c r="B538" s="1" t="n">
        <v>45947.52800925926</v>
      </c>
      <c r="C538" s="1" t="n">
        <v>46013</v>
      </c>
      <c r="D538" t="inlineStr">
        <is>
          <t>UPPSALA LÄN</t>
        </is>
      </c>
      <c r="E538" t="inlineStr">
        <is>
          <t>TIERP</t>
        </is>
      </c>
      <c r="G538" t="n">
        <v>2.2</v>
      </c>
      <c r="H538" t="n">
        <v>0</v>
      </c>
      <c r="I538" t="n">
        <v>0</v>
      </c>
      <c r="J538" t="n">
        <v>0</v>
      </c>
      <c r="K538" t="n">
        <v>0</v>
      </c>
      <c r="L538" t="n">
        <v>0</v>
      </c>
      <c r="M538" t="n">
        <v>0</v>
      </c>
      <c r="N538" t="n">
        <v>0</v>
      </c>
      <c r="O538" t="n">
        <v>0</v>
      </c>
      <c r="P538" t="n">
        <v>0</v>
      </c>
      <c r="Q538" t="n">
        <v>0</v>
      </c>
      <c r="R538" s="2" t="inlineStr"/>
    </row>
    <row r="539" ht="15" customHeight="1">
      <c r="A539" t="inlineStr">
        <is>
          <t>A 59388-2025</t>
        </is>
      </c>
      <c r="B539" s="1" t="n">
        <v>45989.46065972222</v>
      </c>
      <c r="C539" s="1" t="n">
        <v>46013</v>
      </c>
      <c r="D539" t="inlineStr">
        <is>
          <t>UPPSALA LÄN</t>
        </is>
      </c>
      <c r="E539" t="inlineStr">
        <is>
          <t>TIERP</t>
        </is>
      </c>
      <c r="G539" t="n">
        <v>1.3</v>
      </c>
      <c r="H539" t="n">
        <v>0</v>
      </c>
      <c r="I539" t="n">
        <v>0</v>
      </c>
      <c r="J539" t="n">
        <v>0</v>
      </c>
      <c r="K539" t="n">
        <v>0</v>
      </c>
      <c r="L539" t="n">
        <v>0</v>
      </c>
      <c r="M539" t="n">
        <v>0</v>
      </c>
      <c r="N539" t="n">
        <v>0</v>
      </c>
      <c r="O539" t="n">
        <v>0</v>
      </c>
      <c r="P539" t="n">
        <v>0</v>
      </c>
      <c r="Q539" t="n">
        <v>0</v>
      </c>
      <c r="R539" s="2" t="inlineStr"/>
    </row>
    <row r="540" ht="15" customHeight="1">
      <c r="A540" t="inlineStr">
        <is>
          <t>A 51646-2025</t>
        </is>
      </c>
      <c r="B540" s="1" t="n">
        <v>45951.44916666667</v>
      </c>
      <c r="C540" s="1" t="n">
        <v>46013</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19172-2023</t>
        </is>
      </c>
      <c r="B541" s="1" t="n">
        <v>45046</v>
      </c>
      <c r="C541" s="1" t="n">
        <v>46013</v>
      </c>
      <c r="D541" t="inlineStr">
        <is>
          <t>UPPSALA LÄN</t>
        </is>
      </c>
      <c r="E541" t="inlineStr">
        <is>
          <t>TIERP</t>
        </is>
      </c>
      <c r="G541" t="n">
        <v>1</v>
      </c>
      <c r="H541" t="n">
        <v>0</v>
      </c>
      <c r="I541" t="n">
        <v>0</v>
      </c>
      <c r="J541" t="n">
        <v>0</v>
      </c>
      <c r="K541" t="n">
        <v>0</v>
      </c>
      <c r="L541" t="n">
        <v>0</v>
      </c>
      <c r="M541" t="n">
        <v>0</v>
      </c>
      <c r="N541" t="n">
        <v>0</v>
      </c>
      <c r="O541" t="n">
        <v>0</v>
      </c>
      <c r="P541" t="n">
        <v>0</v>
      </c>
      <c r="Q541" t="n">
        <v>0</v>
      </c>
      <c r="R541" s="2" t="inlineStr"/>
    </row>
    <row r="542" ht="15" customHeight="1">
      <c r="A542" t="inlineStr">
        <is>
          <t>A 40793-2021</t>
        </is>
      </c>
      <c r="B542" s="1" t="n">
        <v>44421</v>
      </c>
      <c r="C542" s="1" t="n">
        <v>46013</v>
      </c>
      <c r="D542" t="inlineStr">
        <is>
          <t>UPPSALA LÄN</t>
        </is>
      </c>
      <c r="E542" t="inlineStr">
        <is>
          <t>TIERP</t>
        </is>
      </c>
      <c r="F542" t="inlineStr">
        <is>
          <t>Kyrkan</t>
        </is>
      </c>
      <c r="G542" t="n">
        <v>3.4</v>
      </c>
      <c r="H542" t="n">
        <v>0</v>
      </c>
      <c r="I542" t="n">
        <v>0</v>
      </c>
      <c r="J542" t="n">
        <v>0</v>
      </c>
      <c r="K542" t="n">
        <v>0</v>
      </c>
      <c r="L542" t="n">
        <v>0</v>
      </c>
      <c r="M542" t="n">
        <v>0</v>
      </c>
      <c r="N542" t="n">
        <v>0</v>
      </c>
      <c r="O542" t="n">
        <v>0</v>
      </c>
      <c r="P542" t="n">
        <v>0</v>
      </c>
      <c r="Q542" t="n">
        <v>0</v>
      </c>
      <c r="R542" s="2" t="inlineStr"/>
    </row>
    <row r="543" ht="15" customHeight="1">
      <c r="A543" t="inlineStr">
        <is>
          <t>A 54737-2023</t>
        </is>
      </c>
      <c r="B543" s="1" t="n">
        <v>45229</v>
      </c>
      <c r="C543" s="1" t="n">
        <v>46013</v>
      </c>
      <c r="D543" t="inlineStr">
        <is>
          <t>UPPSALA LÄN</t>
        </is>
      </c>
      <c r="E543" t="inlineStr">
        <is>
          <t>TIERP</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60151-2022</t>
        </is>
      </c>
      <c r="B544" s="1" t="n">
        <v>44909.71309027778</v>
      </c>
      <c r="C544" s="1" t="n">
        <v>46013</v>
      </c>
      <c r="D544" t="inlineStr">
        <is>
          <t>UPPSALA LÄN</t>
        </is>
      </c>
      <c r="E544" t="inlineStr">
        <is>
          <t>TIERP</t>
        </is>
      </c>
      <c r="G544" t="n">
        <v>4.1</v>
      </c>
      <c r="H544" t="n">
        <v>0</v>
      </c>
      <c r="I544" t="n">
        <v>0</v>
      </c>
      <c r="J544" t="n">
        <v>0</v>
      </c>
      <c r="K544" t="n">
        <v>0</v>
      </c>
      <c r="L544" t="n">
        <v>0</v>
      </c>
      <c r="M544" t="n">
        <v>0</v>
      </c>
      <c r="N544" t="n">
        <v>0</v>
      </c>
      <c r="O544" t="n">
        <v>0</v>
      </c>
      <c r="P544" t="n">
        <v>0</v>
      </c>
      <c r="Q544" t="n">
        <v>0</v>
      </c>
      <c r="R544" s="2" t="inlineStr"/>
    </row>
    <row r="545" ht="15" customHeight="1">
      <c r="A545" t="inlineStr">
        <is>
          <t>A 60139-2025</t>
        </is>
      </c>
      <c r="B545" s="1" t="n">
        <v>45994.3599537037</v>
      </c>
      <c r="C545" s="1" t="n">
        <v>46013</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46013</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34082-2023</t>
        </is>
      </c>
      <c r="B547" s="1" t="n">
        <v>45135</v>
      </c>
      <c r="C547" s="1" t="n">
        <v>46013</v>
      </c>
      <c r="D547" t="inlineStr">
        <is>
          <t>UPPSALA LÄN</t>
        </is>
      </c>
      <c r="E547" t="inlineStr">
        <is>
          <t>TIERP</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61615-2022</t>
        </is>
      </c>
      <c r="B548" s="1" t="n">
        <v>44916.66769675926</v>
      </c>
      <c r="C548" s="1" t="n">
        <v>46013</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60280-2025</t>
        </is>
      </c>
      <c r="B549" s="1" t="n">
        <v>45994.63814814815</v>
      </c>
      <c r="C549" s="1" t="n">
        <v>46013</v>
      </c>
      <c r="D549" t="inlineStr">
        <is>
          <t>UPPSALA LÄN</t>
        </is>
      </c>
      <c r="E549" t="inlineStr">
        <is>
          <t>TIERP</t>
        </is>
      </c>
      <c r="G549" t="n">
        <v>1.6</v>
      </c>
      <c r="H549" t="n">
        <v>0</v>
      </c>
      <c r="I549" t="n">
        <v>0</v>
      </c>
      <c r="J549" t="n">
        <v>0</v>
      </c>
      <c r="K549" t="n">
        <v>0</v>
      </c>
      <c r="L549" t="n">
        <v>0</v>
      </c>
      <c r="M549" t="n">
        <v>0</v>
      </c>
      <c r="N549" t="n">
        <v>0</v>
      </c>
      <c r="O549" t="n">
        <v>0</v>
      </c>
      <c r="P549" t="n">
        <v>0</v>
      </c>
      <c r="Q549" t="n">
        <v>0</v>
      </c>
      <c r="R549" s="2" t="inlineStr"/>
    </row>
    <row r="550" ht="15" customHeight="1">
      <c r="A550" t="inlineStr">
        <is>
          <t>A 51712-2025</t>
        </is>
      </c>
      <c r="B550" s="1" t="n">
        <v>45951.57142361111</v>
      </c>
      <c r="C550" s="1" t="n">
        <v>46013</v>
      </c>
      <c r="D550" t="inlineStr">
        <is>
          <t>UPPSALA LÄN</t>
        </is>
      </c>
      <c r="E550" t="inlineStr">
        <is>
          <t>TIERP</t>
        </is>
      </c>
      <c r="F550" t="inlineStr">
        <is>
          <t>Bergvik skog väst AB</t>
        </is>
      </c>
      <c r="G550" t="n">
        <v>2.9</v>
      </c>
      <c r="H550" t="n">
        <v>0</v>
      </c>
      <c r="I550" t="n">
        <v>0</v>
      </c>
      <c r="J550" t="n">
        <v>0</v>
      </c>
      <c r="K550" t="n">
        <v>0</v>
      </c>
      <c r="L550" t="n">
        <v>0</v>
      </c>
      <c r="M550" t="n">
        <v>0</v>
      </c>
      <c r="N550" t="n">
        <v>0</v>
      </c>
      <c r="O550" t="n">
        <v>0</v>
      </c>
      <c r="P550" t="n">
        <v>0</v>
      </c>
      <c r="Q550" t="n">
        <v>0</v>
      </c>
      <c r="R550" s="2" t="inlineStr"/>
    </row>
    <row r="551" ht="15" customHeight="1">
      <c r="A551" t="inlineStr">
        <is>
          <t>A 60211-2025</t>
        </is>
      </c>
      <c r="B551" s="1" t="n">
        <v>45994.52657407407</v>
      </c>
      <c r="C551" s="1" t="n">
        <v>46013</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26161-2022</t>
        </is>
      </c>
      <c r="B552" s="1" t="n">
        <v>44735</v>
      </c>
      <c r="C552" s="1" t="n">
        <v>46013</v>
      </c>
      <c r="D552" t="inlineStr">
        <is>
          <t>UPPSALA LÄN</t>
        </is>
      </c>
      <c r="E552" t="inlineStr">
        <is>
          <t>TIERP</t>
        </is>
      </c>
      <c r="G552" t="n">
        <v>5</v>
      </c>
      <c r="H552" t="n">
        <v>0</v>
      </c>
      <c r="I552" t="n">
        <v>0</v>
      </c>
      <c r="J552" t="n">
        <v>0</v>
      </c>
      <c r="K552" t="n">
        <v>0</v>
      </c>
      <c r="L552" t="n">
        <v>0</v>
      </c>
      <c r="M552" t="n">
        <v>0</v>
      </c>
      <c r="N552" t="n">
        <v>0</v>
      </c>
      <c r="O552" t="n">
        <v>0</v>
      </c>
      <c r="P552" t="n">
        <v>0</v>
      </c>
      <c r="Q552" t="n">
        <v>0</v>
      </c>
      <c r="R552" s="2" t="inlineStr"/>
    </row>
    <row r="553" ht="15" customHeight="1">
      <c r="A553" t="inlineStr">
        <is>
          <t>A 55818-2023</t>
        </is>
      </c>
      <c r="B553" s="1" t="n">
        <v>45239.58409722222</v>
      </c>
      <c r="C553" s="1" t="n">
        <v>46013</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33797-2023</t>
        </is>
      </c>
      <c r="B554" s="1" t="n">
        <v>45133</v>
      </c>
      <c r="C554" s="1" t="n">
        <v>46013</v>
      </c>
      <c r="D554" t="inlineStr">
        <is>
          <t>UPPSALA LÄN</t>
        </is>
      </c>
      <c r="E554" t="inlineStr">
        <is>
          <t>TIERP</t>
        </is>
      </c>
      <c r="F554" t="inlineStr">
        <is>
          <t>Bergvik skog öst AB</t>
        </is>
      </c>
      <c r="G554" t="n">
        <v>0.4</v>
      </c>
      <c r="H554" t="n">
        <v>0</v>
      </c>
      <c r="I554" t="n">
        <v>0</v>
      </c>
      <c r="J554" t="n">
        <v>0</v>
      </c>
      <c r="K554" t="n">
        <v>0</v>
      </c>
      <c r="L554" t="n">
        <v>0</v>
      </c>
      <c r="M554" t="n">
        <v>0</v>
      </c>
      <c r="N554" t="n">
        <v>0</v>
      </c>
      <c r="O554" t="n">
        <v>0</v>
      </c>
      <c r="P554" t="n">
        <v>0</v>
      </c>
      <c r="Q554" t="n">
        <v>0</v>
      </c>
      <c r="R554" s="2" t="inlineStr"/>
      <c r="U554">
        <f>HYPERLINK("https://klasma.github.io/Logging_0360/knärot/A 33797-2023 karta knärot.png", "A 33797-2023")</f>
        <v/>
      </c>
      <c r="V554">
        <f>HYPERLINK("https://klasma.github.io/Logging_0360/klagomål/A 33797-2023 FSC-klagomål.docx", "A 33797-2023")</f>
        <v/>
      </c>
      <c r="W554">
        <f>HYPERLINK("https://klasma.github.io/Logging_0360/klagomålsmail/A 33797-2023 FSC-klagomål mail.docx", "A 33797-2023")</f>
        <v/>
      </c>
      <c r="X554">
        <f>HYPERLINK("https://klasma.github.io/Logging_0360/tillsyn/A 33797-2023 tillsynsbegäran.docx", "A 33797-2023")</f>
        <v/>
      </c>
      <c r="Y554">
        <f>HYPERLINK("https://klasma.github.io/Logging_0360/tillsynsmail/A 33797-2023 tillsynsbegäran mail.docx", "A 33797-2023")</f>
        <v/>
      </c>
    </row>
    <row r="555" ht="15" customHeight="1">
      <c r="A555" t="inlineStr">
        <is>
          <t>A 52421-2025</t>
        </is>
      </c>
      <c r="B555" s="1" t="n">
        <v>45954.37163194444</v>
      </c>
      <c r="C555" s="1" t="n">
        <v>46013</v>
      </c>
      <c r="D555" t="inlineStr">
        <is>
          <t>UPPSALA LÄN</t>
        </is>
      </c>
      <c r="E555" t="inlineStr">
        <is>
          <t>TIERP</t>
        </is>
      </c>
      <c r="G555" t="n">
        <v>4.7</v>
      </c>
      <c r="H555" t="n">
        <v>0</v>
      </c>
      <c r="I555" t="n">
        <v>0</v>
      </c>
      <c r="J555" t="n">
        <v>0</v>
      </c>
      <c r="K555" t="n">
        <v>0</v>
      </c>
      <c r="L555" t="n">
        <v>0</v>
      </c>
      <c r="M555" t="n">
        <v>0</v>
      </c>
      <c r="N555" t="n">
        <v>0</v>
      </c>
      <c r="O555" t="n">
        <v>0</v>
      </c>
      <c r="P555" t="n">
        <v>0</v>
      </c>
      <c r="Q555" t="n">
        <v>0</v>
      </c>
      <c r="R555" s="2" t="inlineStr"/>
    </row>
    <row r="556" ht="15" customHeight="1">
      <c r="A556" t="inlineStr">
        <is>
          <t>A 52490-2025</t>
        </is>
      </c>
      <c r="B556" s="1" t="n">
        <v>45954.48096064815</v>
      </c>
      <c r="C556" s="1" t="n">
        <v>46013</v>
      </c>
      <c r="D556" t="inlineStr">
        <is>
          <t>UPPSALA LÄN</t>
        </is>
      </c>
      <c r="E556" t="inlineStr">
        <is>
          <t>TIERP</t>
        </is>
      </c>
      <c r="F556" t="inlineStr">
        <is>
          <t>Bergvik skog väst AB</t>
        </is>
      </c>
      <c r="G556" t="n">
        <v>7</v>
      </c>
      <c r="H556" t="n">
        <v>0</v>
      </c>
      <c r="I556" t="n">
        <v>0</v>
      </c>
      <c r="J556" t="n">
        <v>0</v>
      </c>
      <c r="K556" t="n">
        <v>0</v>
      </c>
      <c r="L556" t="n">
        <v>0</v>
      </c>
      <c r="M556" t="n">
        <v>0</v>
      </c>
      <c r="N556" t="n">
        <v>0</v>
      </c>
      <c r="O556" t="n">
        <v>0</v>
      </c>
      <c r="P556" t="n">
        <v>0</v>
      </c>
      <c r="Q556" t="n">
        <v>0</v>
      </c>
      <c r="R556" s="2" t="inlineStr"/>
    </row>
    <row r="557" ht="15" customHeight="1">
      <c r="A557" t="inlineStr">
        <is>
          <t>A 52502-2025</t>
        </is>
      </c>
      <c r="B557" s="1" t="n">
        <v>45954.4975462963</v>
      </c>
      <c r="C557" s="1" t="n">
        <v>46013</v>
      </c>
      <c r="D557" t="inlineStr">
        <is>
          <t>UPPSALA LÄN</t>
        </is>
      </c>
      <c r="E557" t="inlineStr">
        <is>
          <t>TIERP</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13456-2025</t>
        </is>
      </c>
      <c r="B558" s="1" t="n">
        <v>45736.38332175926</v>
      </c>
      <c r="C558" s="1" t="n">
        <v>46013</v>
      </c>
      <c r="D558" t="inlineStr">
        <is>
          <t>UPPSALA LÄN</t>
        </is>
      </c>
      <c r="E558" t="inlineStr">
        <is>
          <t>TIERP</t>
        </is>
      </c>
      <c r="G558" t="n">
        <v>5.7</v>
      </c>
      <c r="H558" t="n">
        <v>0</v>
      </c>
      <c r="I558" t="n">
        <v>0</v>
      </c>
      <c r="J558" t="n">
        <v>0</v>
      </c>
      <c r="K558" t="n">
        <v>0</v>
      </c>
      <c r="L558" t="n">
        <v>0</v>
      </c>
      <c r="M558" t="n">
        <v>0</v>
      </c>
      <c r="N558" t="n">
        <v>0</v>
      </c>
      <c r="O558" t="n">
        <v>0</v>
      </c>
      <c r="P558" t="n">
        <v>0</v>
      </c>
      <c r="Q558" t="n">
        <v>0</v>
      </c>
      <c r="R558" s="2" t="inlineStr"/>
    </row>
    <row r="559" ht="15" customHeight="1">
      <c r="A559" t="inlineStr">
        <is>
          <t>A 60641-2025</t>
        </is>
      </c>
      <c r="B559" s="1" t="n">
        <v>45996.44386574074</v>
      </c>
      <c r="C559" s="1" t="n">
        <v>46013</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9893-2022</t>
        </is>
      </c>
      <c r="B560" s="1" t="n">
        <v>44620.62225694444</v>
      </c>
      <c r="C560" s="1" t="n">
        <v>46013</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53106-2025</t>
        </is>
      </c>
      <c r="B561" s="1" t="n">
        <v>45958.43461805556</v>
      </c>
      <c r="C561" s="1" t="n">
        <v>46013</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53036-2025</t>
        </is>
      </c>
      <c r="B562" s="1" t="n">
        <v>45958</v>
      </c>
      <c r="C562" s="1" t="n">
        <v>46013</v>
      </c>
      <c r="D562" t="inlineStr">
        <is>
          <t>UPPSALA LÄN</t>
        </is>
      </c>
      <c r="E562" t="inlineStr">
        <is>
          <t>TIERP</t>
        </is>
      </c>
      <c r="G562" t="n">
        <v>12.3</v>
      </c>
      <c r="H562" t="n">
        <v>0</v>
      </c>
      <c r="I562" t="n">
        <v>0</v>
      </c>
      <c r="J562" t="n">
        <v>0</v>
      </c>
      <c r="K562" t="n">
        <v>0</v>
      </c>
      <c r="L562" t="n">
        <v>0</v>
      </c>
      <c r="M562" t="n">
        <v>0</v>
      </c>
      <c r="N562" t="n">
        <v>0</v>
      </c>
      <c r="O562" t="n">
        <v>0</v>
      </c>
      <c r="P562" t="n">
        <v>0</v>
      </c>
      <c r="Q562" t="n">
        <v>0</v>
      </c>
      <c r="R562" s="2" t="inlineStr"/>
    </row>
    <row r="563" ht="15" customHeight="1">
      <c r="A563" t="inlineStr">
        <is>
          <t>A 53090-2025</t>
        </is>
      </c>
      <c r="B563" s="1" t="n">
        <v>45958.42043981481</v>
      </c>
      <c r="C563" s="1" t="n">
        <v>46013</v>
      </c>
      <c r="D563" t="inlineStr">
        <is>
          <t>UPPSALA LÄN</t>
        </is>
      </c>
      <c r="E563" t="inlineStr">
        <is>
          <t>TIERP</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52859-2025</t>
        </is>
      </c>
      <c r="B564" s="1" t="n">
        <v>45957.50313657407</v>
      </c>
      <c r="C564" s="1" t="n">
        <v>46013</v>
      </c>
      <c r="D564" t="inlineStr">
        <is>
          <t>UPPSALA LÄN</t>
        </is>
      </c>
      <c r="E564" t="inlineStr">
        <is>
          <t>TIERP</t>
        </is>
      </c>
      <c r="G564" t="n">
        <v>5.7</v>
      </c>
      <c r="H564" t="n">
        <v>0</v>
      </c>
      <c r="I564" t="n">
        <v>0</v>
      </c>
      <c r="J564" t="n">
        <v>0</v>
      </c>
      <c r="K564" t="n">
        <v>0</v>
      </c>
      <c r="L564" t="n">
        <v>0</v>
      </c>
      <c r="M564" t="n">
        <v>0</v>
      </c>
      <c r="N564" t="n">
        <v>0</v>
      </c>
      <c r="O564" t="n">
        <v>0</v>
      </c>
      <c r="P564" t="n">
        <v>0</v>
      </c>
      <c r="Q564" t="n">
        <v>0</v>
      </c>
      <c r="R564" s="2" t="inlineStr"/>
    </row>
    <row r="565" ht="15" customHeight="1">
      <c r="A565" t="inlineStr">
        <is>
          <t>A 52863-2025</t>
        </is>
      </c>
      <c r="B565" s="1" t="n">
        <v>45957.50965277778</v>
      </c>
      <c r="C565" s="1" t="n">
        <v>46013</v>
      </c>
      <c r="D565" t="inlineStr">
        <is>
          <t>UPPSALA LÄN</t>
        </is>
      </c>
      <c r="E565" t="inlineStr">
        <is>
          <t>TIERP</t>
        </is>
      </c>
      <c r="G565" t="n">
        <v>5.2</v>
      </c>
      <c r="H565" t="n">
        <v>0</v>
      </c>
      <c r="I565" t="n">
        <v>0</v>
      </c>
      <c r="J565" t="n">
        <v>0</v>
      </c>
      <c r="K565" t="n">
        <v>0</v>
      </c>
      <c r="L565" t="n">
        <v>0</v>
      </c>
      <c r="M565" t="n">
        <v>0</v>
      </c>
      <c r="N565" t="n">
        <v>0</v>
      </c>
      <c r="O565" t="n">
        <v>0</v>
      </c>
      <c r="P565" t="n">
        <v>0</v>
      </c>
      <c r="Q565" t="n">
        <v>0</v>
      </c>
      <c r="R565" s="2" t="inlineStr"/>
    </row>
    <row r="566" ht="15" customHeight="1">
      <c r="A566" t="inlineStr">
        <is>
          <t>A 60795-2025</t>
        </is>
      </c>
      <c r="B566" s="1" t="n">
        <v>45999.42177083333</v>
      </c>
      <c r="C566" s="1" t="n">
        <v>46013</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46013</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53088-2025</t>
        </is>
      </c>
      <c r="B568" s="1" t="n">
        <v>45958.41660879629</v>
      </c>
      <c r="C568" s="1" t="n">
        <v>46013</v>
      </c>
      <c r="D568" t="inlineStr">
        <is>
          <t>UPPSALA LÄN</t>
        </is>
      </c>
      <c r="E568" t="inlineStr">
        <is>
          <t>TIERP</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61252-2025</t>
        </is>
      </c>
      <c r="B569" s="1" t="n">
        <v>46000.668125</v>
      </c>
      <c r="C569" s="1" t="n">
        <v>46013</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52790-2025</t>
        </is>
      </c>
      <c r="B570" s="1" t="n">
        <v>45957.43148148148</v>
      </c>
      <c r="C570" s="1" t="n">
        <v>46013</v>
      </c>
      <c r="D570" t="inlineStr">
        <is>
          <t>UPPSALA LÄN</t>
        </is>
      </c>
      <c r="E570" t="inlineStr">
        <is>
          <t>TIERP</t>
        </is>
      </c>
      <c r="G570" t="n">
        <v>1.6</v>
      </c>
      <c r="H570" t="n">
        <v>0</v>
      </c>
      <c r="I570" t="n">
        <v>0</v>
      </c>
      <c r="J570" t="n">
        <v>0</v>
      </c>
      <c r="K570" t="n">
        <v>0</v>
      </c>
      <c r="L570" t="n">
        <v>0</v>
      </c>
      <c r="M570" t="n">
        <v>0</v>
      </c>
      <c r="N570" t="n">
        <v>0</v>
      </c>
      <c r="O570" t="n">
        <v>0</v>
      </c>
      <c r="P570" t="n">
        <v>0</v>
      </c>
      <c r="Q570" t="n">
        <v>0</v>
      </c>
      <c r="R570" s="2" t="inlineStr"/>
    </row>
    <row r="571" ht="15" customHeight="1">
      <c r="A571" t="inlineStr">
        <is>
          <t>A 52873-2025</t>
        </is>
      </c>
      <c r="B571" s="1" t="n">
        <v>45957.52932870371</v>
      </c>
      <c r="C571" s="1" t="n">
        <v>46013</v>
      </c>
      <c r="D571" t="inlineStr">
        <is>
          <t>UPPSALA LÄN</t>
        </is>
      </c>
      <c r="E571" t="inlineStr">
        <is>
          <t>TIERP</t>
        </is>
      </c>
      <c r="G571" t="n">
        <v>6.6</v>
      </c>
      <c r="H571" t="n">
        <v>0</v>
      </c>
      <c r="I571" t="n">
        <v>0</v>
      </c>
      <c r="J571" t="n">
        <v>0</v>
      </c>
      <c r="K571" t="n">
        <v>0</v>
      </c>
      <c r="L571" t="n">
        <v>0</v>
      </c>
      <c r="M571" t="n">
        <v>0</v>
      </c>
      <c r="N571" t="n">
        <v>0</v>
      </c>
      <c r="O571" t="n">
        <v>0</v>
      </c>
      <c r="P571" t="n">
        <v>0</v>
      </c>
      <c r="Q571" t="n">
        <v>0</v>
      </c>
      <c r="R571" s="2" t="inlineStr"/>
    </row>
    <row r="572" ht="15" customHeight="1">
      <c r="A572" t="inlineStr">
        <is>
          <t>A 45146-2021</t>
        </is>
      </c>
      <c r="B572" s="1" t="n">
        <v>44439.46604166667</v>
      </c>
      <c r="C572" s="1" t="n">
        <v>46013</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46013</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52508-2025</t>
        </is>
      </c>
      <c r="B574" s="1" t="n">
        <v>45954.50453703704</v>
      </c>
      <c r="C574" s="1" t="n">
        <v>46013</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53199-2025</t>
        </is>
      </c>
      <c r="B575" s="1" t="n">
        <v>45957</v>
      </c>
      <c r="C575" s="1" t="n">
        <v>46013</v>
      </c>
      <c r="D575" t="inlineStr">
        <is>
          <t>UPPSALA LÄN</t>
        </is>
      </c>
      <c r="E575" t="inlineStr">
        <is>
          <t>TIERP</t>
        </is>
      </c>
      <c r="G575" t="n">
        <v>0.5</v>
      </c>
      <c r="H575" t="n">
        <v>0</v>
      </c>
      <c r="I575" t="n">
        <v>0</v>
      </c>
      <c r="J575" t="n">
        <v>0</v>
      </c>
      <c r="K575" t="n">
        <v>0</v>
      </c>
      <c r="L575" t="n">
        <v>0</v>
      </c>
      <c r="M575" t="n">
        <v>0</v>
      </c>
      <c r="N575" t="n">
        <v>0</v>
      </c>
      <c r="O575" t="n">
        <v>0</v>
      </c>
      <c r="P575" t="n">
        <v>0</v>
      </c>
      <c r="Q575" t="n">
        <v>0</v>
      </c>
      <c r="R575" s="2" t="inlineStr"/>
    </row>
    <row r="576" ht="15" customHeight="1">
      <c r="A576" t="inlineStr">
        <is>
          <t>A 52795-2025</t>
        </is>
      </c>
      <c r="B576" s="1" t="n">
        <v>45957.43520833334</v>
      </c>
      <c r="C576" s="1" t="n">
        <v>46013</v>
      </c>
      <c r="D576" t="inlineStr">
        <is>
          <t>UPPSALA LÄN</t>
        </is>
      </c>
      <c r="E576" t="inlineStr">
        <is>
          <t>TIERP</t>
        </is>
      </c>
      <c r="F576" t="inlineStr">
        <is>
          <t>Bergvik skog öst AB</t>
        </is>
      </c>
      <c r="G576" t="n">
        <v>1.6</v>
      </c>
      <c r="H576" t="n">
        <v>0</v>
      </c>
      <c r="I576" t="n">
        <v>0</v>
      </c>
      <c r="J576" t="n">
        <v>0</v>
      </c>
      <c r="K576" t="n">
        <v>0</v>
      </c>
      <c r="L576" t="n">
        <v>0</v>
      </c>
      <c r="M576" t="n">
        <v>0</v>
      </c>
      <c r="N576" t="n">
        <v>0</v>
      </c>
      <c r="O576" t="n">
        <v>0</v>
      </c>
      <c r="P576" t="n">
        <v>0</v>
      </c>
      <c r="Q576" t="n">
        <v>0</v>
      </c>
      <c r="R576" s="2" t="inlineStr"/>
    </row>
    <row r="577" ht="15" customHeight="1">
      <c r="A577" t="inlineStr">
        <is>
          <t>A 6497-2023</t>
        </is>
      </c>
      <c r="B577" s="1" t="n">
        <v>44966</v>
      </c>
      <c r="C577" s="1" t="n">
        <v>46013</v>
      </c>
      <c r="D577" t="inlineStr">
        <is>
          <t>UPPSALA LÄN</t>
        </is>
      </c>
      <c r="E577" t="inlineStr">
        <is>
          <t>TIERP</t>
        </is>
      </c>
      <c r="F577" t="inlineStr">
        <is>
          <t>Bergvik skog öst AB</t>
        </is>
      </c>
      <c r="G577" t="n">
        <v>12.9</v>
      </c>
      <c r="H577" t="n">
        <v>0</v>
      </c>
      <c r="I577" t="n">
        <v>0</v>
      </c>
      <c r="J577" t="n">
        <v>0</v>
      </c>
      <c r="K577" t="n">
        <v>0</v>
      </c>
      <c r="L577" t="n">
        <v>0</v>
      </c>
      <c r="M577" t="n">
        <v>0</v>
      </c>
      <c r="N577" t="n">
        <v>0</v>
      </c>
      <c r="O577" t="n">
        <v>0</v>
      </c>
      <c r="P577" t="n">
        <v>0</v>
      </c>
      <c r="Q577" t="n">
        <v>0</v>
      </c>
      <c r="R577" s="2" t="inlineStr"/>
    </row>
    <row r="578" ht="15" customHeight="1">
      <c r="A578" t="inlineStr">
        <is>
          <t>A 53164-2025</t>
        </is>
      </c>
      <c r="B578" s="1" t="n">
        <v>45957</v>
      </c>
      <c r="C578" s="1" t="n">
        <v>46013</v>
      </c>
      <c r="D578" t="inlineStr">
        <is>
          <t>UPPSALA LÄN</t>
        </is>
      </c>
      <c r="E578" t="inlineStr">
        <is>
          <t>TIERP</t>
        </is>
      </c>
      <c r="G578" t="n">
        <v>2.2</v>
      </c>
      <c r="H578" t="n">
        <v>0</v>
      </c>
      <c r="I578" t="n">
        <v>0</v>
      </c>
      <c r="J578" t="n">
        <v>0</v>
      </c>
      <c r="K578" t="n">
        <v>0</v>
      </c>
      <c r="L578" t="n">
        <v>0</v>
      </c>
      <c r="M578" t="n">
        <v>0</v>
      </c>
      <c r="N578" t="n">
        <v>0</v>
      </c>
      <c r="O578" t="n">
        <v>0</v>
      </c>
      <c r="P578" t="n">
        <v>0</v>
      </c>
      <c r="Q578" t="n">
        <v>0</v>
      </c>
      <c r="R578" s="2" t="inlineStr"/>
    </row>
    <row r="579" ht="15" customHeight="1">
      <c r="A579" t="inlineStr">
        <is>
          <t>A 53094-2025</t>
        </is>
      </c>
      <c r="B579" s="1" t="n">
        <v>45958.42452546296</v>
      </c>
      <c r="C579" s="1" t="n">
        <v>46013</v>
      </c>
      <c r="D579" t="inlineStr">
        <is>
          <t>UPPSALA LÄN</t>
        </is>
      </c>
      <c r="E579" t="inlineStr">
        <is>
          <t>TIERP</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57142-2023</t>
        </is>
      </c>
      <c r="B580" s="1" t="n">
        <v>45245.39725694444</v>
      </c>
      <c r="C580" s="1" t="n">
        <v>46013</v>
      </c>
      <c r="D580" t="inlineStr">
        <is>
          <t>UPPSALA LÄN</t>
        </is>
      </c>
      <c r="E580" t="inlineStr">
        <is>
          <t>TIERP</t>
        </is>
      </c>
      <c r="G580" t="n">
        <v>3.2</v>
      </c>
      <c r="H580" t="n">
        <v>0</v>
      </c>
      <c r="I580" t="n">
        <v>0</v>
      </c>
      <c r="J580" t="n">
        <v>0</v>
      </c>
      <c r="K580" t="n">
        <v>0</v>
      </c>
      <c r="L580" t="n">
        <v>0</v>
      </c>
      <c r="M580" t="n">
        <v>0</v>
      </c>
      <c r="N580" t="n">
        <v>0</v>
      </c>
      <c r="O580" t="n">
        <v>0</v>
      </c>
      <c r="P580" t="n">
        <v>0</v>
      </c>
      <c r="Q580" t="n">
        <v>0</v>
      </c>
      <c r="R580" s="2" t="inlineStr"/>
    </row>
    <row r="581" ht="15" customHeight="1">
      <c r="A581" t="inlineStr">
        <is>
          <t>A 52844-2025</t>
        </is>
      </c>
      <c r="B581" s="1" t="n">
        <v>45957.48424768518</v>
      </c>
      <c r="C581" s="1" t="n">
        <v>46013</v>
      </c>
      <c r="D581" t="inlineStr">
        <is>
          <t>UPPSALA LÄN</t>
        </is>
      </c>
      <c r="E581" t="inlineStr">
        <is>
          <t>TIERP</t>
        </is>
      </c>
      <c r="G581" t="n">
        <v>5.5</v>
      </c>
      <c r="H581" t="n">
        <v>0</v>
      </c>
      <c r="I581" t="n">
        <v>0</v>
      </c>
      <c r="J581" t="n">
        <v>0</v>
      </c>
      <c r="K581" t="n">
        <v>0</v>
      </c>
      <c r="L581" t="n">
        <v>0</v>
      </c>
      <c r="M581" t="n">
        <v>0</v>
      </c>
      <c r="N581" t="n">
        <v>0</v>
      </c>
      <c r="O581" t="n">
        <v>0</v>
      </c>
      <c r="P581" t="n">
        <v>0</v>
      </c>
      <c r="Q581" t="n">
        <v>0</v>
      </c>
      <c r="R581" s="2" t="inlineStr"/>
    </row>
    <row r="582" ht="15" customHeight="1">
      <c r="A582" t="inlineStr">
        <is>
          <t>A 37476-2024</t>
        </is>
      </c>
      <c r="B582" s="1" t="n">
        <v>45541.29972222223</v>
      </c>
      <c r="C582" s="1" t="n">
        <v>46013</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38298-2023</t>
        </is>
      </c>
      <c r="B583" s="1" t="n">
        <v>45161.64891203704</v>
      </c>
      <c r="C583" s="1" t="n">
        <v>46013</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53121-2025</t>
        </is>
      </c>
      <c r="B584" s="1" t="n">
        <v>45958.45113425926</v>
      </c>
      <c r="C584" s="1" t="n">
        <v>46013</v>
      </c>
      <c r="D584" t="inlineStr">
        <is>
          <t>UPPSALA LÄN</t>
        </is>
      </c>
      <c r="E584" t="inlineStr">
        <is>
          <t>TIERP</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46013</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46013</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52388-2022</t>
        </is>
      </c>
      <c r="B587" s="1" t="n">
        <v>44874</v>
      </c>
      <c r="C587" s="1" t="n">
        <v>46013</v>
      </c>
      <c r="D587" t="inlineStr">
        <is>
          <t>UPPSALA LÄN</t>
        </is>
      </c>
      <c r="E587" t="inlineStr">
        <is>
          <t>TIERP</t>
        </is>
      </c>
      <c r="G587" t="n">
        <v>1</v>
      </c>
      <c r="H587" t="n">
        <v>0</v>
      </c>
      <c r="I587" t="n">
        <v>0</v>
      </c>
      <c r="J587" t="n">
        <v>0</v>
      </c>
      <c r="K587" t="n">
        <v>0</v>
      </c>
      <c r="L587" t="n">
        <v>0</v>
      </c>
      <c r="M587" t="n">
        <v>0</v>
      </c>
      <c r="N587" t="n">
        <v>0</v>
      </c>
      <c r="O587" t="n">
        <v>0</v>
      </c>
      <c r="P587" t="n">
        <v>0</v>
      </c>
      <c r="Q587" t="n">
        <v>0</v>
      </c>
      <c r="R587" s="2" t="inlineStr"/>
    </row>
    <row r="588" ht="15" customHeight="1">
      <c r="A588" t="inlineStr">
        <is>
          <t>A 61671-2025</t>
        </is>
      </c>
      <c r="B588" s="1" t="n">
        <v>46002.47112268519</v>
      </c>
      <c r="C588" s="1" t="n">
        <v>46013</v>
      </c>
      <c r="D588" t="inlineStr">
        <is>
          <t>UPPSALA LÄN</t>
        </is>
      </c>
      <c r="E588" t="inlineStr">
        <is>
          <t>TIERP</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61599-2025</t>
        </is>
      </c>
      <c r="B589" s="1" t="n">
        <v>46002.361875</v>
      </c>
      <c r="C589" s="1" t="n">
        <v>46013</v>
      </c>
      <c r="D589" t="inlineStr">
        <is>
          <t>UPPSALA LÄN</t>
        </is>
      </c>
      <c r="E589" t="inlineStr">
        <is>
          <t>TIERP</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61672-2025</t>
        </is>
      </c>
      <c r="B590" s="1" t="n">
        <v>46002.47396990741</v>
      </c>
      <c r="C590" s="1" t="n">
        <v>46013</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53679-2025</t>
        </is>
      </c>
      <c r="B591" s="1" t="n">
        <v>45960.57180555556</v>
      </c>
      <c r="C591" s="1" t="n">
        <v>46013</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53609-2025</t>
        </is>
      </c>
      <c r="B592" s="1" t="n">
        <v>45960.46894675926</v>
      </c>
      <c r="C592" s="1" t="n">
        <v>46013</v>
      </c>
      <c r="D592" t="inlineStr">
        <is>
          <t>UPPSALA LÄN</t>
        </is>
      </c>
      <c r="E592" t="inlineStr">
        <is>
          <t>TIERP</t>
        </is>
      </c>
      <c r="F592" t="inlineStr">
        <is>
          <t>Bergvik skog öst AB</t>
        </is>
      </c>
      <c r="G592" t="n">
        <v>5.6</v>
      </c>
      <c r="H592" t="n">
        <v>0</v>
      </c>
      <c r="I592" t="n">
        <v>0</v>
      </c>
      <c r="J592" t="n">
        <v>0</v>
      </c>
      <c r="K592" t="n">
        <v>0</v>
      </c>
      <c r="L592" t="n">
        <v>0</v>
      </c>
      <c r="M592" t="n">
        <v>0</v>
      </c>
      <c r="N592" t="n">
        <v>0</v>
      </c>
      <c r="O592" t="n">
        <v>0</v>
      </c>
      <c r="P592" t="n">
        <v>0</v>
      </c>
      <c r="Q592" t="n">
        <v>0</v>
      </c>
      <c r="R592" s="2" t="inlineStr"/>
    </row>
    <row r="593" ht="15" customHeight="1">
      <c r="A593" t="inlineStr">
        <is>
          <t>A 53686-2025</t>
        </is>
      </c>
      <c r="B593" s="1" t="n">
        <v>45960.57493055556</v>
      </c>
      <c r="C593" s="1" t="n">
        <v>46013</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53784-2025</t>
        </is>
      </c>
      <c r="B594" s="1" t="n">
        <v>45960.71332175926</v>
      </c>
      <c r="C594" s="1" t="n">
        <v>46013</v>
      </c>
      <c r="D594" t="inlineStr">
        <is>
          <t>UPPSALA LÄN</t>
        </is>
      </c>
      <c r="E594" t="inlineStr">
        <is>
          <t>TIERP</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61827-2024</t>
        </is>
      </c>
      <c r="B595" s="1" t="n">
        <v>45649.6225</v>
      </c>
      <c r="C595" s="1" t="n">
        <v>46013</v>
      </c>
      <c r="D595" t="inlineStr">
        <is>
          <t>UPPSALA LÄN</t>
        </is>
      </c>
      <c r="E595" t="inlineStr">
        <is>
          <t>TIERP</t>
        </is>
      </c>
      <c r="G595" t="n">
        <v>2.5</v>
      </c>
      <c r="H595" t="n">
        <v>0</v>
      </c>
      <c r="I595" t="n">
        <v>0</v>
      </c>
      <c r="J595" t="n">
        <v>0</v>
      </c>
      <c r="K595" t="n">
        <v>0</v>
      </c>
      <c r="L595" t="n">
        <v>0</v>
      </c>
      <c r="M595" t="n">
        <v>0</v>
      </c>
      <c r="N595" t="n">
        <v>0</v>
      </c>
      <c r="O595" t="n">
        <v>0</v>
      </c>
      <c r="P595" t="n">
        <v>0</v>
      </c>
      <c r="Q595" t="n">
        <v>0</v>
      </c>
      <c r="R595" s="2" t="inlineStr"/>
    </row>
    <row r="596" ht="15" customHeight="1">
      <c r="A596" t="inlineStr">
        <is>
          <t>A 53764-2025</t>
        </is>
      </c>
      <c r="B596" s="1" t="n">
        <v>45960.67751157407</v>
      </c>
      <c r="C596" s="1" t="n">
        <v>46013</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61674-2025</t>
        </is>
      </c>
      <c r="B597" s="1" t="n">
        <v>46002.48126157407</v>
      </c>
      <c r="C597" s="1" t="n">
        <v>46013</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53516-2025</t>
        </is>
      </c>
      <c r="B598" s="1" t="n">
        <v>45960.34961805555</v>
      </c>
      <c r="C598" s="1" t="n">
        <v>46013</v>
      </c>
      <c r="D598" t="inlineStr">
        <is>
          <t>UPPSALA LÄN</t>
        </is>
      </c>
      <c r="E598" t="inlineStr">
        <is>
          <t>TIERP</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16516-2025</t>
        </is>
      </c>
      <c r="B599" s="1" t="n">
        <v>45751.63172453704</v>
      </c>
      <c r="C599" s="1" t="n">
        <v>46013</v>
      </c>
      <c r="D599" t="inlineStr">
        <is>
          <t>UPPSALA LÄN</t>
        </is>
      </c>
      <c r="E599" t="inlineStr">
        <is>
          <t>TIERP</t>
        </is>
      </c>
      <c r="G599" t="n">
        <v>3.7</v>
      </c>
      <c r="H599" t="n">
        <v>0</v>
      </c>
      <c r="I599" t="n">
        <v>0</v>
      </c>
      <c r="J599" t="n">
        <v>0</v>
      </c>
      <c r="K599" t="n">
        <v>0</v>
      </c>
      <c r="L599" t="n">
        <v>0</v>
      </c>
      <c r="M599" t="n">
        <v>0</v>
      </c>
      <c r="N599" t="n">
        <v>0</v>
      </c>
      <c r="O599" t="n">
        <v>0</v>
      </c>
      <c r="P599" t="n">
        <v>0</v>
      </c>
      <c r="Q599" t="n">
        <v>0</v>
      </c>
      <c r="R599" s="2" t="inlineStr"/>
    </row>
    <row r="600" ht="15" customHeight="1">
      <c r="A600" t="inlineStr">
        <is>
          <t>A 53483-2025</t>
        </is>
      </c>
      <c r="B600" s="1" t="n">
        <v>45959.83425925926</v>
      </c>
      <c r="C600" s="1" t="n">
        <v>46013</v>
      </c>
      <c r="D600" t="inlineStr">
        <is>
          <t>UPPSALA LÄN</t>
        </is>
      </c>
      <c r="E600" t="inlineStr">
        <is>
          <t>TIERP</t>
        </is>
      </c>
      <c r="G600" t="n">
        <v>6.7</v>
      </c>
      <c r="H600" t="n">
        <v>0</v>
      </c>
      <c r="I600" t="n">
        <v>0</v>
      </c>
      <c r="J600" t="n">
        <v>0</v>
      </c>
      <c r="K600" t="n">
        <v>0</v>
      </c>
      <c r="L600" t="n">
        <v>0</v>
      </c>
      <c r="M600" t="n">
        <v>0</v>
      </c>
      <c r="N600" t="n">
        <v>0</v>
      </c>
      <c r="O600" t="n">
        <v>0</v>
      </c>
      <c r="P600" t="n">
        <v>0</v>
      </c>
      <c r="Q600" t="n">
        <v>0</v>
      </c>
      <c r="R600" s="2" t="inlineStr"/>
    </row>
    <row r="601" ht="15" customHeight="1">
      <c r="A601" t="inlineStr">
        <is>
          <t>A 53798-2025</t>
        </is>
      </c>
      <c r="B601" s="1" t="n">
        <v>45960.76657407408</v>
      </c>
      <c r="C601" s="1" t="n">
        <v>46013</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17575-2025</t>
        </is>
      </c>
      <c r="B602" s="1" t="n">
        <v>45757.65234953703</v>
      </c>
      <c r="C602" s="1" t="n">
        <v>46013</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61846-2025</t>
        </is>
      </c>
      <c r="B603" s="1" t="n">
        <v>46003.37525462963</v>
      </c>
      <c r="C603" s="1" t="n">
        <v>46013</v>
      </c>
      <c r="D603" t="inlineStr">
        <is>
          <t>UPPSALA LÄN</t>
        </is>
      </c>
      <c r="E603" t="inlineStr">
        <is>
          <t>TIERP</t>
        </is>
      </c>
      <c r="F603" t="inlineStr">
        <is>
          <t>Bergvik skog öst AB</t>
        </is>
      </c>
      <c r="G603" t="n">
        <v>3.8</v>
      </c>
      <c r="H603" t="n">
        <v>0</v>
      </c>
      <c r="I603" t="n">
        <v>0</v>
      </c>
      <c r="J603" t="n">
        <v>0</v>
      </c>
      <c r="K603" t="n">
        <v>0</v>
      </c>
      <c r="L603" t="n">
        <v>0</v>
      </c>
      <c r="M603" t="n">
        <v>0</v>
      </c>
      <c r="N603" t="n">
        <v>0</v>
      </c>
      <c r="O603" t="n">
        <v>0</v>
      </c>
      <c r="P603" t="n">
        <v>0</v>
      </c>
      <c r="Q603" t="n">
        <v>0</v>
      </c>
      <c r="R603" s="2" t="inlineStr"/>
    </row>
    <row r="604" ht="15" customHeight="1">
      <c r="A604" t="inlineStr">
        <is>
          <t>A 18110-2025</t>
        </is>
      </c>
      <c r="B604" s="1" t="n">
        <v>45761.56990740741</v>
      </c>
      <c r="C604" s="1" t="n">
        <v>46013</v>
      </c>
      <c r="D604" t="inlineStr">
        <is>
          <t>UPPSALA LÄN</t>
        </is>
      </c>
      <c r="E604" t="inlineStr">
        <is>
          <t>TIERP</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7370-2023</t>
        </is>
      </c>
      <c r="B605" s="1" t="n">
        <v>44971</v>
      </c>
      <c r="C605" s="1" t="n">
        <v>46013</v>
      </c>
      <c r="D605" t="inlineStr">
        <is>
          <t>UPPSALA LÄN</t>
        </is>
      </c>
      <c r="E605" t="inlineStr">
        <is>
          <t>TIERP</t>
        </is>
      </c>
      <c r="G605" t="n">
        <v>2</v>
      </c>
      <c r="H605" t="n">
        <v>0</v>
      </c>
      <c r="I605" t="n">
        <v>0</v>
      </c>
      <c r="J605" t="n">
        <v>0</v>
      </c>
      <c r="K605" t="n">
        <v>0</v>
      </c>
      <c r="L605" t="n">
        <v>0</v>
      </c>
      <c r="M605" t="n">
        <v>0</v>
      </c>
      <c r="N605" t="n">
        <v>0</v>
      </c>
      <c r="O605" t="n">
        <v>0</v>
      </c>
      <c r="P605" t="n">
        <v>0</v>
      </c>
      <c r="Q605" t="n">
        <v>0</v>
      </c>
      <c r="R605" s="2" t="inlineStr"/>
    </row>
    <row r="606" ht="15" customHeight="1">
      <c r="A606" t="inlineStr">
        <is>
          <t>A 61928-2025</t>
        </is>
      </c>
      <c r="B606" s="1" t="n">
        <v>46003.52034722222</v>
      </c>
      <c r="C606" s="1" t="n">
        <v>46013</v>
      </c>
      <c r="D606" t="inlineStr">
        <is>
          <t>UPPSALA LÄN</t>
        </is>
      </c>
      <c r="E606" t="inlineStr">
        <is>
          <t>TIERP</t>
        </is>
      </c>
      <c r="F606" t="inlineStr">
        <is>
          <t>Övriga Aktiebolag</t>
        </is>
      </c>
      <c r="G606" t="n">
        <v>9.1</v>
      </c>
      <c r="H606" t="n">
        <v>0</v>
      </c>
      <c r="I606" t="n">
        <v>0</v>
      </c>
      <c r="J606" t="n">
        <v>0</v>
      </c>
      <c r="K606" t="n">
        <v>0</v>
      </c>
      <c r="L606" t="n">
        <v>0</v>
      </c>
      <c r="M606" t="n">
        <v>0</v>
      </c>
      <c r="N606" t="n">
        <v>0</v>
      </c>
      <c r="O606" t="n">
        <v>0</v>
      </c>
      <c r="P606" t="n">
        <v>0</v>
      </c>
      <c r="Q606" t="n">
        <v>0</v>
      </c>
      <c r="R606" s="2" t="inlineStr"/>
    </row>
    <row r="607" ht="15" customHeight="1">
      <c r="A607" t="inlineStr">
        <is>
          <t>A 53795-2025</t>
        </is>
      </c>
      <c r="B607" s="1" t="n">
        <v>45960.75167824074</v>
      </c>
      <c r="C607" s="1" t="n">
        <v>46013</v>
      </c>
      <c r="D607" t="inlineStr">
        <is>
          <t>UPPSALA LÄN</t>
        </is>
      </c>
      <c r="E607" t="inlineStr">
        <is>
          <t>TIERP</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53856-2025</t>
        </is>
      </c>
      <c r="B608" s="1" t="n">
        <v>45961.37568287037</v>
      </c>
      <c r="C608" s="1" t="n">
        <v>46013</v>
      </c>
      <c r="D608" t="inlineStr">
        <is>
          <t>UPPSALA LÄN</t>
        </is>
      </c>
      <c r="E608" t="inlineStr">
        <is>
          <t>TIERP</t>
        </is>
      </c>
      <c r="G608" t="n">
        <v>2.3</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46013</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61825-2025</t>
        </is>
      </c>
      <c r="B610" s="1" t="n">
        <v>46003.33967592593</v>
      </c>
      <c r="C610" s="1" t="n">
        <v>46013</v>
      </c>
      <c r="D610" t="inlineStr">
        <is>
          <t>UPPSALA LÄN</t>
        </is>
      </c>
      <c r="E610" t="inlineStr">
        <is>
          <t>TIERP</t>
        </is>
      </c>
      <c r="F610" t="inlineStr">
        <is>
          <t>Bergvik skog öst AB</t>
        </is>
      </c>
      <c r="G610" t="n">
        <v>7.6</v>
      </c>
      <c r="H610" t="n">
        <v>0</v>
      </c>
      <c r="I610" t="n">
        <v>0</v>
      </c>
      <c r="J610" t="n">
        <v>0</v>
      </c>
      <c r="K610" t="n">
        <v>0</v>
      </c>
      <c r="L610" t="n">
        <v>0</v>
      </c>
      <c r="M610" t="n">
        <v>0</v>
      </c>
      <c r="N610" t="n">
        <v>0</v>
      </c>
      <c r="O610" t="n">
        <v>0</v>
      </c>
      <c r="P610" t="n">
        <v>0</v>
      </c>
      <c r="Q610" t="n">
        <v>0</v>
      </c>
      <c r="R610" s="2" t="inlineStr"/>
    </row>
    <row r="611" ht="15" customHeight="1">
      <c r="A611" t="inlineStr">
        <is>
          <t>A 54550-2025</t>
        </is>
      </c>
      <c r="B611" s="1" t="n">
        <v>45965.6553125</v>
      </c>
      <c r="C611" s="1" t="n">
        <v>46013</v>
      </c>
      <c r="D611" t="inlineStr">
        <is>
          <t>UPPSALA LÄN</t>
        </is>
      </c>
      <c r="E611" t="inlineStr">
        <is>
          <t>TIERP</t>
        </is>
      </c>
      <c r="F611" t="inlineStr">
        <is>
          <t>Bergvik skog väst AB</t>
        </is>
      </c>
      <c r="G611" t="n">
        <v>5.7</v>
      </c>
      <c r="H611" t="n">
        <v>0</v>
      </c>
      <c r="I611" t="n">
        <v>0</v>
      </c>
      <c r="J611" t="n">
        <v>0</v>
      </c>
      <c r="K611" t="n">
        <v>0</v>
      </c>
      <c r="L611" t="n">
        <v>0</v>
      </c>
      <c r="M611" t="n">
        <v>0</v>
      </c>
      <c r="N611" t="n">
        <v>0</v>
      </c>
      <c r="O611" t="n">
        <v>0</v>
      </c>
      <c r="P611" t="n">
        <v>0</v>
      </c>
      <c r="Q611" t="n">
        <v>0</v>
      </c>
      <c r="R611" s="2" t="inlineStr"/>
    </row>
    <row r="612" ht="15" customHeight="1">
      <c r="A612" t="inlineStr">
        <is>
          <t>A 54626-2025</t>
        </is>
      </c>
      <c r="B612" s="1" t="n">
        <v>45966.34560185186</v>
      </c>
      <c r="C612" s="1" t="n">
        <v>46013</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43640-2024</t>
        </is>
      </c>
      <c r="B613" s="1" t="n">
        <v>45569</v>
      </c>
      <c r="C613" s="1" t="n">
        <v>46013</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54458-2025</t>
        </is>
      </c>
      <c r="B614" s="1" t="n">
        <v>45965.55327546296</v>
      </c>
      <c r="C614" s="1" t="n">
        <v>46013</v>
      </c>
      <c r="D614" t="inlineStr">
        <is>
          <t>UPPSALA LÄN</t>
        </is>
      </c>
      <c r="E614" t="inlineStr">
        <is>
          <t>TIERP</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25408-2023</t>
        </is>
      </c>
      <c r="B615" s="1" t="n">
        <v>45080</v>
      </c>
      <c r="C615" s="1" t="n">
        <v>46013</v>
      </c>
      <c r="D615" t="inlineStr">
        <is>
          <t>UPPSALA LÄN</t>
        </is>
      </c>
      <c r="E615" t="inlineStr">
        <is>
          <t>TIERP</t>
        </is>
      </c>
      <c r="G615" t="n">
        <v>0.9</v>
      </c>
      <c r="H615" t="n">
        <v>0</v>
      </c>
      <c r="I615" t="n">
        <v>0</v>
      </c>
      <c r="J615" t="n">
        <v>0</v>
      </c>
      <c r="K615" t="n">
        <v>0</v>
      </c>
      <c r="L615" t="n">
        <v>0</v>
      </c>
      <c r="M615" t="n">
        <v>0</v>
      </c>
      <c r="N615" t="n">
        <v>0</v>
      </c>
      <c r="O615" t="n">
        <v>0</v>
      </c>
      <c r="P615" t="n">
        <v>0</v>
      </c>
      <c r="Q615" t="n">
        <v>0</v>
      </c>
      <c r="R615" s="2" t="inlineStr"/>
    </row>
    <row r="616" ht="15" customHeight="1">
      <c r="A616" t="inlineStr">
        <is>
          <t>A 13066-2024</t>
        </is>
      </c>
      <c r="B616" s="1" t="n">
        <v>45385.63880787037</v>
      </c>
      <c r="C616" s="1" t="n">
        <v>46013</v>
      </c>
      <c r="D616" t="inlineStr">
        <is>
          <t>UPPSALA LÄN</t>
        </is>
      </c>
      <c r="E616" t="inlineStr">
        <is>
          <t>TIERP</t>
        </is>
      </c>
      <c r="F616" t="inlineStr">
        <is>
          <t>Bergvik skog öst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6364-2023</t>
        </is>
      </c>
      <c r="B617" s="1" t="n">
        <v>44965.60422453703</v>
      </c>
      <c r="C617" s="1" t="n">
        <v>46013</v>
      </c>
      <c r="D617" t="inlineStr">
        <is>
          <t>UPPSALA LÄN</t>
        </is>
      </c>
      <c r="E617" t="inlineStr">
        <is>
          <t>TIERP</t>
        </is>
      </c>
      <c r="G617" t="n">
        <v>2.2</v>
      </c>
      <c r="H617" t="n">
        <v>0</v>
      </c>
      <c r="I617" t="n">
        <v>0</v>
      </c>
      <c r="J617" t="n">
        <v>0</v>
      </c>
      <c r="K617" t="n">
        <v>0</v>
      </c>
      <c r="L617" t="n">
        <v>0</v>
      </c>
      <c r="M617" t="n">
        <v>0</v>
      </c>
      <c r="N617" t="n">
        <v>0</v>
      </c>
      <c r="O617" t="n">
        <v>0</v>
      </c>
      <c r="P617" t="n">
        <v>0</v>
      </c>
      <c r="Q617" t="n">
        <v>0</v>
      </c>
      <c r="R617" s="2" t="inlineStr"/>
    </row>
    <row r="618" ht="15" customHeight="1">
      <c r="A618" t="inlineStr">
        <is>
          <t>A 53991-2025</t>
        </is>
      </c>
      <c r="B618" s="1" t="n">
        <v>45961.5821412037</v>
      </c>
      <c r="C618" s="1" t="n">
        <v>46013</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54634-2025</t>
        </is>
      </c>
      <c r="B619" s="1" t="n">
        <v>45966.35315972222</v>
      </c>
      <c r="C619" s="1" t="n">
        <v>46013</v>
      </c>
      <c r="D619" t="inlineStr">
        <is>
          <t>UPPSALA LÄN</t>
        </is>
      </c>
      <c r="E619" t="inlineStr">
        <is>
          <t>TIERP</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62537-2025</t>
        </is>
      </c>
      <c r="B620" s="1" t="n">
        <v>46007.64109953704</v>
      </c>
      <c r="C620" s="1" t="n">
        <v>46013</v>
      </c>
      <c r="D620" t="inlineStr">
        <is>
          <t>UPPSALA LÄN</t>
        </is>
      </c>
      <c r="E620" t="inlineStr">
        <is>
          <t>TIERP</t>
        </is>
      </c>
      <c r="F620" t="inlineStr">
        <is>
          <t>Bergvik skog öst AB</t>
        </is>
      </c>
      <c r="G620" t="n">
        <v>10</v>
      </c>
      <c r="H620" t="n">
        <v>0</v>
      </c>
      <c r="I620" t="n">
        <v>0</v>
      </c>
      <c r="J620" t="n">
        <v>0</v>
      </c>
      <c r="K620" t="n">
        <v>0</v>
      </c>
      <c r="L620" t="n">
        <v>0</v>
      </c>
      <c r="M620" t="n">
        <v>0</v>
      </c>
      <c r="N620" t="n">
        <v>0</v>
      </c>
      <c r="O620" t="n">
        <v>0</v>
      </c>
      <c r="P620" t="n">
        <v>0</v>
      </c>
      <c r="Q620" t="n">
        <v>0</v>
      </c>
      <c r="R620" s="2" t="inlineStr"/>
    </row>
    <row r="621" ht="15" customHeight="1">
      <c r="A621" t="inlineStr">
        <is>
          <t>A 54712-2025</t>
        </is>
      </c>
      <c r="B621" s="1" t="n">
        <v>45966.50311342593</v>
      </c>
      <c r="C621" s="1" t="n">
        <v>46013</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62484-2025</t>
        </is>
      </c>
      <c r="B622" s="1" t="n">
        <v>46007.56385416666</v>
      </c>
      <c r="C622" s="1" t="n">
        <v>46013</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62872-2025</t>
        </is>
      </c>
      <c r="B623" s="1" t="n">
        <v>46008.84649305556</v>
      </c>
      <c r="C623" s="1" t="n">
        <v>46013</v>
      </c>
      <c r="D623" t="inlineStr">
        <is>
          <t>UPPSALA LÄN</t>
        </is>
      </c>
      <c r="E623" t="inlineStr">
        <is>
          <t>TIERP</t>
        </is>
      </c>
      <c r="G623" t="n">
        <v>2.7</v>
      </c>
      <c r="H623" t="n">
        <v>0</v>
      </c>
      <c r="I623" t="n">
        <v>0</v>
      </c>
      <c r="J623" t="n">
        <v>0</v>
      </c>
      <c r="K623" t="n">
        <v>0</v>
      </c>
      <c r="L623" t="n">
        <v>0</v>
      </c>
      <c r="M623" t="n">
        <v>0</v>
      </c>
      <c r="N623" t="n">
        <v>0</v>
      </c>
      <c r="O623" t="n">
        <v>0</v>
      </c>
      <c r="P623" t="n">
        <v>0</v>
      </c>
      <c r="Q623" t="n">
        <v>0</v>
      </c>
      <c r="R623" s="2" t="inlineStr"/>
    </row>
    <row r="624" ht="15" customHeight="1">
      <c r="A624" t="inlineStr">
        <is>
          <t>A 54615-2025</t>
        </is>
      </c>
      <c r="B624" s="1" t="n">
        <v>45966.34025462963</v>
      </c>
      <c r="C624" s="1" t="n">
        <v>46013</v>
      </c>
      <c r="D624" t="inlineStr">
        <is>
          <t>UPPSALA LÄN</t>
        </is>
      </c>
      <c r="E624" t="inlineStr">
        <is>
          <t>TIERP</t>
        </is>
      </c>
      <c r="F624" t="inlineStr">
        <is>
          <t>Bergvik skog väst AB</t>
        </is>
      </c>
      <c r="G624" t="n">
        <v>8.5</v>
      </c>
      <c r="H624" t="n">
        <v>0</v>
      </c>
      <c r="I624" t="n">
        <v>0</v>
      </c>
      <c r="J624" t="n">
        <v>0</v>
      </c>
      <c r="K624" t="n">
        <v>0</v>
      </c>
      <c r="L624" t="n">
        <v>0</v>
      </c>
      <c r="M624" t="n">
        <v>0</v>
      </c>
      <c r="N624" t="n">
        <v>0</v>
      </c>
      <c r="O624" t="n">
        <v>0</v>
      </c>
      <c r="P624" t="n">
        <v>0</v>
      </c>
      <c r="Q624" t="n">
        <v>0</v>
      </c>
      <c r="R624" s="2" t="inlineStr"/>
    </row>
    <row r="625" ht="15" customHeight="1">
      <c r="A625" t="inlineStr">
        <is>
          <t>A 62615-2025</t>
        </is>
      </c>
      <c r="B625" s="1" t="n">
        <v>46008.32130787037</v>
      </c>
      <c r="C625" s="1" t="n">
        <v>46013</v>
      </c>
      <c r="D625" t="inlineStr">
        <is>
          <t>UPPSALA LÄN</t>
        </is>
      </c>
      <c r="E625" t="inlineStr">
        <is>
          <t>TIERP</t>
        </is>
      </c>
      <c r="F625" t="inlineStr">
        <is>
          <t>Bergvik skog öst AB</t>
        </is>
      </c>
      <c r="G625" t="n">
        <v>2.9</v>
      </c>
      <c r="H625" t="n">
        <v>0</v>
      </c>
      <c r="I625" t="n">
        <v>0</v>
      </c>
      <c r="J625" t="n">
        <v>0</v>
      </c>
      <c r="K625" t="n">
        <v>0</v>
      </c>
      <c r="L625" t="n">
        <v>0</v>
      </c>
      <c r="M625" t="n">
        <v>0</v>
      </c>
      <c r="N625" t="n">
        <v>0</v>
      </c>
      <c r="O625" t="n">
        <v>0</v>
      </c>
      <c r="P625" t="n">
        <v>0</v>
      </c>
      <c r="Q625" t="n">
        <v>0</v>
      </c>
      <c r="R625" s="2" t="inlineStr"/>
    </row>
    <row r="626" ht="15" customHeight="1">
      <c r="A626" t="inlineStr">
        <is>
          <t>A 54482-2025</t>
        </is>
      </c>
      <c r="B626" s="1" t="n">
        <v>45965.58917824074</v>
      </c>
      <c r="C626" s="1" t="n">
        <v>46013</v>
      </c>
      <c r="D626" t="inlineStr">
        <is>
          <t>UPPSALA LÄN</t>
        </is>
      </c>
      <c r="E626" t="inlineStr">
        <is>
          <t>TIERP</t>
        </is>
      </c>
      <c r="F626" t="inlineStr">
        <is>
          <t>Bergvik skog öst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62855-2025</t>
        </is>
      </c>
      <c r="B627" s="1" t="n">
        <v>46008.7384375</v>
      </c>
      <c r="C627" s="1" t="n">
        <v>46013</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62874-2025</t>
        </is>
      </c>
      <c r="B628" s="1" t="n">
        <v>46008.85138888889</v>
      </c>
      <c r="C628" s="1" t="n">
        <v>46013</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57944-2025</t>
        </is>
      </c>
      <c r="B629" s="1" t="n">
        <v>45982.32059027778</v>
      </c>
      <c r="C629" s="1" t="n">
        <v>46013</v>
      </c>
      <c r="D629" t="inlineStr">
        <is>
          <t>UPPSALA LÄN</t>
        </is>
      </c>
      <c r="E629" t="inlineStr">
        <is>
          <t>TIERP</t>
        </is>
      </c>
      <c r="F629" t="inlineStr">
        <is>
          <t>Övriga Aktiebolag</t>
        </is>
      </c>
      <c r="G629" t="n">
        <v>6.2</v>
      </c>
      <c r="H629" t="n">
        <v>0</v>
      </c>
      <c r="I629" t="n">
        <v>0</v>
      </c>
      <c r="J629" t="n">
        <v>0</v>
      </c>
      <c r="K629" t="n">
        <v>0</v>
      </c>
      <c r="L629" t="n">
        <v>0</v>
      </c>
      <c r="M629" t="n">
        <v>0</v>
      </c>
      <c r="N629" t="n">
        <v>0</v>
      </c>
      <c r="O629" t="n">
        <v>0</v>
      </c>
      <c r="P629" t="n">
        <v>0</v>
      </c>
      <c r="Q629" t="n">
        <v>0</v>
      </c>
      <c r="R629" s="2" t="inlineStr"/>
    </row>
    <row r="630" ht="15" customHeight="1">
      <c r="A630" t="inlineStr">
        <is>
          <t>A 62624-2025</t>
        </is>
      </c>
      <c r="B630" s="1" t="n">
        <v>46008.34482638889</v>
      </c>
      <c r="C630" s="1" t="n">
        <v>46013</v>
      </c>
      <c r="D630" t="inlineStr">
        <is>
          <t>UPPSALA LÄN</t>
        </is>
      </c>
      <c r="E630" t="inlineStr">
        <is>
          <t>TIERP</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54534-2025</t>
        </is>
      </c>
      <c r="B631" s="1" t="n">
        <v>45965.63770833334</v>
      </c>
      <c r="C631" s="1" t="n">
        <v>46013</v>
      </c>
      <c r="D631" t="inlineStr">
        <is>
          <t>UPPSALA LÄN</t>
        </is>
      </c>
      <c r="E631" t="inlineStr">
        <is>
          <t>TIERP</t>
        </is>
      </c>
      <c r="F631" t="inlineStr">
        <is>
          <t>Bergvik skog väst AB</t>
        </is>
      </c>
      <c r="G631" t="n">
        <v>7.7</v>
      </c>
      <c r="H631" t="n">
        <v>0</v>
      </c>
      <c r="I631" t="n">
        <v>0</v>
      </c>
      <c r="J631" t="n">
        <v>0</v>
      </c>
      <c r="K631" t="n">
        <v>0</v>
      </c>
      <c r="L631" t="n">
        <v>0</v>
      </c>
      <c r="M631" t="n">
        <v>0</v>
      </c>
      <c r="N631" t="n">
        <v>0</v>
      </c>
      <c r="O631" t="n">
        <v>0</v>
      </c>
      <c r="P631" t="n">
        <v>0</v>
      </c>
      <c r="Q631" t="n">
        <v>0</v>
      </c>
      <c r="R631" s="2" t="inlineStr"/>
    </row>
    <row r="632" ht="15" customHeight="1">
      <c r="A632" t="inlineStr">
        <is>
          <t>A 59961-2023</t>
        </is>
      </c>
      <c r="B632" s="1" t="n">
        <v>45257</v>
      </c>
      <c r="C632" s="1" t="n">
        <v>46013</v>
      </c>
      <c r="D632" t="inlineStr">
        <is>
          <t>UPPSALA LÄN</t>
        </is>
      </c>
      <c r="E632" t="inlineStr">
        <is>
          <t>TIERP</t>
        </is>
      </c>
      <c r="G632" t="n">
        <v>2.7</v>
      </c>
      <c r="H632" t="n">
        <v>0</v>
      </c>
      <c r="I632" t="n">
        <v>0</v>
      </c>
      <c r="J632" t="n">
        <v>0</v>
      </c>
      <c r="K632" t="n">
        <v>0</v>
      </c>
      <c r="L632" t="n">
        <v>0</v>
      </c>
      <c r="M632" t="n">
        <v>0</v>
      </c>
      <c r="N632" t="n">
        <v>0</v>
      </c>
      <c r="O632" t="n">
        <v>0</v>
      </c>
      <c r="P632" t="n">
        <v>0</v>
      </c>
      <c r="Q632" t="n">
        <v>0</v>
      </c>
      <c r="R632" s="2" t="inlineStr"/>
    </row>
    <row r="633" ht="15" customHeight="1">
      <c r="A633" t="inlineStr">
        <is>
          <t>A 54553-2025</t>
        </is>
      </c>
      <c r="B633" s="1" t="n">
        <v>45965.65832175926</v>
      </c>
      <c r="C633" s="1" t="n">
        <v>46013</v>
      </c>
      <c r="D633" t="inlineStr">
        <is>
          <t>UPPSALA LÄN</t>
        </is>
      </c>
      <c r="E633" t="inlineStr">
        <is>
          <t>TIERP</t>
        </is>
      </c>
      <c r="F633" t="inlineStr">
        <is>
          <t>Bergvik skog väst AB</t>
        </is>
      </c>
      <c r="G633" t="n">
        <v>1.2</v>
      </c>
      <c r="H633" t="n">
        <v>0</v>
      </c>
      <c r="I633" t="n">
        <v>0</v>
      </c>
      <c r="J633" t="n">
        <v>0</v>
      </c>
      <c r="K633" t="n">
        <v>0</v>
      </c>
      <c r="L633" t="n">
        <v>0</v>
      </c>
      <c r="M633" t="n">
        <v>0</v>
      </c>
      <c r="N633" t="n">
        <v>0</v>
      </c>
      <c r="O633" t="n">
        <v>0</v>
      </c>
      <c r="P633" t="n">
        <v>0</v>
      </c>
      <c r="Q633" t="n">
        <v>0</v>
      </c>
      <c r="R633" s="2" t="inlineStr"/>
    </row>
    <row r="634" ht="15" customHeight="1">
      <c r="A634" t="inlineStr">
        <is>
          <t>A 59350-2021</t>
        </is>
      </c>
      <c r="B634" s="1" t="n">
        <v>44491.3346875</v>
      </c>
      <c r="C634" s="1" t="n">
        <v>46013</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6048-2023</t>
        </is>
      </c>
      <c r="B635" s="1" t="n">
        <v>44964</v>
      </c>
      <c r="C635" s="1" t="n">
        <v>46013</v>
      </c>
      <c r="D635" t="inlineStr">
        <is>
          <t>UPPSALA LÄN</t>
        </is>
      </c>
      <c r="E635" t="inlineStr">
        <is>
          <t>TIERP</t>
        </is>
      </c>
      <c r="F635" t="inlineStr">
        <is>
          <t>Bergvik skog öst AB</t>
        </is>
      </c>
      <c r="G635" t="n">
        <v>4.4</v>
      </c>
      <c r="H635" t="n">
        <v>0</v>
      </c>
      <c r="I635" t="n">
        <v>0</v>
      </c>
      <c r="J635" t="n">
        <v>0</v>
      </c>
      <c r="K635" t="n">
        <v>0</v>
      </c>
      <c r="L635" t="n">
        <v>0</v>
      </c>
      <c r="M635" t="n">
        <v>0</v>
      </c>
      <c r="N635" t="n">
        <v>0</v>
      </c>
      <c r="O635" t="n">
        <v>0</v>
      </c>
      <c r="P635" t="n">
        <v>0</v>
      </c>
      <c r="Q635" t="n">
        <v>0</v>
      </c>
      <c r="R635" s="2" t="inlineStr"/>
    </row>
    <row r="636" ht="15" customHeight="1">
      <c r="A636" t="inlineStr">
        <is>
          <t>A 6075-2023</t>
        </is>
      </c>
      <c r="B636" s="1" t="n">
        <v>44964.52627314815</v>
      </c>
      <c r="C636" s="1" t="n">
        <v>46013</v>
      </c>
      <c r="D636" t="inlineStr">
        <is>
          <t>UPPSALA LÄN</t>
        </is>
      </c>
      <c r="E636" t="inlineStr">
        <is>
          <t>TIERP</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32665-2023</t>
        </is>
      </c>
      <c r="B637" s="1" t="n">
        <v>45121.63271990741</v>
      </c>
      <c r="C637" s="1" t="n">
        <v>46013</v>
      </c>
      <c r="D637" t="inlineStr">
        <is>
          <t>UPPSALA LÄN</t>
        </is>
      </c>
      <c r="E637" t="inlineStr">
        <is>
          <t>TIERP</t>
        </is>
      </c>
      <c r="G637" t="n">
        <v>1.3</v>
      </c>
      <c r="H637" t="n">
        <v>0</v>
      </c>
      <c r="I637" t="n">
        <v>0</v>
      </c>
      <c r="J637" t="n">
        <v>0</v>
      </c>
      <c r="K637" t="n">
        <v>0</v>
      </c>
      <c r="L637" t="n">
        <v>0</v>
      </c>
      <c r="M637" t="n">
        <v>0</v>
      </c>
      <c r="N637" t="n">
        <v>0</v>
      </c>
      <c r="O637" t="n">
        <v>0</v>
      </c>
      <c r="P637" t="n">
        <v>0</v>
      </c>
      <c r="Q637" t="n">
        <v>0</v>
      </c>
      <c r="R637" s="2" t="inlineStr"/>
    </row>
    <row r="638" ht="15" customHeight="1">
      <c r="A638" t="inlineStr">
        <is>
          <t>A 59573-2025</t>
        </is>
      </c>
      <c r="B638" s="1" t="n">
        <v>45992.29383101852</v>
      </c>
      <c r="C638" s="1" t="n">
        <v>46013</v>
      </c>
      <c r="D638" t="inlineStr">
        <is>
          <t>UPPSALA LÄN</t>
        </is>
      </c>
      <c r="E638" t="inlineStr">
        <is>
          <t>TIERP</t>
        </is>
      </c>
      <c r="F638" t="inlineStr">
        <is>
          <t>Bergvik skog öst AB</t>
        </is>
      </c>
      <c r="G638" t="n">
        <v>0.2</v>
      </c>
      <c r="H638" t="n">
        <v>0</v>
      </c>
      <c r="I638" t="n">
        <v>0</v>
      </c>
      <c r="J638" t="n">
        <v>0</v>
      </c>
      <c r="K638" t="n">
        <v>0</v>
      </c>
      <c r="L638" t="n">
        <v>0</v>
      </c>
      <c r="M638" t="n">
        <v>0</v>
      </c>
      <c r="N638" t="n">
        <v>0</v>
      </c>
      <c r="O638" t="n">
        <v>0</v>
      </c>
      <c r="P638" t="n">
        <v>0</v>
      </c>
      <c r="Q638" t="n">
        <v>0</v>
      </c>
      <c r="R638" s="2" t="inlineStr"/>
    </row>
    <row r="639" ht="15" customHeight="1">
      <c r="A639" t="inlineStr">
        <is>
          <t>A 63348-2025</t>
        </is>
      </c>
      <c r="B639" s="1" t="n">
        <v>46010.66298611111</v>
      </c>
      <c r="C639" s="1" t="n">
        <v>46013</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19380-2025</t>
        </is>
      </c>
      <c r="B640" s="1" t="n">
        <v>45769.65503472222</v>
      </c>
      <c r="C640" s="1" t="n">
        <v>46013</v>
      </c>
      <c r="D640" t="inlineStr">
        <is>
          <t>UPPSALA LÄN</t>
        </is>
      </c>
      <c r="E640" t="inlineStr">
        <is>
          <t>TIERP</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63259-2025</t>
        </is>
      </c>
      <c r="B641" s="1" t="n">
        <v>46010.55642361111</v>
      </c>
      <c r="C641" s="1" t="n">
        <v>46013</v>
      </c>
      <c r="D641" t="inlineStr">
        <is>
          <t>UPPSALA LÄN</t>
        </is>
      </c>
      <c r="E641" t="inlineStr">
        <is>
          <t>TIERP</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63262-2025</t>
        </is>
      </c>
      <c r="B642" s="1" t="n">
        <v>46010.55979166667</v>
      </c>
      <c r="C642" s="1" t="n">
        <v>46013</v>
      </c>
      <c r="D642" t="inlineStr">
        <is>
          <t>UPPSALA LÄN</t>
        </is>
      </c>
      <c r="E642" t="inlineStr">
        <is>
          <t>TIERP</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23759-2024</t>
        </is>
      </c>
      <c r="B643" s="1" t="n">
        <v>45455</v>
      </c>
      <c r="C643" s="1" t="n">
        <v>46013</v>
      </c>
      <c r="D643" t="inlineStr">
        <is>
          <t>UPPSALA LÄN</t>
        </is>
      </c>
      <c r="E643" t="inlineStr">
        <is>
          <t>TIERP</t>
        </is>
      </c>
      <c r="G643" t="n">
        <v>1.5</v>
      </c>
      <c r="H643" t="n">
        <v>0</v>
      </c>
      <c r="I643" t="n">
        <v>0</v>
      </c>
      <c r="J643" t="n">
        <v>0</v>
      </c>
      <c r="K643" t="n">
        <v>0</v>
      </c>
      <c r="L643" t="n">
        <v>0</v>
      </c>
      <c r="M643" t="n">
        <v>0</v>
      </c>
      <c r="N643" t="n">
        <v>0</v>
      </c>
      <c r="O643" t="n">
        <v>0</v>
      </c>
      <c r="P643" t="n">
        <v>0</v>
      </c>
      <c r="Q643" t="n">
        <v>0</v>
      </c>
      <c r="R643" s="2" t="inlineStr"/>
    </row>
    <row r="644" ht="15" customHeight="1">
      <c r="A644" t="inlineStr">
        <is>
          <t>A 63258-2025</t>
        </is>
      </c>
      <c r="B644" s="1" t="n">
        <v>46010.55542824074</v>
      </c>
      <c r="C644" s="1" t="n">
        <v>46013</v>
      </c>
      <c r="D644" t="inlineStr">
        <is>
          <t>UPPSALA LÄN</t>
        </is>
      </c>
      <c r="E644" t="inlineStr">
        <is>
          <t>TIERP</t>
        </is>
      </c>
      <c r="F644" t="inlineStr">
        <is>
          <t>Bergvik skog öst AB</t>
        </is>
      </c>
      <c r="G644" t="n">
        <v>2.7</v>
      </c>
      <c r="H644" t="n">
        <v>0</v>
      </c>
      <c r="I644" t="n">
        <v>0</v>
      </c>
      <c r="J644" t="n">
        <v>0</v>
      </c>
      <c r="K644" t="n">
        <v>0</v>
      </c>
      <c r="L644" t="n">
        <v>0</v>
      </c>
      <c r="M644" t="n">
        <v>0</v>
      </c>
      <c r="N644" t="n">
        <v>0</v>
      </c>
      <c r="O644" t="n">
        <v>0</v>
      </c>
      <c r="P644" t="n">
        <v>0</v>
      </c>
      <c r="Q644" t="n">
        <v>0</v>
      </c>
      <c r="R644" s="2" t="inlineStr"/>
    </row>
    <row r="645" ht="15" customHeight="1">
      <c r="A645" t="inlineStr">
        <is>
          <t>A 63261-2025</t>
        </is>
      </c>
      <c r="B645" s="1" t="n">
        <v>46010.55767361111</v>
      </c>
      <c r="C645" s="1" t="n">
        <v>46013</v>
      </c>
      <c r="D645" t="inlineStr">
        <is>
          <t>UPPSALA LÄN</t>
        </is>
      </c>
      <c r="E645" t="inlineStr">
        <is>
          <t>TIERP</t>
        </is>
      </c>
      <c r="F645" t="inlineStr">
        <is>
          <t>Bergvik skog öst AB</t>
        </is>
      </c>
      <c r="G645" t="n">
        <v>16.6</v>
      </c>
      <c r="H645" t="n">
        <v>0</v>
      </c>
      <c r="I645" t="n">
        <v>0</v>
      </c>
      <c r="J645" t="n">
        <v>0</v>
      </c>
      <c r="K645" t="n">
        <v>0</v>
      </c>
      <c r="L645" t="n">
        <v>0</v>
      </c>
      <c r="M645" t="n">
        <v>0</v>
      </c>
      <c r="N645" t="n">
        <v>0</v>
      </c>
      <c r="O645" t="n">
        <v>0</v>
      </c>
      <c r="P645" t="n">
        <v>0</v>
      </c>
      <c r="Q645" t="n">
        <v>0</v>
      </c>
      <c r="R645" s="2" t="inlineStr"/>
    </row>
    <row r="646" ht="15" customHeight="1">
      <c r="A646" t="inlineStr">
        <is>
          <t>A 63066-2025</t>
        </is>
      </c>
      <c r="B646" s="1" t="n">
        <v>46009.65630787037</v>
      </c>
      <c r="C646" s="1" t="n">
        <v>46013</v>
      </c>
      <c r="D646" t="inlineStr">
        <is>
          <t>UPPSALA LÄN</t>
        </is>
      </c>
      <c r="E646" t="inlineStr">
        <is>
          <t>TIERP</t>
        </is>
      </c>
      <c r="G646" t="n">
        <v>3</v>
      </c>
      <c r="H646" t="n">
        <v>0</v>
      </c>
      <c r="I646" t="n">
        <v>0</v>
      </c>
      <c r="J646" t="n">
        <v>0</v>
      </c>
      <c r="K646" t="n">
        <v>0</v>
      </c>
      <c r="L646" t="n">
        <v>0</v>
      </c>
      <c r="M646" t="n">
        <v>0</v>
      </c>
      <c r="N646" t="n">
        <v>0</v>
      </c>
      <c r="O646" t="n">
        <v>0</v>
      </c>
      <c r="P646" t="n">
        <v>0</v>
      </c>
      <c r="Q646" t="n">
        <v>0</v>
      </c>
      <c r="R646" s="2" t="inlineStr"/>
    </row>
    <row r="647" ht="15" customHeight="1">
      <c r="A647" t="inlineStr">
        <is>
          <t>A 63263-2025</t>
        </is>
      </c>
      <c r="B647" s="1" t="n">
        <v>46010.56049768518</v>
      </c>
      <c r="C647" s="1" t="n">
        <v>46013</v>
      </c>
      <c r="D647" t="inlineStr">
        <is>
          <t>UPPSALA LÄN</t>
        </is>
      </c>
      <c r="E647" t="inlineStr">
        <is>
          <t>TIERP</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63331-2025</t>
        </is>
      </c>
      <c r="B648" s="1" t="n">
        <v>46010.64234953704</v>
      </c>
      <c r="C648" s="1" t="n">
        <v>46013</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55130-2025</t>
        </is>
      </c>
      <c r="B649" s="1" t="n">
        <v>45968.41636574074</v>
      </c>
      <c r="C649" s="1" t="n">
        <v>46013</v>
      </c>
      <c r="D649" t="inlineStr">
        <is>
          <t>UPPSALA LÄN</t>
        </is>
      </c>
      <c r="E649" t="inlineStr">
        <is>
          <t>TIERP</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55143-2025</t>
        </is>
      </c>
      <c r="B650" s="1" t="n">
        <v>45968.4377662037</v>
      </c>
      <c r="C650" s="1" t="n">
        <v>46013</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4531-2023</t>
        </is>
      </c>
      <c r="B651" s="1" t="n">
        <v>44956.62740740741</v>
      </c>
      <c r="C651" s="1" t="n">
        <v>46013</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7352-2023</t>
        </is>
      </c>
      <c r="B652" s="1" t="n">
        <v>44966</v>
      </c>
      <c r="C652" s="1" t="n">
        <v>46013</v>
      </c>
      <c r="D652" t="inlineStr">
        <is>
          <t>UPPSALA LÄN</t>
        </is>
      </c>
      <c r="E652" t="inlineStr">
        <is>
          <t>TIERP</t>
        </is>
      </c>
      <c r="G652" t="n">
        <v>3.5</v>
      </c>
      <c r="H652" t="n">
        <v>0</v>
      </c>
      <c r="I652" t="n">
        <v>0</v>
      </c>
      <c r="J652" t="n">
        <v>0</v>
      </c>
      <c r="K652" t="n">
        <v>0</v>
      </c>
      <c r="L652" t="n">
        <v>0</v>
      </c>
      <c r="M652" t="n">
        <v>0</v>
      </c>
      <c r="N652" t="n">
        <v>0</v>
      </c>
      <c r="O652" t="n">
        <v>0</v>
      </c>
      <c r="P652" t="n">
        <v>0</v>
      </c>
      <c r="Q652" t="n">
        <v>0</v>
      </c>
      <c r="R652" s="2" t="inlineStr"/>
    </row>
    <row r="653" ht="15" customHeight="1">
      <c r="A653" t="inlineStr">
        <is>
          <t>A 11932-2021</t>
        </is>
      </c>
      <c r="B653" s="1" t="n">
        <v>44266.35443287037</v>
      </c>
      <c r="C653" s="1" t="n">
        <v>46013</v>
      </c>
      <c r="D653" t="inlineStr">
        <is>
          <t>UPPSALA LÄN</t>
        </is>
      </c>
      <c r="E653" t="inlineStr">
        <is>
          <t>TIERP</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6288-2023</t>
        </is>
      </c>
      <c r="B654" s="1" t="n">
        <v>44965.42444444444</v>
      </c>
      <c r="C654" s="1" t="n">
        <v>46013</v>
      </c>
      <c r="D654" t="inlineStr">
        <is>
          <t>UPPSALA LÄN</t>
        </is>
      </c>
      <c r="E654" t="inlineStr">
        <is>
          <t>TIERP</t>
        </is>
      </c>
      <c r="F654" t="inlineStr">
        <is>
          <t>Bergvik skog öst AB</t>
        </is>
      </c>
      <c r="G654" t="n">
        <v>5.4</v>
      </c>
      <c r="H654" t="n">
        <v>0</v>
      </c>
      <c r="I654" t="n">
        <v>0</v>
      </c>
      <c r="J654" t="n">
        <v>0</v>
      </c>
      <c r="K654" t="n">
        <v>0</v>
      </c>
      <c r="L654" t="n">
        <v>0</v>
      </c>
      <c r="M654" t="n">
        <v>0</v>
      </c>
      <c r="N654" t="n">
        <v>0</v>
      </c>
      <c r="O654" t="n">
        <v>0</v>
      </c>
      <c r="P654" t="n">
        <v>0</v>
      </c>
      <c r="Q654" t="n">
        <v>0</v>
      </c>
      <c r="R654" s="2" t="inlineStr"/>
    </row>
    <row r="655" ht="15" customHeight="1">
      <c r="A655" t="inlineStr">
        <is>
          <t>A 58772-2024</t>
        </is>
      </c>
      <c r="B655" s="1" t="n">
        <v>45635</v>
      </c>
      <c r="C655" s="1" t="n">
        <v>46013</v>
      </c>
      <c r="D655" t="inlineStr">
        <is>
          <t>UPPSALA LÄN</t>
        </is>
      </c>
      <c r="E655" t="inlineStr">
        <is>
          <t>TIERP</t>
        </is>
      </c>
      <c r="G655" t="n">
        <v>4.7</v>
      </c>
      <c r="H655" t="n">
        <v>0</v>
      </c>
      <c r="I655" t="n">
        <v>0</v>
      </c>
      <c r="J655" t="n">
        <v>0</v>
      </c>
      <c r="K655" t="n">
        <v>0</v>
      </c>
      <c r="L655" t="n">
        <v>0</v>
      </c>
      <c r="M655" t="n">
        <v>0</v>
      </c>
      <c r="N655" t="n">
        <v>0</v>
      </c>
      <c r="O655" t="n">
        <v>0</v>
      </c>
      <c r="P655" t="n">
        <v>0</v>
      </c>
      <c r="Q655" t="n">
        <v>0</v>
      </c>
      <c r="R655" s="2" t="inlineStr"/>
    </row>
    <row r="656" ht="15" customHeight="1">
      <c r="A656" t="inlineStr">
        <is>
          <t>A 46512-2024</t>
        </is>
      </c>
      <c r="B656" s="1" t="n">
        <v>45582.62050925926</v>
      </c>
      <c r="C656" s="1" t="n">
        <v>46013</v>
      </c>
      <c r="D656" t="inlineStr">
        <is>
          <t>UPPSALA LÄN</t>
        </is>
      </c>
      <c r="E656" t="inlineStr">
        <is>
          <t>TIERP</t>
        </is>
      </c>
      <c r="G656" t="n">
        <v>6.3</v>
      </c>
      <c r="H656" t="n">
        <v>0</v>
      </c>
      <c r="I656" t="n">
        <v>0</v>
      </c>
      <c r="J656" t="n">
        <v>0</v>
      </c>
      <c r="K656" t="n">
        <v>0</v>
      </c>
      <c r="L656" t="n">
        <v>0</v>
      </c>
      <c r="M656" t="n">
        <v>0</v>
      </c>
      <c r="N656" t="n">
        <v>0</v>
      </c>
      <c r="O656" t="n">
        <v>0</v>
      </c>
      <c r="P656" t="n">
        <v>0</v>
      </c>
      <c r="Q656" t="n">
        <v>0</v>
      </c>
      <c r="R656" s="2" t="inlineStr"/>
    </row>
    <row r="657" ht="15" customHeight="1">
      <c r="A657" t="inlineStr">
        <is>
          <t>A 59658-2024</t>
        </is>
      </c>
      <c r="B657" s="1" t="n">
        <v>45639</v>
      </c>
      <c r="C657" s="1" t="n">
        <v>46013</v>
      </c>
      <c r="D657" t="inlineStr">
        <is>
          <t>UPPSALA LÄN</t>
        </is>
      </c>
      <c r="E657" t="inlineStr">
        <is>
          <t>TIERP</t>
        </is>
      </c>
      <c r="G657" t="n">
        <v>4.9</v>
      </c>
      <c r="H657" t="n">
        <v>0</v>
      </c>
      <c r="I657" t="n">
        <v>0</v>
      </c>
      <c r="J657" t="n">
        <v>0</v>
      </c>
      <c r="K657" t="n">
        <v>0</v>
      </c>
      <c r="L657" t="n">
        <v>0</v>
      </c>
      <c r="M657" t="n">
        <v>0</v>
      </c>
      <c r="N657" t="n">
        <v>0</v>
      </c>
      <c r="O657" t="n">
        <v>0</v>
      </c>
      <c r="P657" t="n">
        <v>0</v>
      </c>
      <c r="Q657" t="n">
        <v>0</v>
      </c>
      <c r="R657" s="2" t="inlineStr"/>
    </row>
    <row r="658" ht="15" customHeight="1">
      <c r="A658" t="inlineStr">
        <is>
          <t>A 41223-2023</t>
        </is>
      </c>
      <c r="B658" s="1" t="n">
        <v>45174</v>
      </c>
      <c r="C658" s="1" t="n">
        <v>46013</v>
      </c>
      <c r="D658" t="inlineStr">
        <is>
          <t>UPPSALA LÄN</t>
        </is>
      </c>
      <c r="E658" t="inlineStr">
        <is>
          <t>TIERP</t>
        </is>
      </c>
      <c r="G658" t="n">
        <v>3.3</v>
      </c>
      <c r="H658" t="n">
        <v>0</v>
      </c>
      <c r="I658" t="n">
        <v>0</v>
      </c>
      <c r="J658" t="n">
        <v>0</v>
      </c>
      <c r="K658" t="n">
        <v>0</v>
      </c>
      <c r="L658" t="n">
        <v>0</v>
      </c>
      <c r="M658" t="n">
        <v>0</v>
      </c>
      <c r="N658" t="n">
        <v>0</v>
      </c>
      <c r="O658" t="n">
        <v>0</v>
      </c>
      <c r="P658" t="n">
        <v>0</v>
      </c>
      <c r="Q658" t="n">
        <v>0</v>
      </c>
      <c r="R658" s="2" t="inlineStr"/>
    </row>
    <row r="659" ht="15" customHeight="1">
      <c r="A659" t="inlineStr">
        <is>
          <t>A 61518-2024</t>
        </is>
      </c>
      <c r="B659" s="1" t="n">
        <v>45646.57768518518</v>
      </c>
      <c r="C659" s="1" t="n">
        <v>46013</v>
      </c>
      <c r="D659" t="inlineStr">
        <is>
          <t>UPPSALA LÄN</t>
        </is>
      </c>
      <c r="E659" t="inlineStr">
        <is>
          <t>TIERP</t>
        </is>
      </c>
      <c r="G659" t="n">
        <v>1.7</v>
      </c>
      <c r="H659" t="n">
        <v>0</v>
      </c>
      <c r="I659" t="n">
        <v>0</v>
      </c>
      <c r="J659" t="n">
        <v>0</v>
      </c>
      <c r="K659" t="n">
        <v>0</v>
      </c>
      <c r="L659" t="n">
        <v>0</v>
      </c>
      <c r="M659" t="n">
        <v>0</v>
      </c>
      <c r="N659" t="n">
        <v>0</v>
      </c>
      <c r="O659" t="n">
        <v>0</v>
      </c>
      <c r="P659" t="n">
        <v>0</v>
      </c>
      <c r="Q659" t="n">
        <v>0</v>
      </c>
      <c r="R659" s="2" t="inlineStr"/>
    </row>
    <row r="660" ht="15" customHeight="1">
      <c r="A660" t="inlineStr">
        <is>
          <t>A 15055-2024</t>
        </is>
      </c>
      <c r="B660" s="1" t="n">
        <v>45399</v>
      </c>
      <c r="C660" s="1" t="n">
        <v>46013</v>
      </c>
      <c r="D660" t="inlineStr">
        <is>
          <t>UPPSALA LÄN</t>
        </is>
      </c>
      <c r="E660" t="inlineStr">
        <is>
          <t>TIERP</t>
        </is>
      </c>
      <c r="G660" t="n">
        <v>2.9</v>
      </c>
      <c r="H660" t="n">
        <v>0</v>
      </c>
      <c r="I660" t="n">
        <v>0</v>
      </c>
      <c r="J660" t="n">
        <v>0</v>
      </c>
      <c r="K660" t="n">
        <v>0</v>
      </c>
      <c r="L660" t="n">
        <v>0</v>
      </c>
      <c r="M660" t="n">
        <v>0</v>
      </c>
      <c r="N660" t="n">
        <v>0</v>
      </c>
      <c r="O660" t="n">
        <v>0</v>
      </c>
      <c r="P660" t="n">
        <v>0</v>
      </c>
      <c r="Q660" t="n">
        <v>0</v>
      </c>
      <c r="R660" s="2" t="inlineStr"/>
    </row>
    <row r="661" ht="15" customHeight="1">
      <c r="A661" t="inlineStr">
        <is>
          <t>A 13687-2024</t>
        </is>
      </c>
      <c r="B661" s="1" t="n">
        <v>45390.5662962963</v>
      </c>
      <c r="C661" s="1" t="n">
        <v>46013</v>
      </c>
      <c r="D661" t="inlineStr">
        <is>
          <t>UPPSALA LÄN</t>
        </is>
      </c>
      <c r="E661" t="inlineStr">
        <is>
          <t>TIERP</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46550-2024</t>
        </is>
      </c>
      <c r="B662" s="1" t="n">
        <v>45582.66524305556</v>
      </c>
      <c r="C662" s="1" t="n">
        <v>46013</v>
      </c>
      <c r="D662" t="inlineStr">
        <is>
          <t>UPPSALA LÄN</t>
        </is>
      </c>
      <c r="E662" t="inlineStr">
        <is>
          <t>TIERP</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44762-2023</t>
        </is>
      </c>
      <c r="B663" s="1" t="n">
        <v>45190</v>
      </c>
      <c r="C663" s="1" t="n">
        <v>46013</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46013</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55688-2024</t>
        </is>
      </c>
      <c r="B665" s="1" t="n">
        <v>45622.67170138889</v>
      </c>
      <c r="C665" s="1" t="n">
        <v>46013</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14483-2024</t>
        </is>
      </c>
      <c r="B666" s="1" t="n">
        <v>45394</v>
      </c>
      <c r="C666" s="1" t="n">
        <v>46013</v>
      </c>
      <c r="D666" t="inlineStr">
        <is>
          <t>UPPSALA LÄN</t>
        </is>
      </c>
      <c r="E666" t="inlineStr">
        <is>
          <t>TIERP</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58264-2024</t>
        </is>
      </c>
      <c r="B667" s="1" t="n">
        <v>45632.5654050926</v>
      </c>
      <c r="C667" s="1" t="n">
        <v>46013</v>
      </c>
      <c r="D667" t="inlineStr">
        <is>
          <t>UPPSALA LÄN</t>
        </is>
      </c>
      <c r="E667" t="inlineStr">
        <is>
          <t>TIERP</t>
        </is>
      </c>
      <c r="G667" t="n">
        <v>1</v>
      </c>
      <c r="H667" t="n">
        <v>0</v>
      </c>
      <c r="I667" t="n">
        <v>0</v>
      </c>
      <c r="J667" t="n">
        <v>0</v>
      </c>
      <c r="K667" t="n">
        <v>0</v>
      </c>
      <c r="L667" t="n">
        <v>0</v>
      </c>
      <c r="M667" t="n">
        <v>0</v>
      </c>
      <c r="N667" t="n">
        <v>0</v>
      </c>
      <c r="O667" t="n">
        <v>0</v>
      </c>
      <c r="P667" t="n">
        <v>0</v>
      </c>
      <c r="Q667" t="n">
        <v>0</v>
      </c>
      <c r="R667" s="2" t="inlineStr"/>
    </row>
    <row r="668" ht="15" customHeight="1">
      <c r="A668" t="inlineStr">
        <is>
          <t>A 60304-2024</t>
        </is>
      </c>
      <c r="B668" s="1" t="n">
        <v>45643</v>
      </c>
      <c r="C668" s="1" t="n">
        <v>46013</v>
      </c>
      <c r="D668" t="inlineStr">
        <is>
          <t>UPPSALA LÄN</t>
        </is>
      </c>
      <c r="E668" t="inlineStr">
        <is>
          <t>TIERP</t>
        </is>
      </c>
      <c r="F668" t="inlineStr">
        <is>
          <t>Bergvik skog öst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56173-2024</t>
        </is>
      </c>
      <c r="B669" s="1" t="n">
        <v>45624.55622685186</v>
      </c>
      <c r="C669" s="1" t="n">
        <v>46013</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7732-2025</t>
        </is>
      </c>
      <c r="B670" s="1" t="n">
        <v>45706</v>
      </c>
      <c r="C670" s="1" t="n">
        <v>46013</v>
      </c>
      <c r="D670" t="inlineStr">
        <is>
          <t>UPPSALA LÄN</t>
        </is>
      </c>
      <c r="E670" t="inlineStr">
        <is>
          <t>TIERP</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28912-2023</t>
        </is>
      </c>
      <c r="B671" s="1" t="n">
        <v>45104.53165509259</v>
      </c>
      <c r="C671" s="1" t="n">
        <v>46013</v>
      </c>
      <c r="D671" t="inlineStr">
        <is>
          <t>UPPSALA LÄN</t>
        </is>
      </c>
      <c r="E671" t="inlineStr">
        <is>
          <t>TIERP</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40624-2023</t>
        </is>
      </c>
      <c r="B672" s="1" t="n">
        <v>45170.52974537037</v>
      </c>
      <c r="C672" s="1" t="n">
        <v>46013</v>
      </c>
      <c r="D672" t="inlineStr">
        <is>
          <t>UPPSALA LÄN</t>
        </is>
      </c>
      <c r="E672" t="inlineStr">
        <is>
          <t>TIERP</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50227-2024</t>
        </is>
      </c>
      <c r="B673" s="1" t="n">
        <v>45600.54467592593</v>
      </c>
      <c r="C673" s="1" t="n">
        <v>46013</v>
      </c>
      <c r="D673" t="inlineStr">
        <is>
          <t>UPPSALA LÄN</t>
        </is>
      </c>
      <c r="E673" t="inlineStr">
        <is>
          <t>TIERP</t>
        </is>
      </c>
      <c r="G673" t="n">
        <v>4.5</v>
      </c>
      <c r="H673" t="n">
        <v>0</v>
      </c>
      <c r="I673" t="n">
        <v>0</v>
      </c>
      <c r="J673" t="n">
        <v>0</v>
      </c>
      <c r="K673" t="n">
        <v>0</v>
      </c>
      <c r="L673" t="n">
        <v>0</v>
      </c>
      <c r="M673" t="n">
        <v>0</v>
      </c>
      <c r="N673" t="n">
        <v>0</v>
      </c>
      <c r="O673" t="n">
        <v>0</v>
      </c>
      <c r="P673" t="n">
        <v>0</v>
      </c>
      <c r="Q673" t="n">
        <v>0</v>
      </c>
      <c r="R673" s="2" t="inlineStr"/>
    </row>
    <row r="674" ht="15" customHeight="1">
      <c r="A674" t="inlineStr">
        <is>
          <t>A 11568-2025</t>
        </is>
      </c>
      <c r="B674" s="1" t="n">
        <v>45727.37728009259</v>
      </c>
      <c r="C674" s="1" t="n">
        <v>46013</v>
      </c>
      <c r="D674" t="inlineStr">
        <is>
          <t>UPPSALA LÄN</t>
        </is>
      </c>
      <c r="E674" t="inlineStr">
        <is>
          <t>TIERP</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7068-2022</t>
        </is>
      </c>
      <c r="B675" s="1" t="n">
        <v>44603</v>
      </c>
      <c r="C675" s="1" t="n">
        <v>46013</v>
      </c>
      <c r="D675" t="inlineStr">
        <is>
          <t>UPPSALA LÄN</t>
        </is>
      </c>
      <c r="E675" t="inlineStr">
        <is>
          <t>TIERP</t>
        </is>
      </c>
      <c r="G675" t="n">
        <v>5.2</v>
      </c>
      <c r="H675" t="n">
        <v>0</v>
      </c>
      <c r="I675" t="n">
        <v>0</v>
      </c>
      <c r="J675" t="n">
        <v>0</v>
      </c>
      <c r="K675" t="n">
        <v>0</v>
      </c>
      <c r="L675" t="n">
        <v>0</v>
      </c>
      <c r="M675" t="n">
        <v>0</v>
      </c>
      <c r="N675" t="n">
        <v>0</v>
      </c>
      <c r="O675" t="n">
        <v>0</v>
      </c>
      <c r="P675" t="n">
        <v>0</v>
      </c>
      <c r="Q675" t="n">
        <v>0</v>
      </c>
      <c r="R675" s="2" t="inlineStr"/>
    </row>
    <row r="676" ht="15" customHeight="1">
      <c r="A676" t="inlineStr">
        <is>
          <t>A 44430-2023</t>
        </is>
      </c>
      <c r="B676" s="1" t="n">
        <v>45189</v>
      </c>
      <c r="C676" s="1" t="n">
        <v>46013</v>
      </c>
      <c r="D676" t="inlineStr">
        <is>
          <t>UPPSALA LÄN</t>
        </is>
      </c>
      <c r="E676" t="inlineStr">
        <is>
          <t>TIERP</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60011-2024</t>
        </is>
      </c>
      <c r="B677" s="1" t="n">
        <v>45642</v>
      </c>
      <c r="C677" s="1" t="n">
        <v>46013</v>
      </c>
      <c r="D677" t="inlineStr">
        <is>
          <t>UPPSALA LÄN</t>
        </is>
      </c>
      <c r="E677" t="inlineStr">
        <is>
          <t>TIERP</t>
        </is>
      </c>
      <c r="G677" t="n">
        <v>1.6</v>
      </c>
      <c r="H677" t="n">
        <v>0</v>
      </c>
      <c r="I677" t="n">
        <v>0</v>
      </c>
      <c r="J677" t="n">
        <v>0</v>
      </c>
      <c r="K677" t="n">
        <v>0</v>
      </c>
      <c r="L677" t="n">
        <v>0</v>
      </c>
      <c r="M677" t="n">
        <v>0</v>
      </c>
      <c r="N677" t="n">
        <v>0</v>
      </c>
      <c r="O677" t="n">
        <v>0</v>
      </c>
      <c r="P677" t="n">
        <v>0</v>
      </c>
      <c r="Q677" t="n">
        <v>0</v>
      </c>
      <c r="R677" s="2" t="inlineStr"/>
    </row>
    <row r="678" ht="15" customHeight="1">
      <c r="A678" t="inlineStr">
        <is>
          <t>A 13368-2024</t>
        </is>
      </c>
      <c r="B678" s="1" t="n">
        <v>45387</v>
      </c>
      <c r="C678" s="1" t="n">
        <v>46013</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11302-2025</t>
        </is>
      </c>
      <c r="B679" s="1" t="n">
        <v>45726.4434375</v>
      </c>
      <c r="C679" s="1" t="n">
        <v>46013</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19026-2025</t>
        </is>
      </c>
      <c r="B680" s="1" t="n">
        <v>45764.63778935185</v>
      </c>
      <c r="C680" s="1" t="n">
        <v>46013</v>
      </c>
      <c r="D680" t="inlineStr">
        <is>
          <t>UPPSALA LÄN</t>
        </is>
      </c>
      <c r="E680" t="inlineStr">
        <is>
          <t>TIERP</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12449-2022</t>
        </is>
      </c>
      <c r="B681" s="1" t="n">
        <v>44638.40253472222</v>
      </c>
      <c r="C681" s="1" t="n">
        <v>46013</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20750-2023</t>
        </is>
      </c>
      <c r="B682" s="1" t="n">
        <v>45058.53024305555</v>
      </c>
      <c r="C682" s="1" t="n">
        <v>46013</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52380-2023</t>
        </is>
      </c>
      <c r="B683" s="1" t="n">
        <v>45224.79760416667</v>
      </c>
      <c r="C683" s="1" t="n">
        <v>46013</v>
      </c>
      <c r="D683" t="inlineStr">
        <is>
          <t>UPPSALA LÄN</t>
        </is>
      </c>
      <c r="E683" t="inlineStr">
        <is>
          <t>TIERP</t>
        </is>
      </c>
      <c r="G683" t="n">
        <v>1.5</v>
      </c>
      <c r="H683" t="n">
        <v>0</v>
      </c>
      <c r="I683" t="n">
        <v>0</v>
      </c>
      <c r="J683" t="n">
        <v>0</v>
      </c>
      <c r="K683" t="n">
        <v>0</v>
      </c>
      <c r="L683" t="n">
        <v>0</v>
      </c>
      <c r="M683" t="n">
        <v>0</v>
      </c>
      <c r="N683" t="n">
        <v>0</v>
      </c>
      <c r="O683" t="n">
        <v>0</v>
      </c>
      <c r="P683" t="n">
        <v>0</v>
      </c>
      <c r="Q683" t="n">
        <v>0</v>
      </c>
      <c r="R683" s="2" t="inlineStr"/>
    </row>
    <row r="684" ht="15" customHeight="1">
      <c r="A684" t="inlineStr">
        <is>
          <t>A 51756-2023</t>
        </is>
      </c>
      <c r="B684" s="1" t="n">
        <v>45222.6916550926</v>
      </c>
      <c r="C684" s="1" t="n">
        <v>46013</v>
      </c>
      <c r="D684" t="inlineStr">
        <is>
          <t>UPPSALA LÄN</t>
        </is>
      </c>
      <c r="E684" t="inlineStr">
        <is>
          <t>TIERP</t>
        </is>
      </c>
      <c r="G684" t="n">
        <v>0.3</v>
      </c>
      <c r="H684" t="n">
        <v>0</v>
      </c>
      <c r="I684" t="n">
        <v>0</v>
      </c>
      <c r="J684" t="n">
        <v>0</v>
      </c>
      <c r="K684" t="n">
        <v>0</v>
      </c>
      <c r="L684" t="n">
        <v>0</v>
      </c>
      <c r="M684" t="n">
        <v>0</v>
      </c>
      <c r="N684" t="n">
        <v>0</v>
      </c>
      <c r="O684" t="n">
        <v>0</v>
      </c>
      <c r="P684" t="n">
        <v>0</v>
      </c>
      <c r="Q684" t="n">
        <v>0</v>
      </c>
      <c r="R684" s="2" t="inlineStr"/>
    </row>
    <row r="685" ht="15" customHeight="1">
      <c r="A685" t="inlineStr">
        <is>
          <t>A 22901-2023</t>
        </is>
      </c>
      <c r="B685" s="1" t="n">
        <v>45072</v>
      </c>
      <c r="C685" s="1" t="n">
        <v>46013</v>
      </c>
      <c r="D685" t="inlineStr">
        <is>
          <t>UPPSALA LÄN</t>
        </is>
      </c>
      <c r="E685" t="inlineStr">
        <is>
          <t>TIERP</t>
        </is>
      </c>
      <c r="G685" t="n">
        <v>0.2</v>
      </c>
      <c r="H685" t="n">
        <v>0</v>
      </c>
      <c r="I685" t="n">
        <v>0</v>
      </c>
      <c r="J685" t="n">
        <v>0</v>
      </c>
      <c r="K685" t="n">
        <v>0</v>
      </c>
      <c r="L685" t="n">
        <v>0</v>
      </c>
      <c r="M685" t="n">
        <v>0</v>
      </c>
      <c r="N685" t="n">
        <v>0</v>
      </c>
      <c r="O685" t="n">
        <v>0</v>
      </c>
      <c r="P685" t="n">
        <v>0</v>
      </c>
      <c r="Q685" t="n">
        <v>0</v>
      </c>
      <c r="R685" s="2" t="inlineStr"/>
    </row>
    <row r="686" ht="15" customHeight="1">
      <c r="A686" t="inlineStr">
        <is>
          <t>A 5170-2022</t>
        </is>
      </c>
      <c r="B686" s="1" t="n">
        <v>44594.41829861111</v>
      </c>
      <c r="C686" s="1" t="n">
        <v>46013</v>
      </c>
      <c r="D686" t="inlineStr">
        <is>
          <t>UPPSALA LÄN</t>
        </is>
      </c>
      <c r="E686" t="inlineStr">
        <is>
          <t>TIERP</t>
        </is>
      </c>
      <c r="F686" t="inlineStr">
        <is>
          <t>Bergvik skog öst AB</t>
        </is>
      </c>
      <c r="G686" t="n">
        <v>3.5</v>
      </c>
      <c r="H686" t="n">
        <v>0</v>
      </c>
      <c r="I686" t="n">
        <v>0</v>
      </c>
      <c r="J686" t="n">
        <v>0</v>
      </c>
      <c r="K686" t="n">
        <v>0</v>
      </c>
      <c r="L686" t="n">
        <v>0</v>
      </c>
      <c r="M686" t="n">
        <v>0</v>
      </c>
      <c r="N686" t="n">
        <v>0</v>
      </c>
      <c r="O686" t="n">
        <v>0</v>
      </c>
      <c r="P686" t="n">
        <v>0</v>
      </c>
      <c r="Q686" t="n">
        <v>0</v>
      </c>
      <c r="R686" s="2" t="inlineStr"/>
    </row>
    <row r="687" ht="15" customHeight="1">
      <c r="A687" t="inlineStr">
        <is>
          <t>A 6254-2022</t>
        </is>
      </c>
      <c r="B687" s="1" t="n">
        <v>44600.44900462963</v>
      </c>
      <c r="C687" s="1" t="n">
        <v>46013</v>
      </c>
      <c r="D687" t="inlineStr">
        <is>
          <t>UPPSALA LÄN</t>
        </is>
      </c>
      <c r="E687" t="inlineStr">
        <is>
          <t>TIERP</t>
        </is>
      </c>
      <c r="F687" t="inlineStr">
        <is>
          <t>Bergvik skog öst AB</t>
        </is>
      </c>
      <c r="G687" t="n">
        <v>6.1</v>
      </c>
      <c r="H687" t="n">
        <v>0</v>
      </c>
      <c r="I687" t="n">
        <v>0</v>
      </c>
      <c r="J687" t="n">
        <v>0</v>
      </c>
      <c r="K687" t="n">
        <v>0</v>
      </c>
      <c r="L687" t="n">
        <v>0</v>
      </c>
      <c r="M687" t="n">
        <v>0</v>
      </c>
      <c r="N687" t="n">
        <v>0</v>
      </c>
      <c r="O687" t="n">
        <v>0</v>
      </c>
      <c r="P687" t="n">
        <v>0</v>
      </c>
      <c r="Q687" t="n">
        <v>0</v>
      </c>
      <c r="R687" s="2" t="inlineStr"/>
    </row>
    <row r="688" ht="15" customHeight="1">
      <c r="A688" t="inlineStr">
        <is>
          <t>A 7375-2025</t>
        </is>
      </c>
      <c r="B688" s="1" t="n">
        <v>45705.29239583333</v>
      </c>
      <c r="C688" s="1" t="n">
        <v>46013</v>
      </c>
      <c r="D688" t="inlineStr">
        <is>
          <t>UPPSALA LÄN</t>
        </is>
      </c>
      <c r="E688" t="inlineStr">
        <is>
          <t>TIERP</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18039-2024</t>
        </is>
      </c>
      <c r="B689" s="1" t="n">
        <v>45420.36299768519</v>
      </c>
      <c r="C689" s="1" t="n">
        <v>46013</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18060-2025</t>
        </is>
      </c>
      <c r="B690" s="1" t="n">
        <v>45761</v>
      </c>
      <c r="C690" s="1" t="n">
        <v>46013</v>
      </c>
      <c r="D690" t="inlineStr">
        <is>
          <t>UPPSALA LÄN</t>
        </is>
      </c>
      <c r="E690" t="inlineStr">
        <is>
          <t>TIERP</t>
        </is>
      </c>
      <c r="F690" t="inlineStr">
        <is>
          <t>Bergvik skog väst AB</t>
        </is>
      </c>
      <c r="G690" t="n">
        <v>0.3</v>
      </c>
      <c r="H690" t="n">
        <v>0</v>
      </c>
      <c r="I690" t="n">
        <v>0</v>
      </c>
      <c r="J690" t="n">
        <v>0</v>
      </c>
      <c r="K690" t="n">
        <v>0</v>
      </c>
      <c r="L690" t="n">
        <v>0</v>
      </c>
      <c r="M690" t="n">
        <v>0</v>
      </c>
      <c r="N690" t="n">
        <v>0</v>
      </c>
      <c r="O690" t="n">
        <v>0</v>
      </c>
      <c r="P690" t="n">
        <v>0</v>
      </c>
      <c r="Q690" t="n">
        <v>0</v>
      </c>
      <c r="R690" s="2" t="inlineStr"/>
    </row>
    <row r="691" ht="15" customHeight="1">
      <c r="A691" t="inlineStr">
        <is>
          <t>A 18130-2022</t>
        </is>
      </c>
      <c r="B691" s="1" t="n">
        <v>44684.56060185185</v>
      </c>
      <c r="C691" s="1" t="n">
        <v>46013</v>
      </c>
      <c r="D691" t="inlineStr">
        <is>
          <t>UPPSALA LÄN</t>
        </is>
      </c>
      <c r="E691" t="inlineStr">
        <is>
          <t>TIERP</t>
        </is>
      </c>
      <c r="G691" t="n">
        <v>7.6</v>
      </c>
      <c r="H691" t="n">
        <v>0</v>
      </c>
      <c r="I691" t="n">
        <v>0</v>
      </c>
      <c r="J691" t="n">
        <v>0</v>
      </c>
      <c r="K691" t="n">
        <v>0</v>
      </c>
      <c r="L691" t="n">
        <v>0</v>
      </c>
      <c r="M691" t="n">
        <v>0</v>
      </c>
      <c r="N691" t="n">
        <v>0</v>
      </c>
      <c r="O691" t="n">
        <v>0</v>
      </c>
      <c r="P691" t="n">
        <v>0</v>
      </c>
      <c r="Q691" t="n">
        <v>0</v>
      </c>
      <c r="R691" s="2" t="inlineStr"/>
    </row>
    <row r="692" ht="15" customHeight="1">
      <c r="A692" t="inlineStr">
        <is>
          <t>A 16253-2022</t>
        </is>
      </c>
      <c r="B692" s="1" t="n">
        <v>44670</v>
      </c>
      <c r="C692" s="1" t="n">
        <v>46013</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14116-2024</t>
        </is>
      </c>
      <c r="B693" s="1" t="n">
        <v>45392.64703703704</v>
      </c>
      <c r="C693" s="1" t="n">
        <v>46013</v>
      </c>
      <c r="D693" t="inlineStr">
        <is>
          <t>UPPSALA LÄN</t>
        </is>
      </c>
      <c r="E693" t="inlineStr">
        <is>
          <t>TIERP</t>
        </is>
      </c>
      <c r="F693" t="inlineStr">
        <is>
          <t>Bergvik skog öst AB</t>
        </is>
      </c>
      <c r="G693" t="n">
        <v>1.9</v>
      </c>
      <c r="H693" t="n">
        <v>0</v>
      </c>
      <c r="I693" t="n">
        <v>0</v>
      </c>
      <c r="J693" t="n">
        <v>0</v>
      </c>
      <c r="K693" t="n">
        <v>0</v>
      </c>
      <c r="L693" t="n">
        <v>0</v>
      </c>
      <c r="M693" t="n">
        <v>0</v>
      </c>
      <c r="N693" t="n">
        <v>0</v>
      </c>
      <c r="O693" t="n">
        <v>0</v>
      </c>
      <c r="P693" t="n">
        <v>0</v>
      </c>
      <c r="Q693" t="n">
        <v>0</v>
      </c>
      <c r="R693" s="2" t="inlineStr"/>
    </row>
    <row r="694" ht="15" customHeight="1">
      <c r="A694" t="inlineStr">
        <is>
          <t>A 18885-2025</t>
        </is>
      </c>
      <c r="B694" s="1" t="n">
        <v>45764.44233796297</v>
      </c>
      <c r="C694" s="1" t="n">
        <v>46013</v>
      </c>
      <c r="D694" t="inlineStr">
        <is>
          <t>UPPSALA LÄN</t>
        </is>
      </c>
      <c r="E694" t="inlineStr">
        <is>
          <t>TIERP</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39928-2023</t>
        </is>
      </c>
      <c r="B695" s="1" t="n">
        <v>45167</v>
      </c>
      <c r="C695" s="1" t="n">
        <v>46013</v>
      </c>
      <c r="D695" t="inlineStr">
        <is>
          <t>UPPSALA LÄN</t>
        </is>
      </c>
      <c r="E695" t="inlineStr">
        <is>
          <t>TIERP</t>
        </is>
      </c>
      <c r="G695" t="n">
        <v>2.1</v>
      </c>
      <c r="H695" t="n">
        <v>0</v>
      </c>
      <c r="I695" t="n">
        <v>0</v>
      </c>
      <c r="J695" t="n">
        <v>0</v>
      </c>
      <c r="K695" t="n">
        <v>0</v>
      </c>
      <c r="L695" t="n">
        <v>0</v>
      </c>
      <c r="M695" t="n">
        <v>0</v>
      </c>
      <c r="N695" t="n">
        <v>0</v>
      </c>
      <c r="O695" t="n">
        <v>0</v>
      </c>
      <c r="P695" t="n">
        <v>0</v>
      </c>
      <c r="Q695" t="n">
        <v>0</v>
      </c>
      <c r="R695" s="2" t="inlineStr"/>
    </row>
    <row r="696" ht="15" customHeight="1">
      <c r="A696" t="inlineStr">
        <is>
          <t>A 36561-2022</t>
        </is>
      </c>
      <c r="B696" s="1" t="n">
        <v>44804</v>
      </c>
      <c r="C696" s="1" t="n">
        <v>46013</v>
      </c>
      <c r="D696" t="inlineStr">
        <is>
          <t>UPPSALA LÄN</t>
        </is>
      </c>
      <c r="E696" t="inlineStr">
        <is>
          <t>TIERP</t>
        </is>
      </c>
      <c r="G696" t="n">
        <v>4.6</v>
      </c>
      <c r="H696" t="n">
        <v>0</v>
      </c>
      <c r="I696" t="n">
        <v>0</v>
      </c>
      <c r="J696" t="n">
        <v>0</v>
      </c>
      <c r="K696" t="n">
        <v>0</v>
      </c>
      <c r="L696" t="n">
        <v>0</v>
      </c>
      <c r="M696" t="n">
        <v>0</v>
      </c>
      <c r="N696" t="n">
        <v>0</v>
      </c>
      <c r="O696" t="n">
        <v>0</v>
      </c>
      <c r="P696" t="n">
        <v>0</v>
      </c>
      <c r="Q696" t="n">
        <v>0</v>
      </c>
      <c r="R696" s="2" t="inlineStr"/>
    </row>
    <row r="697" ht="15" customHeight="1">
      <c r="A697" t="inlineStr">
        <is>
          <t>A 20997-2022</t>
        </is>
      </c>
      <c r="B697" s="1" t="n">
        <v>44701</v>
      </c>
      <c r="C697" s="1" t="n">
        <v>46013</v>
      </c>
      <c r="D697" t="inlineStr">
        <is>
          <t>UPPSALA LÄN</t>
        </is>
      </c>
      <c r="E697" t="inlineStr">
        <is>
          <t>TIERP</t>
        </is>
      </c>
      <c r="F697" t="inlineStr">
        <is>
          <t>Bergvik skog väst AB</t>
        </is>
      </c>
      <c r="G697" t="n">
        <v>40</v>
      </c>
      <c r="H697" t="n">
        <v>0</v>
      </c>
      <c r="I697" t="n">
        <v>0</v>
      </c>
      <c r="J697" t="n">
        <v>0</v>
      </c>
      <c r="K697" t="n">
        <v>0</v>
      </c>
      <c r="L697" t="n">
        <v>0</v>
      </c>
      <c r="M697" t="n">
        <v>0</v>
      </c>
      <c r="N697" t="n">
        <v>0</v>
      </c>
      <c r="O697" t="n">
        <v>0</v>
      </c>
      <c r="P697" t="n">
        <v>0</v>
      </c>
      <c r="Q697" t="n">
        <v>0</v>
      </c>
      <c r="R697" s="2" t="inlineStr"/>
    </row>
    <row r="698" ht="15" customHeight="1">
      <c r="A698" t="inlineStr">
        <is>
          <t>A 39802-2022</t>
        </is>
      </c>
      <c r="B698" s="1" t="n">
        <v>44819.52074074074</v>
      </c>
      <c r="C698" s="1" t="n">
        <v>46013</v>
      </c>
      <c r="D698" t="inlineStr">
        <is>
          <t>UPPSALA LÄN</t>
        </is>
      </c>
      <c r="E698" t="inlineStr">
        <is>
          <t>TIERP</t>
        </is>
      </c>
      <c r="G698" t="n">
        <v>5.8</v>
      </c>
      <c r="H698" t="n">
        <v>0</v>
      </c>
      <c r="I698" t="n">
        <v>0</v>
      </c>
      <c r="J698" t="n">
        <v>0</v>
      </c>
      <c r="K698" t="n">
        <v>0</v>
      </c>
      <c r="L698" t="n">
        <v>0</v>
      </c>
      <c r="M698" t="n">
        <v>0</v>
      </c>
      <c r="N698" t="n">
        <v>0</v>
      </c>
      <c r="O698" t="n">
        <v>0</v>
      </c>
      <c r="P698" t="n">
        <v>0</v>
      </c>
      <c r="Q698" t="n">
        <v>0</v>
      </c>
      <c r="R698" s="2" t="inlineStr"/>
    </row>
    <row r="699" ht="15" customHeight="1">
      <c r="A699" t="inlineStr">
        <is>
          <t>A 25476-2022</t>
        </is>
      </c>
      <c r="B699" s="1" t="n">
        <v>44732</v>
      </c>
      <c r="C699" s="1" t="n">
        <v>46013</v>
      </c>
      <c r="D699" t="inlineStr">
        <is>
          <t>UPPSALA LÄN</t>
        </is>
      </c>
      <c r="E699" t="inlineStr">
        <is>
          <t>TIERP</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19523-2025</t>
        </is>
      </c>
      <c r="B700" s="1" t="n">
        <v>45770.45944444444</v>
      </c>
      <c r="C700" s="1" t="n">
        <v>46013</v>
      </c>
      <c r="D700" t="inlineStr">
        <is>
          <t>UPPSALA LÄN</t>
        </is>
      </c>
      <c r="E700" t="inlineStr">
        <is>
          <t>TIERP</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56946-2023</t>
        </is>
      </c>
      <c r="B701" s="1" t="n">
        <v>45244.6134837963</v>
      </c>
      <c r="C701" s="1" t="n">
        <v>46013</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48735-2023</t>
        </is>
      </c>
      <c r="B702" s="1" t="n">
        <v>45203</v>
      </c>
      <c r="C702" s="1" t="n">
        <v>46013</v>
      </c>
      <c r="D702" t="inlineStr">
        <is>
          <t>UPPSALA LÄN</t>
        </is>
      </c>
      <c r="E702" t="inlineStr">
        <is>
          <t>TIERP</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43605-2023</t>
        </is>
      </c>
      <c r="B703" s="1" t="n">
        <v>45181</v>
      </c>
      <c r="C703" s="1" t="n">
        <v>46013</v>
      </c>
      <c r="D703" t="inlineStr">
        <is>
          <t>UPPSALA LÄN</t>
        </is>
      </c>
      <c r="E703" t="inlineStr">
        <is>
          <t>TIERP</t>
        </is>
      </c>
      <c r="G703" t="n">
        <v>2.5</v>
      </c>
      <c r="H703" t="n">
        <v>0</v>
      </c>
      <c r="I703" t="n">
        <v>0</v>
      </c>
      <c r="J703" t="n">
        <v>0</v>
      </c>
      <c r="K703" t="n">
        <v>0</v>
      </c>
      <c r="L703" t="n">
        <v>0</v>
      </c>
      <c r="M703" t="n">
        <v>0</v>
      </c>
      <c r="N703" t="n">
        <v>0</v>
      </c>
      <c r="O703" t="n">
        <v>0</v>
      </c>
      <c r="P703" t="n">
        <v>0</v>
      </c>
      <c r="Q703" t="n">
        <v>0</v>
      </c>
      <c r="R703" s="2" t="inlineStr"/>
    </row>
    <row r="704" ht="15" customHeight="1">
      <c r="A704" t="inlineStr">
        <is>
          <t>A 36561-2022</t>
        </is>
      </c>
      <c r="B704" s="1" t="n">
        <v>44804</v>
      </c>
      <c r="C704" s="1" t="n">
        <v>46013</v>
      </c>
      <c r="D704" t="inlineStr">
        <is>
          <t>UPPSALA LÄN</t>
        </is>
      </c>
      <c r="E704" t="inlineStr">
        <is>
          <t>TIERP</t>
        </is>
      </c>
      <c r="G704" t="n">
        <v>0.3</v>
      </c>
      <c r="H704" t="n">
        <v>0</v>
      </c>
      <c r="I704" t="n">
        <v>0</v>
      </c>
      <c r="J704" t="n">
        <v>0</v>
      </c>
      <c r="K704" t="n">
        <v>0</v>
      </c>
      <c r="L704" t="n">
        <v>0</v>
      </c>
      <c r="M704" t="n">
        <v>0</v>
      </c>
      <c r="N704" t="n">
        <v>0</v>
      </c>
      <c r="O704" t="n">
        <v>0</v>
      </c>
      <c r="P704" t="n">
        <v>0</v>
      </c>
      <c r="Q704" t="n">
        <v>0</v>
      </c>
      <c r="R704" s="2" t="inlineStr"/>
    </row>
    <row r="705" ht="15" customHeight="1">
      <c r="A705" t="inlineStr">
        <is>
          <t>A 26656-2022</t>
        </is>
      </c>
      <c r="B705" s="1" t="n">
        <v>44739</v>
      </c>
      <c r="C705" s="1" t="n">
        <v>46013</v>
      </c>
      <c r="D705" t="inlineStr">
        <is>
          <t>UPPSALA LÄN</t>
        </is>
      </c>
      <c r="E705" t="inlineStr">
        <is>
          <t>TIERP</t>
        </is>
      </c>
      <c r="G705" t="n">
        <v>2.8</v>
      </c>
      <c r="H705" t="n">
        <v>0</v>
      </c>
      <c r="I705" t="n">
        <v>0</v>
      </c>
      <c r="J705" t="n">
        <v>0</v>
      </c>
      <c r="K705" t="n">
        <v>0</v>
      </c>
      <c r="L705" t="n">
        <v>0</v>
      </c>
      <c r="M705" t="n">
        <v>0</v>
      </c>
      <c r="N705" t="n">
        <v>0</v>
      </c>
      <c r="O705" t="n">
        <v>0</v>
      </c>
      <c r="P705" t="n">
        <v>0</v>
      </c>
      <c r="Q705" t="n">
        <v>0</v>
      </c>
      <c r="R705" s="2" t="inlineStr"/>
    </row>
    <row r="706" ht="15" customHeight="1">
      <c r="A706" t="inlineStr">
        <is>
          <t>A 20552-2025</t>
        </is>
      </c>
      <c r="B706" s="1" t="n">
        <v>45775.63877314814</v>
      </c>
      <c r="C706" s="1" t="n">
        <v>46013</v>
      </c>
      <c r="D706" t="inlineStr">
        <is>
          <t>UPPSALA LÄN</t>
        </is>
      </c>
      <c r="E706" t="inlineStr">
        <is>
          <t>TIERP</t>
        </is>
      </c>
      <c r="F706" t="inlineStr">
        <is>
          <t>Bergvik skog öst AB</t>
        </is>
      </c>
      <c r="G706" t="n">
        <v>3</v>
      </c>
      <c r="H706" t="n">
        <v>0</v>
      </c>
      <c r="I706" t="n">
        <v>0</v>
      </c>
      <c r="J706" t="n">
        <v>0</v>
      </c>
      <c r="K706" t="n">
        <v>0</v>
      </c>
      <c r="L706" t="n">
        <v>0</v>
      </c>
      <c r="M706" t="n">
        <v>0</v>
      </c>
      <c r="N706" t="n">
        <v>0</v>
      </c>
      <c r="O706" t="n">
        <v>0</v>
      </c>
      <c r="P706" t="n">
        <v>0</v>
      </c>
      <c r="Q706" t="n">
        <v>0</v>
      </c>
      <c r="R706" s="2" t="inlineStr"/>
    </row>
    <row r="707" ht="15" customHeight="1">
      <c r="A707" t="inlineStr">
        <is>
          <t>A 19339-2025</t>
        </is>
      </c>
      <c r="B707" s="1" t="n">
        <v>45769.59454861111</v>
      </c>
      <c r="C707" s="1" t="n">
        <v>46013</v>
      </c>
      <c r="D707" t="inlineStr">
        <is>
          <t>UPPSALA LÄN</t>
        </is>
      </c>
      <c r="E707" t="inlineStr">
        <is>
          <t>TIERP</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19138-2025</t>
        </is>
      </c>
      <c r="B708" s="1" t="n">
        <v>45769.3231712963</v>
      </c>
      <c r="C708" s="1" t="n">
        <v>46013</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14516-2025</t>
        </is>
      </c>
      <c r="B709" s="1" t="n">
        <v>45741.6415162037</v>
      </c>
      <c r="C709" s="1" t="n">
        <v>46013</v>
      </c>
      <c r="D709" t="inlineStr">
        <is>
          <t>UPPSALA LÄN</t>
        </is>
      </c>
      <c r="E709" t="inlineStr">
        <is>
          <t>TIERP</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10550-2024</t>
        </is>
      </c>
      <c r="B710" s="1" t="n">
        <v>45366.5775462963</v>
      </c>
      <c r="C710" s="1" t="n">
        <v>46013</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30742-2021</t>
        </is>
      </c>
      <c r="B711" s="1" t="n">
        <v>44365</v>
      </c>
      <c r="C711" s="1" t="n">
        <v>46013</v>
      </c>
      <c r="D711" t="inlineStr">
        <is>
          <t>UPPSALA LÄN</t>
        </is>
      </c>
      <c r="E711" t="inlineStr">
        <is>
          <t>TIERP</t>
        </is>
      </c>
      <c r="F711" t="inlineStr">
        <is>
          <t>Bergvik skog väst AB</t>
        </is>
      </c>
      <c r="G711" t="n">
        <v>6.5</v>
      </c>
      <c r="H711" t="n">
        <v>0</v>
      </c>
      <c r="I711" t="n">
        <v>0</v>
      </c>
      <c r="J711" t="n">
        <v>0</v>
      </c>
      <c r="K711" t="n">
        <v>0</v>
      </c>
      <c r="L711" t="n">
        <v>0</v>
      </c>
      <c r="M711" t="n">
        <v>0</v>
      </c>
      <c r="N711" t="n">
        <v>0</v>
      </c>
      <c r="O711" t="n">
        <v>0</v>
      </c>
      <c r="P711" t="n">
        <v>0</v>
      </c>
      <c r="Q711" t="n">
        <v>0</v>
      </c>
      <c r="R711" s="2" t="inlineStr"/>
    </row>
    <row r="712" ht="15" customHeight="1">
      <c r="A712" t="inlineStr">
        <is>
          <t>A 3503-2024</t>
        </is>
      </c>
      <c r="B712" s="1" t="n">
        <v>45320</v>
      </c>
      <c r="C712" s="1" t="n">
        <v>46013</v>
      </c>
      <c r="D712" t="inlineStr">
        <is>
          <t>UPPSALA LÄN</t>
        </is>
      </c>
      <c r="E712" t="inlineStr">
        <is>
          <t>TIERP</t>
        </is>
      </c>
      <c r="G712" t="n">
        <v>1.3</v>
      </c>
      <c r="H712" t="n">
        <v>0</v>
      </c>
      <c r="I712" t="n">
        <v>0</v>
      </c>
      <c r="J712" t="n">
        <v>0</v>
      </c>
      <c r="K712" t="n">
        <v>0</v>
      </c>
      <c r="L712" t="n">
        <v>0</v>
      </c>
      <c r="M712" t="n">
        <v>0</v>
      </c>
      <c r="N712" t="n">
        <v>0</v>
      </c>
      <c r="O712" t="n">
        <v>0</v>
      </c>
      <c r="P712" t="n">
        <v>0</v>
      </c>
      <c r="Q712" t="n">
        <v>0</v>
      </c>
      <c r="R712" s="2" t="inlineStr"/>
    </row>
    <row r="713" ht="15" customHeight="1">
      <c r="A713" t="inlineStr">
        <is>
          <t>A 12809-2025</t>
        </is>
      </c>
      <c r="B713" s="1" t="n">
        <v>45733.6156712963</v>
      </c>
      <c r="C713" s="1" t="n">
        <v>46013</v>
      </c>
      <c r="D713" t="inlineStr">
        <is>
          <t>UPPSALA LÄN</t>
        </is>
      </c>
      <c r="E713" t="inlineStr">
        <is>
          <t>TIERP</t>
        </is>
      </c>
      <c r="F713" t="inlineStr">
        <is>
          <t>Bergvik skog väst AB</t>
        </is>
      </c>
      <c r="G713" t="n">
        <v>1.3</v>
      </c>
      <c r="H713" t="n">
        <v>0</v>
      </c>
      <c r="I713" t="n">
        <v>0</v>
      </c>
      <c r="J713" t="n">
        <v>0</v>
      </c>
      <c r="K713" t="n">
        <v>0</v>
      </c>
      <c r="L713" t="n">
        <v>0</v>
      </c>
      <c r="M713" t="n">
        <v>0</v>
      </c>
      <c r="N713" t="n">
        <v>0</v>
      </c>
      <c r="O713" t="n">
        <v>0</v>
      </c>
      <c r="P713" t="n">
        <v>0</v>
      </c>
      <c r="Q713" t="n">
        <v>0</v>
      </c>
      <c r="R713" s="2" t="inlineStr"/>
    </row>
    <row r="714" ht="15" customHeight="1">
      <c r="A714" t="inlineStr">
        <is>
          <t>A 32190-2022</t>
        </is>
      </c>
      <c r="B714" s="1" t="n">
        <v>44781.3843287037</v>
      </c>
      <c r="C714" s="1" t="n">
        <v>46013</v>
      </c>
      <c r="D714" t="inlineStr">
        <is>
          <t>UPPSALA LÄN</t>
        </is>
      </c>
      <c r="E714" t="inlineStr">
        <is>
          <t>TIERP</t>
        </is>
      </c>
      <c r="G714" t="n">
        <v>3.1</v>
      </c>
      <c r="H714" t="n">
        <v>0</v>
      </c>
      <c r="I714" t="n">
        <v>0</v>
      </c>
      <c r="J714" t="n">
        <v>0</v>
      </c>
      <c r="K714" t="n">
        <v>0</v>
      </c>
      <c r="L714" t="n">
        <v>0</v>
      </c>
      <c r="M714" t="n">
        <v>0</v>
      </c>
      <c r="N714" t="n">
        <v>0</v>
      </c>
      <c r="O714" t="n">
        <v>0</v>
      </c>
      <c r="P714" t="n">
        <v>0</v>
      </c>
      <c r="Q714" t="n">
        <v>0</v>
      </c>
      <c r="R714" s="2" t="inlineStr"/>
    </row>
    <row r="715" ht="15" customHeight="1">
      <c r="A715" t="inlineStr">
        <is>
          <t>A 63649-2023</t>
        </is>
      </c>
      <c r="B715" s="1" t="n">
        <v>45275.59357638889</v>
      </c>
      <c r="C715" s="1" t="n">
        <v>46013</v>
      </c>
      <c r="D715" t="inlineStr">
        <is>
          <t>UPPSALA LÄN</t>
        </is>
      </c>
      <c r="E715" t="inlineStr">
        <is>
          <t>TIERP</t>
        </is>
      </c>
      <c r="G715" t="n">
        <v>1.4</v>
      </c>
      <c r="H715" t="n">
        <v>0</v>
      </c>
      <c r="I715" t="n">
        <v>0</v>
      </c>
      <c r="J715" t="n">
        <v>0</v>
      </c>
      <c r="K715" t="n">
        <v>0</v>
      </c>
      <c r="L715" t="n">
        <v>0</v>
      </c>
      <c r="M715" t="n">
        <v>0</v>
      </c>
      <c r="N715" t="n">
        <v>0</v>
      </c>
      <c r="O715" t="n">
        <v>0</v>
      </c>
      <c r="P715" t="n">
        <v>0</v>
      </c>
      <c r="Q715" t="n">
        <v>0</v>
      </c>
      <c r="R715" s="2" t="inlineStr"/>
    </row>
    <row r="716" ht="15" customHeight="1">
      <c r="A716" t="inlineStr">
        <is>
          <t>A 13509-2025</t>
        </is>
      </c>
      <c r="B716" s="1" t="n">
        <v>45736.46944444445</v>
      </c>
      <c r="C716" s="1" t="n">
        <v>46013</v>
      </c>
      <c r="D716" t="inlineStr">
        <is>
          <t>UPPSALA LÄN</t>
        </is>
      </c>
      <c r="E716" t="inlineStr">
        <is>
          <t>TIERP</t>
        </is>
      </c>
      <c r="F716" t="inlineStr">
        <is>
          <t>Bergvik skog väst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408-2024</t>
        </is>
      </c>
      <c r="B717" s="1" t="n">
        <v>45296</v>
      </c>
      <c r="C717" s="1" t="n">
        <v>46013</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59597-2024</t>
        </is>
      </c>
      <c r="B718" s="1" t="n">
        <v>45638</v>
      </c>
      <c r="C718" s="1" t="n">
        <v>46013</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13356-2024</t>
        </is>
      </c>
      <c r="B719" s="1" t="n">
        <v>45387.34152777777</v>
      </c>
      <c r="C719" s="1" t="n">
        <v>46013</v>
      </c>
      <c r="D719" t="inlineStr">
        <is>
          <t>UPPSALA LÄN</t>
        </is>
      </c>
      <c r="E719" t="inlineStr">
        <is>
          <t>TIERP</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49111-2024</t>
        </is>
      </c>
      <c r="B720" s="1" t="n">
        <v>45594.65586805555</v>
      </c>
      <c r="C720" s="1" t="n">
        <v>46013</v>
      </c>
      <c r="D720" t="inlineStr">
        <is>
          <t>UPPSALA LÄN</t>
        </is>
      </c>
      <c r="E720" t="inlineStr">
        <is>
          <t>TIERP</t>
        </is>
      </c>
      <c r="G720" t="n">
        <v>1.9</v>
      </c>
      <c r="H720" t="n">
        <v>0</v>
      </c>
      <c r="I720" t="n">
        <v>0</v>
      </c>
      <c r="J720" t="n">
        <v>0</v>
      </c>
      <c r="K720" t="n">
        <v>0</v>
      </c>
      <c r="L720" t="n">
        <v>0</v>
      </c>
      <c r="M720" t="n">
        <v>0</v>
      </c>
      <c r="N720" t="n">
        <v>0</v>
      </c>
      <c r="O720" t="n">
        <v>0</v>
      </c>
      <c r="P720" t="n">
        <v>0</v>
      </c>
      <c r="Q720" t="n">
        <v>0</v>
      </c>
      <c r="R720" s="2" t="inlineStr"/>
    </row>
    <row r="721" ht="15" customHeight="1">
      <c r="A721" t="inlineStr">
        <is>
          <t>A 49946-2022</t>
        </is>
      </c>
      <c r="B721" s="1" t="n">
        <v>44865</v>
      </c>
      <c r="C721" s="1" t="n">
        <v>46013</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26771-2024</t>
        </is>
      </c>
      <c r="B722" s="1" t="n">
        <v>45470</v>
      </c>
      <c r="C722" s="1" t="n">
        <v>46013</v>
      </c>
      <c r="D722" t="inlineStr">
        <is>
          <t>UPPSALA LÄN</t>
        </is>
      </c>
      <c r="E722" t="inlineStr">
        <is>
          <t>TIERP</t>
        </is>
      </c>
      <c r="G722" t="n">
        <v>1.2</v>
      </c>
      <c r="H722" t="n">
        <v>0</v>
      </c>
      <c r="I722" t="n">
        <v>0</v>
      </c>
      <c r="J722" t="n">
        <v>0</v>
      </c>
      <c r="K722" t="n">
        <v>0</v>
      </c>
      <c r="L722" t="n">
        <v>0</v>
      </c>
      <c r="M722" t="n">
        <v>0</v>
      </c>
      <c r="N722" t="n">
        <v>0</v>
      </c>
      <c r="O722" t="n">
        <v>0</v>
      </c>
      <c r="P722" t="n">
        <v>0</v>
      </c>
      <c r="Q722" t="n">
        <v>0</v>
      </c>
      <c r="R722" s="2" t="inlineStr"/>
    </row>
    <row r="723" ht="15" customHeight="1">
      <c r="A723" t="inlineStr">
        <is>
          <t>A 48486-2022</t>
        </is>
      </c>
      <c r="B723" s="1" t="n">
        <v>44858.783125</v>
      </c>
      <c r="C723" s="1" t="n">
        <v>46013</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12657-2025</t>
        </is>
      </c>
      <c r="B724" s="1" t="n">
        <v>45733.42229166667</v>
      </c>
      <c r="C724" s="1" t="n">
        <v>46013</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12662-2025</t>
        </is>
      </c>
      <c r="B725" s="1" t="n">
        <v>45733.42510416666</v>
      </c>
      <c r="C725" s="1" t="n">
        <v>46013</v>
      </c>
      <c r="D725" t="inlineStr">
        <is>
          <t>UPPSALA LÄN</t>
        </is>
      </c>
      <c r="E725" t="inlineStr">
        <is>
          <t>TIERP</t>
        </is>
      </c>
      <c r="G725" t="n">
        <v>1.2</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46013</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59731-2022</t>
        </is>
      </c>
      <c r="B727" s="1" t="n">
        <v>44908</v>
      </c>
      <c r="C727" s="1" t="n">
        <v>46013</v>
      </c>
      <c r="D727" t="inlineStr">
        <is>
          <t>UPPSALA LÄN</t>
        </is>
      </c>
      <c r="E727" t="inlineStr">
        <is>
          <t>TIERP</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7591-2023</t>
        </is>
      </c>
      <c r="B728" s="1" t="n">
        <v>44972.43747685185</v>
      </c>
      <c r="C728" s="1" t="n">
        <v>46013</v>
      </c>
      <c r="D728" t="inlineStr">
        <is>
          <t>UPPSALA LÄN</t>
        </is>
      </c>
      <c r="E728" t="inlineStr">
        <is>
          <t>TIERP</t>
        </is>
      </c>
      <c r="G728" t="n">
        <v>0.7</v>
      </c>
      <c r="H728" t="n">
        <v>0</v>
      </c>
      <c r="I728" t="n">
        <v>0</v>
      </c>
      <c r="J728" t="n">
        <v>0</v>
      </c>
      <c r="K728" t="n">
        <v>0</v>
      </c>
      <c r="L728" t="n">
        <v>0</v>
      </c>
      <c r="M728" t="n">
        <v>0</v>
      </c>
      <c r="N728" t="n">
        <v>0</v>
      </c>
      <c r="O728" t="n">
        <v>0</v>
      </c>
      <c r="P728" t="n">
        <v>0</v>
      </c>
      <c r="Q728" t="n">
        <v>0</v>
      </c>
      <c r="R728" s="2" t="inlineStr"/>
    </row>
    <row r="729" ht="15" customHeight="1">
      <c r="A729" t="inlineStr">
        <is>
          <t>A 16851-2025</t>
        </is>
      </c>
      <c r="B729" s="1" t="n">
        <v>45754.71314814815</v>
      </c>
      <c r="C729" s="1" t="n">
        <v>46013</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36069-2021</t>
        </is>
      </c>
      <c r="B730" s="1" t="n">
        <v>44389</v>
      </c>
      <c r="C730" s="1" t="n">
        <v>46013</v>
      </c>
      <c r="D730" t="inlineStr">
        <is>
          <t>UPPSALA LÄN</t>
        </is>
      </c>
      <c r="E730" t="inlineStr">
        <is>
          <t>TIERP</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31103-2022</t>
        </is>
      </c>
      <c r="B731" s="1" t="n">
        <v>44769.65189814815</v>
      </c>
      <c r="C731" s="1" t="n">
        <v>46013</v>
      </c>
      <c r="D731" t="inlineStr">
        <is>
          <t>UPPSALA LÄN</t>
        </is>
      </c>
      <c r="E731" t="inlineStr">
        <is>
          <t>TIERP</t>
        </is>
      </c>
      <c r="G731" t="n">
        <v>1.8</v>
      </c>
      <c r="H731" t="n">
        <v>0</v>
      </c>
      <c r="I731" t="n">
        <v>0</v>
      </c>
      <c r="J731" t="n">
        <v>0</v>
      </c>
      <c r="K731" t="n">
        <v>0</v>
      </c>
      <c r="L731" t="n">
        <v>0</v>
      </c>
      <c r="M731" t="n">
        <v>0</v>
      </c>
      <c r="N731" t="n">
        <v>0</v>
      </c>
      <c r="O731" t="n">
        <v>0</v>
      </c>
      <c r="P731" t="n">
        <v>0</v>
      </c>
      <c r="Q731" t="n">
        <v>0</v>
      </c>
      <c r="R731" s="2" t="inlineStr"/>
    </row>
    <row r="732" ht="15" customHeight="1">
      <c r="A732" t="inlineStr">
        <is>
          <t>A 5918-2022</t>
        </is>
      </c>
      <c r="B732" s="1" t="n">
        <v>44597.83796296296</v>
      </c>
      <c r="C732" s="1" t="n">
        <v>46013</v>
      </c>
      <c r="D732" t="inlineStr">
        <is>
          <t>UPPSALA LÄN</t>
        </is>
      </c>
      <c r="E732" t="inlineStr">
        <is>
          <t>TIERP</t>
        </is>
      </c>
      <c r="G732" t="n">
        <v>4.7</v>
      </c>
      <c r="H732" t="n">
        <v>0</v>
      </c>
      <c r="I732" t="n">
        <v>0</v>
      </c>
      <c r="J732" t="n">
        <v>0</v>
      </c>
      <c r="K732" t="n">
        <v>0</v>
      </c>
      <c r="L732" t="n">
        <v>0</v>
      </c>
      <c r="M732" t="n">
        <v>0</v>
      </c>
      <c r="N732" t="n">
        <v>0</v>
      </c>
      <c r="O732" t="n">
        <v>0</v>
      </c>
      <c r="P732" t="n">
        <v>0</v>
      </c>
      <c r="Q732" t="n">
        <v>0</v>
      </c>
      <c r="R732" s="2" t="inlineStr"/>
    </row>
    <row r="733" ht="15" customHeight="1">
      <c r="A733" t="inlineStr">
        <is>
          <t>A 22636-2024</t>
        </is>
      </c>
      <c r="B733" s="1" t="n">
        <v>45447</v>
      </c>
      <c r="C733" s="1" t="n">
        <v>46013</v>
      </c>
      <c r="D733" t="inlineStr">
        <is>
          <t>UPPSALA LÄN</t>
        </is>
      </c>
      <c r="E733" t="inlineStr">
        <is>
          <t>TIERP</t>
        </is>
      </c>
      <c r="G733" t="n">
        <v>0.5</v>
      </c>
      <c r="H733" t="n">
        <v>0</v>
      </c>
      <c r="I733" t="n">
        <v>0</v>
      </c>
      <c r="J733" t="n">
        <v>0</v>
      </c>
      <c r="K733" t="n">
        <v>0</v>
      </c>
      <c r="L733" t="n">
        <v>0</v>
      </c>
      <c r="M733" t="n">
        <v>0</v>
      </c>
      <c r="N733" t="n">
        <v>0</v>
      </c>
      <c r="O733" t="n">
        <v>0</v>
      </c>
      <c r="P733" t="n">
        <v>0</v>
      </c>
      <c r="Q733" t="n">
        <v>0</v>
      </c>
      <c r="R733" s="2" t="inlineStr"/>
    </row>
    <row r="734" ht="15" customHeight="1">
      <c r="A734" t="inlineStr">
        <is>
          <t>A 60154-2022</t>
        </is>
      </c>
      <c r="B734" s="1" t="n">
        <v>44909</v>
      </c>
      <c r="C734" s="1" t="n">
        <v>46013</v>
      </c>
      <c r="D734" t="inlineStr">
        <is>
          <t>UPPSALA LÄN</t>
        </is>
      </c>
      <c r="E734" t="inlineStr">
        <is>
          <t>TIERP</t>
        </is>
      </c>
      <c r="G734" t="n">
        <v>6</v>
      </c>
      <c r="H734" t="n">
        <v>0</v>
      </c>
      <c r="I734" t="n">
        <v>0</v>
      </c>
      <c r="J734" t="n">
        <v>0</v>
      </c>
      <c r="K734" t="n">
        <v>0</v>
      </c>
      <c r="L734" t="n">
        <v>0</v>
      </c>
      <c r="M734" t="n">
        <v>0</v>
      </c>
      <c r="N734" t="n">
        <v>0</v>
      </c>
      <c r="O734" t="n">
        <v>0</v>
      </c>
      <c r="P734" t="n">
        <v>0</v>
      </c>
      <c r="Q734" t="n">
        <v>0</v>
      </c>
      <c r="R734" s="2" t="inlineStr"/>
    </row>
    <row r="735" ht="15" customHeight="1">
      <c r="A735" t="inlineStr">
        <is>
          <t>A 64128-2023</t>
        </is>
      </c>
      <c r="B735" s="1" t="n">
        <v>45279.51664351852</v>
      </c>
      <c r="C735" s="1" t="n">
        <v>46013</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45848-2024</t>
        </is>
      </c>
      <c r="B736" s="1" t="n">
        <v>45580</v>
      </c>
      <c r="C736" s="1" t="n">
        <v>46013</v>
      </c>
      <c r="D736" t="inlineStr">
        <is>
          <t>UPPSALA LÄN</t>
        </is>
      </c>
      <c r="E736" t="inlineStr">
        <is>
          <t>TIERP</t>
        </is>
      </c>
      <c r="G736" t="n">
        <v>6.4</v>
      </c>
      <c r="H736" t="n">
        <v>0</v>
      </c>
      <c r="I736" t="n">
        <v>0</v>
      </c>
      <c r="J736" t="n">
        <v>0</v>
      </c>
      <c r="K736" t="n">
        <v>0</v>
      </c>
      <c r="L736" t="n">
        <v>0</v>
      </c>
      <c r="M736" t="n">
        <v>0</v>
      </c>
      <c r="N736" t="n">
        <v>0</v>
      </c>
      <c r="O736" t="n">
        <v>0</v>
      </c>
      <c r="P736" t="n">
        <v>0</v>
      </c>
      <c r="Q736" t="n">
        <v>0</v>
      </c>
      <c r="R736" s="2" t="inlineStr"/>
    </row>
    <row r="737" ht="15" customHeight="1">
      <c r="A737" t="inlineStr">
        <is>
          <t>A 7127-2024</t>
        </is>
      </c>
      <c r="B737" s="1" t="n">
        <v>45344.338125</v>
      </c>
      <c r="C737" s="1" t="n">
        <v>46013</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15574-2024</t>
        </is>
      </c>
      <c r="B738" s="1" t="n">
        <v>45401.68577546296</v>
      </c>
      <c r="C738" s="1" t="n">
        <v>46013</v>
      </c>
      <c r="D738" t="inlineStr">
        <is>
          <t>UPPSALA LÄN</t>
        </is>
      </c>
      <c r="E738" t="inlineStr">
        <is>
          <t>TIERP</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46976-2021</t>
        </is>
      </c>
      <c r="B739" s="1" t="n">
        <v>44446</v>
      </c>
      <c r="C739" s="1" t="n">
        <v>46013</v>
      </c>
      <c r="D739" t="inlineStr">
        <is>
          <t>UPPSALA LÄN</t>
        </is>
      </c>
      <c r="E739" t="inlineStr">
        <is>
          <t>TIERP</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22759-2024</t>
        </is>
      </c>
      <c r="B740" s="1" t="n">
        <v>45448</v>
      </c>
      <c r="C740" s="1" t="n">
        <v>46013</v>
      </c>
      <c r="D740" t="inlineStr">
        <is>
          <t>UPPSALA LÄN</t>
        </is>
      </c>
      <c r="E740" t="inlineStr">
        <is>
          <t>TIERP</t>
        </is>
      </c>
      <c r="G740" t="n">
        <v>6.9</v>
      </c>
      <c r="H740" t="n">
        <v>0</v>
      </c>
      <c r="I740" t="n">
        <v>0</v>
      </c>
      <c r="J740" t="n">
        <v>0</v>
      </c>
      <c r="K740" t="n">
        <v>0</v>
      </c>
      <c r="L740" t="n">
        <v>0</v>
      </c>
      <c r="M740" t="n">
        <v>0</v>
      </c>
      <c r="N740" t="n">
        <v>0</v>
      </c>
      <c r="O740" t="n">
        <v>0</v>
      </c>
      <c r="P740" t="n">
        <v>0</v>
      </c>
      <c r="Q740" t="n">
        <v>0</v>
      </c>
      <c r="R740" s="2" t="inlineStr"/>
    </row>
    <row r="741" ht="15" customHeight="1">
      <c r="A741" t="inlineStr">
        <is>
          <t>A 15851-2023</t>
        </is>
      </c>
      <c r="B741" s="1" t="n">
        <v>45022</v>
      </c>
      <c r="C741" s="1" t="n">
        <v>46013</v>
      </c>
      <c r="D741" t="inlineStr">
        <is>
          <t>UPPSALA LÄN</t>
        </is>
      </c>
      <c r="E741" t="inlineStr">
        <is>
          <t>TIERP</t>
        </is>
      </c>
      <c r="G741" t="n">
        <v>2.1</v>
      </c>
      <c r="H741" t="n">
        <v>0</v>
      </c>
      <c r="I741" t="n">
        <v>0</v>
      </c>
      <c r="J741" t="n">
        <v>0</v>
      </c>
      <c r="K741" t="n">
        <v>0</v>
      </c>
      <c r="L741" t="n">
        <v>0</v>
      </c>
      <c r="M741" t="n">
        <v>0</v>
      </c>
      <c r="N741" t="n">
        <v>0</v>
      </c>
      <c r="O741" t="n">
        <v>0</v>
      </c>
      <c r="P741" t="n">
        <v>0</v>
      </c>
      <c r="Q741" t="n">
        <v>0</v>
      </c>
      <c r="R741" s="2" t="inlineStr"/>
    </row>
    <row r="742" ht="15" customHeight="1">
      <c r="A742" t="inlineStr">
        <is>
          <t>A 48970-2021</t>
        </is>
      </c>
      <c r="B742" s="1" t="n">
        <v>44453</v>
      </c>
      <c r="C742" s="1" t="n">
        <v>46013</v>
      </c>
      <c r="D742" t="inlineStr">
        <is>
          <t>UPPSALA LÄN</t>
        </is>
      </c>
      <c r="E742" t="inlineStr">
        <is>
          <t>TIERP</t>
        </is>
      </c>
      <c r="G742" t="n">
        <v>4.5</v>
      </c>
      <c r="H742" t="n">
        <v>0</v>
      </c>
      <c r="I742" t="n">
        <v>0</v>
      </c>
      <c r="J742" t="n">
        <v>0</v>
      </c>
      <c r="K742" t="n">
        <v>0</v>
      </c>
      <c r="L742" t="n">
        <v>0</v>
      </c>
      <c r="M742" t="n">
        <v>0</v>
      </c>
      <c r="N742" t="n">
        <v>0</v>
      </c>
      <c r="O742" t="n">
        <v>0</v>
      </c>
      <c r="P742" t="n">
        <v>0</v>
      </c>
      <c r="Q742" t="n">
        <v>0</v>
      </c>
      <c r="R742" s="2" t="inlineStr"/>
    </row>
    <row r="743" ht="15" customHeight="1">
      <c r="A743" t="inlineStr">
        <is>
          <t>A 46681-2022</t>
        </is>
      </c>
      <c r="B743" s="1" t="n">
        <v>44843</v>
      </c>
      <c r="C743" s="1" t="n">
        <v>46013</v>
      </c>
      <c r="D743" t="inlineStr">
        <is>
          <t>UPPSALA LÄN</t>
        </is>
      </c>
      <c r="E743" t="inlineStr">
        <is>
          <t>TIERP</t>
        </is>
      </c>
      <c r="G743" t="n">
        <v>5.9</v>
      </c>
      <c r="H743" t="n">
        <v>0</v>
      </c>
      <c r="I743" t="n">
        <v>0</v>
      </c>
      <c r="J743" t="n">
        <v>0</v>
      </c>
      <c r="K743" t="n">
        <v>0</v>
      </c>
      <c r="L743" t="n">
        <v>0</v>
      </c>
      <c r="M743" t="n">
        <v>0</v>
      </c>
      <c r="N743" t="n">
        <v>0</v>
      </c>
      <c r="O743" t="n">
        <v>0</v>
      </c>
      <c r="P743" t="n">
        <v>0</v>
      </c>
      <c r="Q743" t="n">
        <v>0</v>
      </c>
      <c r="R743" s="2" t="inlineStr"/>
    </row>
    <row r="744" ht="15" customHeight="1">
      <c r="A744" t="inlineStr">
        <is>
          <t>A 16494-2025</t>
        </is>
      </c>
      <c r="B744" s="1" t="n">
        <v>45751.59844907407</v>
      </c>
      <c r="C744" s="1" t="n">
        <v>46013</v>
      </c>
      <c r="D744" t="inlineStr">
        <is>
          <t>UPPSALA LÄN</t>
        </is>
      </c>
      <c r="E744" t="inlineStr">
        <is>
          <t>TIERP</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20021-2025</t>
        </is>
      </c>
      <c r="B745" s="1" t="n">
        <v>45772.33785879629</v>
      </c>
      <c r="C745" s="1" t="n">
        <v>46013</v>
      </c>
      <c r="D745" t="inlineStr">
        <is>
          <t>UPPSALA LÄN</t>
        </is>
      </c>
      <c r="E745" t="inlineStr">
        <is>
          <t>TIERP</t>
        </is>
      </c>
      <c r="F745" t="inlineStr">
        <is>
          <t>Kyrkan</t>
        </is>
      </c>
      <c r="G745" t="n">
        <v>0.5</v>
      </c>
      <c r="H745" t="n">
        <v>0</v>
      </c>
      <c r="I745" t="n">
        <v>0</v>
      </c>
      <c r="J745" t="n">
        <v>0</v>
      </c>
      <c r="K745" t="n">
        <v>0</v>
      </c>
      <c r="L745" t="n">
        <v>0</v>
      </c>
      <c r="M745" t="n">
        <v>0</v>
      </c>
      <c r="N745" t="n">
        <v>0</v>
      </c>
      <c r="O745" t="n">
        <v>0</v>
      </c>
      <c r="P745" t="n">
        <v>0</v>
      </c>
      <c r="Q745" t="n">
        <v>0</v>
      </c>
      <c r="R745" s="2" t="inlineStr"/>
    </row>
    <row r="746" ht="15" customHeight="1">
      <c r="A746" t="inlineStr">
        <is>
          <t>A 28346-2022</t>
        </is>
      </c>
      <c r="B746" s="1" t="n">
        <v>44747</v>
      </c>
      <c r="C746" s="1" t="n">
        <v>46013</v>
      </c>
      <c r="D746" t="inlineStr">
        <is>
          <t>UPPSALA LÄN</t>
        </is>
      </c>
      <c r="E746" t="inlineStr">
        <is>
          <t>TIERP</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55423-2022</t>
        </is>
      </c>
      <c r="B747" s="1" t="n">
        <v>44887</v>
      </c>
      <c r="C747" s="1" t="n">
        <v>46013</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46275-2022</t>
        </is>
      </c>
      <c r="B748" s="1" t="n">
        <v>44847</v>
      </c>
      <c r="C748" s="1" t="n">
        <v>46013</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61149-2024</t>
        </is>
      </c>
      <c r="B749" s="1" t="n">
        <v>45645</v>
      </c>
      <c r="C749" s="1" t="n">
        <v>46013</v>
      </c>
      <c r="D749" t="inlineStr">
        <is>
          <t>UPPSALA LÄN</t>
        </is>
      </c>
      <c r="E749" t="inlineStr">
        <is>
          <t>TIERP</t>
        </is>
      </c>
      <c r="G749" t="n">
        <v>0.8</v>
      </c>
      <c r="H749" t="n">
        <v>0</v>
      </c>
      <c r="I749" t="n">
        <v>0</v>
      </c>
      <c r="J749" t="n">
        <v>0</v>
      </c>
      <c r="K749" t="n">
        <v>0</v>
      </c>
      <c r="L749" t="n">
        <v>0</v>
      </c>
      <c r="M749" t="n">
        <v>0</v>
      </c>
      <c r="N749" t="n">
        <v>0</v>
      </c>
      <c r="O749" t="n">
        <v>0</v>
      </c>
      <c r="P749" t="n">
        <v>0</v>
      </c>
      <c r="Q749" t="n">
        <v>0</v>
      </c>
      <c r="R749" s="2" t="inlineStr"/>
    </row>
    <row r="750" ht="15" customHeight="1">
      <c r="A750" t="inlineStr">
        <is>
          <t>A 8768-2023</t>
        </is>
      </c>
      <c r="B750" s="1" t="n">
        <v>44978.5362037037</v>
      </c>
      <c r="C750" s="1" t="n">
        <v>46013</v>
      </c>
      <c r="D750" t="inlineStr">
        <is>
          <t>UPPSALA LÄN</t>
        </is>
      </c>
      <c r="E750" t="inlineStr">
        <is>
          <t>TIERP</t>
        </is>
      </c>
      <c r="G750" t="n">
        <v>1.2</v>
      </c>
      <c r="H750" t="n">
        <v>0</v>
      </c>
      <c r="I750" t="n">
        <v>0</v>
      </c>
      <c r="J750" t="n">
        <v>0</v>
      </c>
      <c r="K750" t="n">
        <v>0</v>
      </c>
      <c r="L750" t="n">
        <v>0</v>
      </c>
      <c r="M750" t="n">
        <v>0</v>
      </c>
      <c r="N750" t="n">
        <v>0</v>
      </c>
      <c r="O750" t="n">
        <v>0</v>
      </c>
      <c r="P750" t="n">
        <v>0</v>
      </c>
      <c r="Q750" t="n">
        <v>0</v>
      </c>
      <c r="R750" s="2" t="inlineStr"/>
    </row>
    <row r="751" ht="15" customHeight="1">
      <c r="A751" t="inlineStr">
        <is>
          <t>A 55678-2024</t>
        </is>
      </c>
      <c r="B751" s="1" t="n">
        <v>45622.65828703704</v>
      </c>
      <c r="C751" s="1" t="n">
        <v>46013</v>
      </c>
      <c r="D751" t="inlineStr">
        <is>
          <t>UPPSALA LÄN</t>
        </is>
      </c>
      <c r="E751" t="inlineStr">
        <is>
          <t>TIERP</t>
        </is>
      </c>
      <c r="G751" t="n">
        <v>8.4</v>
      </c>
      <c r="H751" t="n">
        <v>0</v>
      </c>
      <c r="I751" t="n">
        <v>0</v>
      </c>
      <c r="J751" t="n">
        <v>0</v>
      </c>
      <c r="K751" t="n">
        <v>0</v>
      </c>
      <c r="L751" t="n">
        <v>0</v>
      </c>
      <c r="M751" t="n">
        <v>0</v>
      </c>
      <c r="N751" t="n">
        <v>0</v>
      </c>
      <c r="O751" t="n">
        <v>0</v>
      </c>
      <c r="P751" t="n">
        <v>0</v>
      </c>
      <c r="Q751" t="n">
        <v>0</v>
      </c>
      <c r="R751" s="2" t="inlineStr"/>
    </row>
    <row r="752" ht="15" customHeight="1">
      <c r="A752" t="inlineStr">
        <is>
          <t>A 5994-2023</t>
        </is>
      </c>
      <c r="B752" s="1" t="n">
        <v>44964</v>
      </c>
      <c r="C752" s="1" t="n">
        <v>46013</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5987-2023</t>
        </is>
      </c>
      <c r="B753" s="1" t="n">
        <v>44964</v>
      </c>
      <c r="C753" s="1" t="n">
        <v>46013</v>
      </c>
      <c r="D753" t="inlineStr">
        <is>
          <t>UPPSALA LÄN</t>
        </is>
      </c>
      <c r="E753" t="inlineStr">
        <is>
          <t>TIERP</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66241-2021</t>
        </is>
      </c>
      <c r="B754" s="1" t="n">
        <v>44518.40658564815</v>
      </c>
      <c r="C754" s="1" t="n">
        <v>46013</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16124-2021</t>
        </is>
      </c>
      <c r="B755" s="1" t="n">
        <v>44291</v>
      </c>
      <c r="C755" s="1" t="n">
        <v>46013</v>
      </c>
      <c r="D755" t="inlineStr">
        <is>
          <t>UPPSALA LÄN</t>
        </is>
      </c>
      <c r="E755" t="inlineStr">
        <is>
          <t>TIERP</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61717-2022</t>
        </is>
      </c>
      <c r="B756" s="1" t="n">
        <v>44917</v>
      </c>
      <c r="C756" s="1" t="n">
        <v>46013</v>
      </c>
      <c r="D756" t="inlineStr">
        <is>
          <t>UPPSALA LÄN</t>
        </is>
      </c>
      <c r="E756" t="inlineStr">
        <is>
          <t>TIERP</t>
        </is>
      </c>
      <c r="G756" t="n">
        <v>3.2</v>
      </c>
      <c r="H756" t="n">
        <v>0</v>
      </c>
      <c r="I756" t="n">
        <v>0</v>
      </c>
      <c r="J756" t="n">
        <v>0</v>
      </c>
      <c r="K756" t="n">
        <v>0</v>
      </c>
      <c r="L756" t="n">
        <v>0</v>
      </c>
      <c r="M756" t="n">
        <v>0</v>
      </c>
      <c r="N756" t="n">
        <v>0</v>
      </c>
      <c r="O756" t="n">
        <v>0</v>
      </c>
      <c r="P756" t="n">
        <v>0</v>
      </c>
      <c r="Q756" t="n">
        <v>0</v>
      </c>
      <c r="R756" s="2" t="inlineStr"/>
    </row>
    <row r="757" ht="15" customHeight="1">
      <c r="A757" t="inlineStr">
        <is>
          <t>A 17579-2025</t>
        </is>
      </c>
      <c r="B757" s="1" t="n">
        <v>45757.65542824074</v>
      </c>
      <c r="C757" s="1" t="n">
        <v>46013</v>
      </c>
      <c r="D757" t="inlineStr">
        <is>
          <t>UPPSALA LÄN</t>
        </is>
      </c>
      <c r="E757" t="inlineStr">
        <is>
          <t>TIERP</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2301-2024</t>
        </is>
      </c>
      <c r="B758" s="1" t="n">
        <v>45310.44783564815</v>
      </c>
      <c r="C758" s="1" t="n">
        <v>46013</v>
      </c>
      <c r="D758" t="inlineStr">
        <is>
          <t>UPPSALA LÄN</t>
        </is>
      </c>
      <c r="E758" t="inlineStr">
        <is>
          <t>TIERP</t>
        </is>
      </c>
      <c r="G758" t="n">
        <v>0.4</v>
      </c>
      <c r="H758" t="n">
        <v>0</v>
      </c>
      <c r="I758" t="n">
        <v>0</v>
      </c>
      <c r="J758" t="n">
        <v>0</v>
      </c>
      <c r="K758" t="n">
        <v>0</v>
      </c>
      <c r="L758" t="n">
        <v>0</v>
      </c>
      <c r="M758" t="n">
        <v>0</v>
      </c>
      <c r="N758" t="n">
        <v>0</v>
      </c>
      <c r="O758" t="n">
        <v>0</v>
      </c>
      <c r="P758" t="n">
        <v>0</v>
      </c>
      <c r="Q758" t="n">
        <v>0</v>
      </c>
      <c r="R758" s="2" t="inlineStr"/>
    </row>
    <row r="759" ht="15" customHeight="1">
      <c r="A759" t="inlineStr">
        <is>
          <t>A 8772-2023</t>
        </is>
      </c>
      <c r="B759" s="1" t="n">
        <v>44978.5591087963</v>
      </c>
      <c r="C759" s="1" t="n">
        <v>46013</v>
      </c>
      <c r="D759" t="inlineStr">
        <is>
          <t>UPPSALA LÄN</t>
        </is>
      </c>
      <c r="E759" t="inlineStr">
        <is>
          <t>TIERP</t>
        </is>
      </c>
      <c r="G759" t="n">
        <v>2.4</v>
      </c>
      <c r="H759" t="n">
        <v>0</v>
      </c>
      <c r="I759" t="n">
        <v>0</v>
      </c>
      <c r="J759" t="n">
        <v>0</v>
      </c>
      <c r="K759" t="n">
        <v>0</v>
      </c>
      <c r="L759" t="n">
        <v>0</v>
      </c>
      <c r="M759" t="n">
        <v>0</v>
      </c>
      <c r="N759" t="n">
        <v>0</v>
      </c>
      <c r="O759" t="n">
        <v>0</v>
      </c>
      <c r="P759" t="n">
        <v>0</v>
      </c>
      <c r="Q759" t="n">
        <v>0</v>
      </c>
      <c r="R759" s="2" t="inlineStr"/>
    </row>
    <row r="760" ht="15" customHeight="1">
      <c r="A760" t="inlineStr">
        <is>
          <t>A 8774-2023</t>
        </is>
      </c>
      <c r="B760" s="1" t="n">
        <v>44978.56202546296</v>
      </c>
      <c r="C760" s="1" t="n">
        <v>46013</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54449-2024</t>
        </is>
      </c>
      <c r="B761" s="1" t="n">
        <v>45617</v>
      </c>
      <c r="C761" s="1" t="n">
        <v>46013</v>
      </c>
      <c r="D761" t="inlineStr">
        <is>
          <t>UPPSALA LÄN</t>
        </is>
      </c>
      <c r="E761" t="inlineStr">
        <is>
          <t>TIERP</t>
        </is>
      </c>
      <c r="G761" t="n">
        <v>8.5</v>
      </c>
      <c r="H761" t="n">
        <v>0</v>
      </c>
      <c r="I761" t="n">
        <v>0</v>
      </c>
      <c r="J761" t="n">
        <v>0</v>
      </c>
      <c r="K761" t="n">
        <v>0</v>
      </c>
      <c r="L761" t="n">
        <v>0</v>
      </c>
      <c r="M761" t="n">
        <v>0</v>
      </c>
      <c r="N761" t="n">
        <v>0</v>
      </c>
      <c r="O761" t="n">
        <v>0</v>
      </c>
      <c r="P761" t="n">
        <v>0</v>
      </c>
      <c r="Q761" t="n">
        <v>0</v>
      </c>
      <c r="R761" s="2" t="inlineStr"/>
    </row>
    <row r="762" ht="15" customHeight="1">
      <c r="A762" t="inlineStr">
        <is>
          <t>A 18368-2025</t>
        </is>
      </c>
      <c r="B762" s="1" t="n">
        <v>45762.56429398148</v>
      </c>
      <c r="C762" s="1" t="n">
        <v>46013</v>
      </c>
      <c r="D762" t="inlineStr">
        <is>
          <t>UPPSALA LÄN</t>
        </is>
      </c>
      <c r="E762" t="inlineStr">
        <is>
          <t>TIERP</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18378-2025</t>
        </is>
      </c>
      <c r="B763" s="1" t="n">
        <v>45762.57510416667</v>
      </c>
      <c r="C763" s="1" t="n">
        <v>46013</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2454-2024</t>
        </is>
      </c>
      <c r="B764" s="1" t="n">
        <v>45312</v>
      </c>
      <c r="C764" s="1" t="n">
        <v>46013</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13447-2023</t>
        </is>
      </c>
      <c r="B765" s="1" t="n">
        <v>45005</v>
      </c>
      <c r="C765" s="1" t="n">
        <v>46013</v>
      </c>
      <c r="D765" t="inlineStr">
        <is>
          <t>UPPSALA LÄN</t>
        </is>
      </c>
      <c r="E765" t="inlineStr">
        <is>
          <t>TIERP</t>
        </is>
      </c>
      <c r="G765" t="n">
        <v>1.4</v>
      </c>
      <c r="H765" t="n">
        <v>0</v>
      </c>
      <c r="I765" t="n">
        <v>0</v>
      </c>
      <c r="J765" t="n">
        <v>0</v>
      </c>
      <c r="K765" t="n">
        <v>0</v>
      </c>
      <c r="L765" t="n">
        <v>0</v>
      </c>
      <c r="M765" t="n">
        <v>0</v>
      </c>
      <c r="N765" t="n">
        <v>0</v>
      </c>
      <c r="O765" t="n">
        <v>0</v>
      </c>
      <c r="P765" t="n">
        <v>0</v>
      </c>
      <c r="Q765" t="n">
        <v>0</v>
      </c>
      <c r="R765" s="2" t="inlineStr"/>
    </row>
    <row r="766" ht="15" customHeight="1">
      <c r="A766" t="inlineStr">
        <is>
          <t>A 15655-2025</t>
        </is>
      </c>
      <c r="B766" s="1" t="n">
        <v>45748</v>
      </c>
      <c r="C766" s="1" t="n">
        <v>46013</v>
      </c>
      <c r="D766" t="inlineStr">
        <is>
          <t>UPPSALA LÄN</t>
        </is>
      </c>
      <c r="E766" t="inlineStr">
        <is>
          <t>TIERP</t>
        </is>
      </c>
      <c r="F766" t="inlineStr">
        <is>
          <t>Kyrkan</t>
        </is>
      </c>
      <c r="G766" t="n">
        <v>4.5</v>
      </c>
      <c r="H766" t="n">
        <v>0</v>
      </c>
      <c r="I766" t="n">
        <v>0</v>
      </c>
      <c r="J766" t="n">
        <v>0</v>
      </c>
      <c r="K766" t="n">
        <v>0</v>
      </c>
      <c r="L766" t="n">
        <v>0</v>
      </c>
      <c r="M766" t="n">
        <v>0</v>
      </c>
      <c r="N766" t="n">
        <v>0</v>
      </c>
      <c r="O766" t="n">
        <v>0</v>
      </c>
      <c r="P766" t="n">
        <v>0</v>
      </c>
      <c r="Q766" t="n">
        <v>0</v>
      </c>
      <c r="R766" s="2" t="inlineStr"/>
    </row>
    <row r="767" ht="15" customHeight="1">
      <c r="A767" t="inlineStr">
        <is>
          <t>A 34837-2024</t>
        </is>
      </c>
      <c r="B767" s="1" t="n">
        <v>45526</v>
      </c>
      <c r="C767" s="1" t="n">
        <v>46013</v>
      </c>
      <c r="D767" t="inlineStr">
        <is>
          <t>UPPSALA LÄN</t>
        </is>
      </c>
      <c r="E767" t="inlineStr">
        <is>
          <t>TIERP</t>
        </is>
      </c>
      <c r="G767" t="n">
        <v>1.1</v>
      </c>
      <c r="H767" t="n">
        <v>0</v>
      </c>
      <c r="I767" t="n">
        <v>0</v>
      </c>
      <c r="J767" t="n">
        <v>0</v>
      </c>
      <c r="K767" t="n">
        <v>0</v>
      </c>
      <c r="L767" t="n">
        <v>0</v>
      </c>
      <c r="M767" t="n">
        <v>0</v>
      </c>
      <c r="N767" t="n">
        <v>0</v>
      </c>
      <c r="O767" t="n">
        <v>0</v>
      </c>
      <c r="P767" t="n">
        <v>0</v>
      </c>
      <c r="Q767" t="n">
        <v>0</v>
      </c>
      <c r="R767" s="2" t="inlineStr"/>
    </row>
    <row r="768" ht="15" customHeight="1">
      <c r="A768" t="inlineStr">
        <is>
          <t>A 20496-2023</t>
        </is>
      </c>
      <c r="B768" s="1" t="n">
        <v>45057.42894675926</v>
      </c>
      <c r="C768" s="1" t="n">
        <v>46013</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38109-2023</t>
        </is>
      </c>
      <c r="B769" s="1" t="n">
        <v>45161.32083333333</v>
      </c>
      <c r="C769" s="1" t="n">
        <v>46013</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29115-2023</t>
        </is>
      </c>
      <c r="B770" s="1" t="n">
        <v>45105.39783564815</v>
      </c>
      <c r="C770" s="1" t="n">
        <v>46013</v>
      </c>
      <c r="D770" t="inlineStr">
        <is>
          <t>UPPSALA LÄN</t>
        </is>
      </c>
      <c r="E770" t="inlineStr">
        <is>
          <t>TIERP</t>
        </is>
      </c>
      <c r="G770" t="n">
        <v>3.1</v>
      </c>
      <c r="H770" t="n">
        <v>0</v>
      </c>
      <c r="I770" t="n">
        <v>0</v>
      </c>
      <c r="J770" t="n">
        <v>0</v>
      </c>
      <c r="K770" t="n">
        <v>0</v>
      </c>
      <c r="L770" t="n">
        <v>0</v>
      </c>
      <c r="M770" t="n">
        <v>0</v>
      </c>
      <c r="N770" t="n">
        <v>0</v>
      </c>
      <c r="O770" t="n">
        <v>0</v>
      </c>
      <c r="P770" t="n">
        <v>0</v>
      </c>
      <c r="Q770" t="n">
        <v>0</v>
      </c>
      <c r="R770" s="2" t="inlineStr"/>
    </row>
    <row r="771" ht="15" customHeight="1">
      <c r="A771" t="inlineStr">
        <is>
          <t>A 52969-2023</t>
        </is>
      </c>
      <c r="B771" s="1" t="n">
        <v>45226.60010416667</v>
      </c>
      <c r="C771" s="1" t="n">
        <v>46013</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24341-2022</t>
        </is>
      </c>
      <c r="B772" s="1" t="n">
        <v>44726</v>
      </c>
      <c r="C772" s="1" t="n">
        <v>46013</v>
      </c>
      <c r="D772" t="inlineStr">
        <is>
          <t>UPPSALA LÄN</t>
        </is>
      </c>
      <c r="E772" t="inlineStr">
        <is>
          <t>TIERP</t>
        </is>
      </c>
      <c r="F772" t="inlineStr">
        <is>
          <t>Bergvik skog väst AB</t>
        </is>
      </c>
      <c r="G772" t="n">
        <v>8.4</v>
      </c>
      <c r="H772" t="n">
        <v>0</v>
      </c>
      <c r="I772" t="n">
        <v>0</v>
      </c>
      <c r="J772" t="n">
        <v>0</v>
      </c>
      <c r="K772" t="n">
        <v>0</v>
      </c>
      <c r="L772" t="n">
        <v>0</v>
      </c>
      <c r="M772" t="n">
        <v>0</v>
      </c>
      <c r="N772" t="n">
        <v>0</v>
      </c>
      <c r="O772" t="n">
        <v>0</v>
      </c>
      <c r="P772" t="n">
        <v>0</v>
      </c>
      <c r="Q772" t="n">
        <v>0</v>
      </c>
      <c r="R772" s="2" t="inlineStr"/>
    </row>
    <row r="773" ht="15" customHeight="1">
      <c r="A773" t="inlineStr">
        <is>
          <t>A 26404-2024</t>
        </is>
      </c>
      <c r="B773" s="1" t="n">
        <v>45469</v>
      </c>
      <c r="C773" s="1" t="n">
        <v>46013</v>
      </c>
      <c r="D773" t="inlineStr">
        <is>
          <t>UPPSALA LÄN</t>
        </is>
      </c>
      <c r="E773" t="inlineStr">
        <is>
          <t>TIERP</t>
        </is>
      </c>
      <c r="G773" t="n">
        <v>3.4</v>
      </c>
      <c r="H773" t="n">
        <v>0</v>
      </c>
      <c r="I773" t="n">
        <v>0</v>
      </c>
      <c r="J773" t="n">
        <v>0</v>
      </c>
      <c r="K773" t="n">
        <v>0</v>
      </c>
      <c r="L773" t="n">
        <v>0</v>
      </c>
      <c r="M773" t="n">
        <v>0</v>
      </c>
      <c r="N773" t="n">
        <v>0</v>
      </c>
      <c r="O773" t="n">
        <v>0</v>
      </c>
      <c r="P773" t="n">
        <v>0</v>
      </c>
      <c r="Q773" t="n">
        <v>0</v>
      </c>
      <c r="R773" s="2" t="inlineStr"/>
    </row>
    <row r="774" ht="15" customHeight="1">
      <c r="A774" t="inlineStr">
        <is>
          <t>A 38464-2023</t>
        </is>
      </c>
      <c r="B774" s="1" t="n">
        <v>45162.44894675926</v>
      </c>
      <c r="C774" s="1" t="n">
        <v>46013</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9664-2023</t>
        </is>
      </c>
      <c r="B775" s="1" t="n">
        <v>44984</v>
      </c>
      <c r="C775" s="1" t="n">
        <v>46013</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9432-2023</t>
        </is>
      </c>
      <c r="B776" s="1" t="n">
        <v>44981.51266203704</v>
      </c>
      <c r="C776" s="1" t="n">
        <v>46013</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18734-2025</t>
        </is>
      </c>
      <c r="B777" s="1" t="n">
        <v>45763.67659722222</v>
      </c>
      <c r="C777" s="1" t="n">
        <v>46013</v>
      </c>
      <c r="D777" t="inlineStr">
        <is>
          <t>UPPSALA LÄN</t>
        </is>
      </c>
      <c r="E777" t="inlineStr">
        <is>
          <t>TIERP</t>
        </is>
      </c>
      <c r="F777" t="inlineStr">
        <is>
          <t>Kyrkan</t>
        </is>
      </c>
      <c r="G777" t="n">
        <v>4.5</v>
      </c>
      <c r="H777" t="n">
        <v>0</v>
      </c>
      <c r="I777" t="n">
        <v>0</v>
      </c>
      <c r="J777" t="n">
        <v>0</v>
      </c>
      <c r="K777" t="n">
        <v>0</v>
      </c>
      <c r="L777" t="n">
        <v>0</v>
      </c>
      <c r="M777" t="n">
        <v>0</v>
      </c>
      <c r="N777" t="n">
        <v>0</v>
      </c>
      <c r="O777" t="n">
        <v>0</v>
      </c>
      <c r="P777" t="n">
        <v>0</v>
      </c>
      <c r="Q777" t="n">
        <v>0</v>
      </c>
      <c r="R777" s="2" t="inlineStr"/>
    </row>
    <row r="778" ht="15" customHeight="1">
      <c r="A778" t="inlineStr">
        <is>
          <t>A 58900-2023</t>
        </is>
      </c>
      <c r="B778" s="1" t="n">
        <v>45252</v>
      </c>
      <c r="C778" s="1" t="n">
        <v>46013</v>
      </c>
      <c r="D778" t="inlineStr">
        <is>
          <t>UPPSALA LÄN</t>
        </is>
      </c>
      <c r="E778" t="inlineStr">
        <is>
          <t>TIERP</t>
        </is>
      </c>
      <c r="G778" t="n">
        <v>25</v>
      </c>
      <c r="H778" t="n">
        <v>0</v>
      </c>
      <c r="I778" t="n">
        <v>0</v>
      </c>
      <c r="J778" t="n">
        <v>0</v>
      </c>
      <c r="K778" t="n">
        <v>0</v>
      </c>
      <c r="L778" t="n">
        <v>0</v>
      </c>
      <c r="M778" t="n">
        <v>0</v>
      </c>
      <c r="N778" t="n">
        <v>0</v>
      </c>
      <c r="O778" t="n">
        <v>0</v>
      </c>
      <c r="P778" t="n">
        <v>0</v>
      </c>
      <c r="Q778" t="n">
        <v>0</v>
      </c>
      <c r="R778" s="2" t="inlineStr"/>
    </row>
    <row r="779" ht="15" customHeight="1">
      <c r="A779" t="inlineStr">
        <is>
          <t>A 58947-2023</t>
        </is>
      </c>
      <c r="B779" s="1" t="n">
        <v>45252.57987268519</v>
      </c>
      <c r="C779" s="1" t="n">
        <v>46013</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11306-2025</t>
        </is>
      </c>
      <c r="B780" s="1" t="n">
        <v>45726.44540509259</v>
      </c>
      <c r="C780" s="1" t="n">
        <v>46013</v>
      </c>
      <c r="D780" t="inlineStr">
        <is>
          <t>UPPSALA LÄN</t>
        </is>
      </c>
      <c r="E780" t="inlineStr">
        <is>
          <t>TIERP</t>
        </is>
      </c>
      <c r="F780" t="inlineStr">
        <is>
          <t>Bergvik skog öst AB</t>
        </is>
      </c>
      <c r="G780" t="n">
        <v>5.7</v>
      </c>
      <c r="H780" t="n">
        <v>0</v>
      </c>
      <c r="I780" t="n">
        <v>0</v>
      </c>
      <c r="J780" t="n">
        <v>0</v>
      </c>
      <c r="K780" t="n">
        <v>0</v>
      </c>
      <c r="L780" t="n">
        <v>0</v>
      </c>
      <c r="M780" t="n">
        <v>0</v>
      </c>
      <c r="N780" t="n">
        <v>0</v>
      </c>
      <c r="O780" t="n">
        <v>0</v>
      </c>
      <c r="P780" t="n">
        <v>0</v>
      </c>
      <c r="Q780" t="n">
        <v>0</v>
      </c>
      <c r="R780" s="2" t="inlineStr"/>
    </row>
    <row r="781" ht="15" customHeight="1">
      <c r="A781" t="inlineStr">
        <is>
          <t>A 20317-2025</t>
        </is>
      </c>
      <c r="B781" s="1" t="n">
        <v>45775</v>
      </c>
      <c r="C781" s="1" t="n">
        <v>46013</v>
      </c>
      <c r="D781" t="inlineStr">
        <is>
          <t>UPPSALA LÄN</t>
        </is>
      </c>
      <c r="E781" t="inlineStr">
        <is>
          <t>TIERP</t>
        </is>
      </c>
      <c r="G781" t="n">
        <v>1.4</v>
      </c>
      <c r="H781" t="n">
        <v>0</v>
      </c>
      <c r="I781" t="n">
        <v>0</v>
      </c>
      <c r="J781" t="n">
        <v>0</v>
      </c>
      <c r="K781" t="n">
        <v>0</v>
      </c>
      <c r="L781" t="n">
        <v>0</v>
      </c>
      <c r="M781" t="n">
        <v>0</v>
      </c>
      <c r="N781" t="n">
        <v>0</v>
      </c>
      <c r="O781" t="n">
        <v>0</v>
      </c>
      <c r="P781" t="n">
        <v>0</v>
      </c>
      <c r="Q781" t="n">
        <v>0</v>
      </c>
      <c r="R781" s="2" t="inlineStr"/>
    </row>
    <row r="782" ht="15" customHeight="1">
      <c r="A782" t="inlineStr">
        <is>
          <t>A 23828-2021</t>
        </is>
      </c>
      <c r="B782" s="1" t="n">
        <v>44335</v>
      </c>
      <c r="C782" s="1" t="n">
        <v>46013</v>
      </c>
      <c r="D782" t="inlineStr">
        <is>
          <t>UPPSALA LÄN</t>
        </is>
      </c>
      <c r="E782" t="inlineStr">
        <is>
          <t>TIERP</t>
        </is>
      </c>
      <c r="G782" t="n">
        <v>1</v>
      </c>
      <c r="H782" t="n">
        <v>0</v>
      </c>
      <c r="I782" t="n">
        <v>0</v>
      </c>
      <c r="J782" t="n">
        <v>0</v>
      </c>
      <c r="K782" t="n">
        <v>0</v>
      </c>
      <c r="L782" t="n">
        <v>0</v>
      </c>
      <c r="M782" t="n">
        <v>0</v>
      </c>
      <c r="N782" t="n">
        <v>0</v>
      </c>
      <c r="O782" t="n">
        <v>0</v>
      </c>
      <c r="P782" t="n">
        <v>0</v>
      </c>
      <c r="Q782" t="n">
        <v>0</v>
      </c>
      <c r="R782" s="2" t="inlineStr"/>
    </row>
    <row r="783" ht="15" customHeight="1">
      <c r="A783" t="inlineStr">
        <is>
          <t>A 11308-2025</t>
        </is>
      </c>
      <c r="B783" s="1" t="n">
        <v>45726.44707175926</v>
      </c>
      <c r="C783" s="1" t="n">
        <v>46013</v>
      </c>
      <c r="D783" t="inlineStr">
        <is>
          <t>UPPSALA LÄN</t>
        </is>
      </c>
      <c r="E783" t="inlineStr">
        <is>
          <t>TIERP</t>
        </is>
      </c>
      <c r="F783" t="inlineStr">
        <is>
          <t>Bergvik skog öst AB</t>
        </is>
      </c>
      <c r="G783" t="n">
        <v>13.5</v>
      </c>
      <c r="H783" t="n">
        <v>0</v>
      </c>
      <c r="I783" t="n">
        <v>0</v>
      </c>
      <c r="J783" t="n">
        <v>0</v>
      </c>
      <c r="K783" t="n">
        <v>0</v>
      </c>
      <c r="L783" t="n">
        <v>0</v>
      </c>
      <c r="M783" t="n">
        <v>0</v>
      </c>
      <c r="N783" t="n">
        <v>0</v>
      </c>
      <c r="O783" t="n">
        <v>0</v>
      </c>
      <c r="P783" t="n">
        <v>0</v>
      </c>
      <c r="Q783" t="n">
        <v>0</v>
      </c>
      <c r="R783" s="2" t="inlineStr"/>
    </row>
    <row r="784" ht="15" customHeight="1">
      <c r="A784" t="inlineStr">
        <is>
          <t>A 14860-2022</t>
        </is>
      </c>
      <c r="B784" s="1" t="n">
        <v>44656</v>
      </c>
      <c r="C784" s="1" t="n">
        <v>46013</v>
      </c>
      <c r="D784" t="inlineStr">
        <is>
          <t>UPPSALA LÄN</t>
        </is>
      </c>
      <c r="E784" t="inlineStr">
        <is>
          <t>TIERP</t>
        </is>
      </c>
      <c r="F784" t="inlineStr">
        <is>
          <t>Bergvik skog öst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20860-2024</t>
        </is>
      </c>
      <c r="B785" s="1" t="n">
        <v>45439</v>
      </c>
      <c r="C785" s="1" t="n">
        <v>46013</v>
      </c>
      <c r="D785" t="inlineStr">
        <is>
          <t>UPPSALA LÄN</t>
        </is>
      </c>
      <c r="E785" t="inlineStr">
        <is>
          <t>TIERP</t>
        </is>
      </c>
      <c r="G785" t="n">
        <v>1.6</v>
      </c>
      <c r="H785" t="n">
        <v>0</v>
      </c>
      <c r="I785" t="n">
        <v>0</v>
      </c>
      <c r="J785" t="n">
        <v>0</v>
      </c>
      <c r="K785" t="n">
        <v>0</v>
      </c>
      <c r="L785" t="n">
        <v>0</v>
      </c>
      <c r="M785" t="n">
        <v>0</v>
      </c>
      <c r="N785" t="n">
        <v>0</v>
      </c>
      <c r="O785" t="n">
        <v>0</v>
      </c>
      <c r="P785" t="n">
        <v>0</v>
      </c>
      <c r="Q785" t="n">
        <v>0</v>
      </c>
      <c r="R785" s="2" t="inlineStr"/>
    </row>
    <row r="786" ht="15" customHeight="1">
      <c r="A786" t="inlineStr">
        <is>
          <t>A 47968-2023</t>
        </is>
      </c>
      <c r="B786" s="1" t="n">
        <v>45204</v>
      </c>
      <c r="C786" s="1" t="n">
        <v>46013</v>
      </c>
      <c r="D786" t="inlineStr">
        <is>
          <t>UPPSALA LÄN</t>
        </is>
      </c>
      <c r="E786" t="inlineStr">
        <is>
          <t>TIERP</t>
        </is>
      </c>
      <c r="G786" t="n">
        <v>1.5</v>
      </c>
      <c r="H786" t="n">
        <v>0</v>
      </c>
      <c r="I786" t="n">
        <v>0</v>
      </c>
      <c r="J786" t="n">
        <v>0</v>
      </c>
      <c r="K786" t="n">
        <v>0</v>
      </c>
      <c r="L786" t="n">
        <v>0</v>
      </c>
      <c r="M786" t="n">
        <v>0</v>
      </c>
      <c r="N786" t="n">
        <v>0</v>
      </c>
      <c r="O786" t="n">
        <v>0</v>
      </c>
      <c r="P786" t="n">
        <v>0</v>
      </c>
      <c r="Q786" t="n">
        <v>0</v>
      </c>
      <c r="R786" s="2" t="inlineStr"/>
    </row>
    <row r="787" ht="15" customHeight="1">
      <c r="A787" t="inlineStr">
        <is>
          <t>A 12885-2024</t>
        </is>
      </c>
      <c r="B787" s="1" t="n">
        <v>45385</v>
      </c>
      <c r="C787" s="1" t="n">
        <v>46013</v>
      </c>
      <c r="D787" t="inlineStr">
        <is>
          <t>UPPSALA LÄN</t>
        </is>
      </c>
      <c r="E787" t="inlineStr">
        <is>
          <t>TIERP</t>
        </is>
      </c>
      <c r="G787" t="n">
        <v>0.4</v>
      </c>
      <c r="H787" t="n">
        <v>0</v>
      </c>
      <c r="I787" t="n">
        <v>0</v>
      </c>
      <c r="J787" t="n">
        <v>0</v>
      </c>
      <c r="K787" t="n">
        <v>0</v>
      </c>
      <c r="L787" t="n">
        <v>0</v>
      </c>
      <c r="M787" t="n">
        <v>0</v>
      </c>
      <c r="N787" t="n">
        <v>0</v>
      </c>
      <c r="O787" t="n">
        <v>0</v>
      </c>
      <c r="P787" t="n">
        <v>0</v>
      </c>
      <c r="Q787" t="n">
        <v>0</v>
      </c>
      <c r="R787" s="2" t="inlineStr"/>
    </row>
    <row r="788" ht="15" customHeight="1">
      <c r="A788" t="inlineStr">
        <is>
          <t>A 2838-2025</t>
        </is>
      </c>
      <c r="B788" s="1" t="n">
        <v>45677.64354166666</v>
      </c>
      <c r="C788" s="1" t="n">
        <v>46013</v>
      </c>
      <c r="D788" t="inlineStr">
        <is>
          <t>UPPSALA LÄN</t>
        </is>
      </c>
      <c r="E788" t="inlineStr">
        <is>
          <t>TIERP</t>
        </is>
      </c>
      <c r="F788" t="inlineStr">
        <is>
          <t>Bergvik skog väst AB</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28538-2024</t>
        </is>
      </c>
      <c r="B789" s="1" t="n">
        <v>45478</v>
      </c>
      <c r="C789" s="1" t="n">
        <v>46013</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319-2023</t>
        </is>
      </c>
      <c r="B790" s="1" t="n">
        <v>44929</v>
      </c>
      <c r="C790" s="1" t="n">
        <v>46013</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39333-2024</t>
        </is>
      </c>
      <c r="B791" s="1" t="n">
        <v>45551</v>
      </c>
      <c r="C791" s="1" t="n">
        <v>46013</v>
      </c>
      <c r="D791" t="inlineStr">
        <is>
          <t>UPPSALA LÄN</t>
        </is>
      </c>
      <c r="E791" t="inlineStr">
        <is>
          <t>TIERP</t>
        </is>
      </c>
      <c r="G791" t="n">
        <v>4.1</v>
      </c>
      <c r="H791" t="n">
        <v>0</v>
      </c>
      <c r="I791" t="n">
        <v>0</v>
      </c>
      <c r="J791" t="n">
        <v>0</v>
      </c>
      <c r="K791" t="n">
        <v>0</v>
      </c>
      <c r="L791" t="n">
        <v>0</v>
      </c>
      <c r="M791" t="n">
        <v>0</v>
      </c>
      <c r="N791" t="n">
        <v>0</v>
      </c>
      <c r="O791" t="n">
        <v>0</v>
      </c>
      <c r="P791" t="n">
        <v>0</v>
      </c>
      <c r="Q791" t="n">
        <v>0</v>
      </c>
      <c r="R791" s="2" t="inlineStr"/>
    </row>
    <row r="792" ht="15" customHeight="1">
      <c r="A792" t="inlineStr">
        <is>
          <t>A 16852-2025</t>
        </is>
      </c>
      <c r="B792" s="1" t="n">
        <v>45754.72487268518</v>
      </c>
      <c r="C792" s="1" t="n">
        <v>46013</v>
      </c>
      <c r="D792" t="inlineStr">
        <is>
          <t>UPPSALA LÄN</t>
        </is>
      </c>
      <c r="E792" t="inlineStr">
        <is>
          <t>TIERP</t>
        </is>
      </c>
      <c r="G792" t="n">
        <v>5.2</v>
      </c>
      <c r="H792" t="n">
        <v>0</v>
      </c>
      <c r="I792" t="n">
        <v>0</v>
      </c>
      <c r="J792" t="n">
        <v>0</v>
      </c>
      <c r="K792" t="n">
        <v>0</v>
      </c>
      <c r="L792" t="n">
        <v>0</v>
      </c>
      <c r="M792" t="n">
        <v>0</v>
      </c>
      <c r="N792" t="n">
        <v>0</v>
      </c>
      <c r="O792" t="n">
        <v>0</v>
      </c>
      <c r="P792" t="n">
        <v>0</v>
      </c>
      <c r="Q792" t="n">
        <v>0</v>
      </c>
      <c r="R792" s="2" t="inlineStr"/>
    </row>
    <row r="793" ht="15" customHeight="1">
      <c r="A793" t="inlineStr">
        <is>
          <t>A 2901-2023</t>
        </is>
      </c>
      <c r="B793" s="1" t="n">
        <v>44945</v>
      </c>
      <c r="C793" s="1" t="n">
        <v>46013</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57402-2024</t>
        </is>
      </c>
      <c r="B794" s="1" t="n">
        <v>45629</v>
      </c>
      <c r="C794" s="1" t="n">
        <v>46013</v>
      </c>
      <c r="D794" t="inlineStr">
        <is>
          <t>UPPSALA LÄN</t>
        </is>
      </c>
      <c r="E794" t="inlineStr">
        <is>
          <t>TIERP</t>
        </is>
      </c>
      <c r="G794" t="n">
        <v>1.1</v>
      </c>
      <c r="H794" t="n">
        <v>0</v>
      </c>
      <c r="I794" t="n">
        <v>0</v>
      </c>
      <c r="J794" t="n">
        <v>0</v>
      </c>
      <c r="K794" t="n">
        <v>0</v>
      </c>
      <c r="L794" t="n">
        <v>0</v>
      </c>
      <c r="M794" t="n">
        <v>0</v>
      </c>
      <c r="N794" t="n">
        <v>0</v>
      </c>
      <c r="O794" t="n">
        <v>0</v>
      </c>
      <c r="P794" t="n">
        <v>0</v>
      </c>
      <c r="Q794" t="n">
        <v>0</v>
      </c>
      <c r="R794" s="2" t="inlineStr"/>
    </row>
    <row r="795" ht="15" customHeight="1">
      <c r="A795" t="inlineStr">
        <is>
          <t>A 1951-2024</t>
        </is>
      </c>
      <c r="B795" s="1" t="n">
        <v>45308.49630787037</v>
      </c>
      <c r="C795" s="1" t="n">
        <v>46013</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32871-2024</t>
        </is>
      </c>
      <c r="B796" s="1" t="n">
        <v>45516.66552083333</v>
      </c>
      <c r="C796" s="1" t="n">
        <v>46013</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20641-2025</t>
        </is>
      </c>
      <c r="B797" s="1" t="n">
        <v>45776.37788194444</v>
      </c>
      <c r="C797" s="1" t="n">
        <v>46013</v>
      </c>
      <c r="D797" t="inlineStr">
        <is>
          <t>UPPSALA LÄN</t>
        </is>
      </c>
      <c r="E797" t="inlineStr">
        <is>
          <t>TIERP</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20644-2025</t>
        </is>
      </c>
      <c r="B798" s="1" t="n">
        <v>45776.37835648148</v>
      </c>
      <c r="C798" s="1" t="n">
        <v>46013</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20886-2025</t>
        </is>
      </c>
      <c r="B799" s="1" t="n">
        <v>45777.36902777778</v>
      </c>
      <c r="C799" s="1" t="n">
        <v>46013</v>
      </c>
      <c r="D799" t="inlineStr">
        <is>
          <t>UPPSALA LÄN</t>
        </is>
      </c>
      <c r="E799" t="inlineStr">
        <is>
          <t>TIERP</t>
        </is>
      </c>
      <c r="F799" t="inlineStr">
        <is>
          <t>Bergvik skog öst AB</t>
        </is>
      </c>
      <c r="G799" t="n">
        <v>6.6</v>
      </c>
      <c r="H799" t="n">
        <v>0</v>
      </c>
      <c r="I799" t="n">
        <v>0</v>
      </c>
      <c r="J799" t="n">
        <v>0</v>
      </c>
      <c r="K799" t="n">
        <v>0</v>
      </c>
      <c r="L799" t="n">
        <v>0</v>
      </c>
      <c r="M799" t="n">
        <v>0</v>
      </c>
      <c r="N799" t="n">
        <v>0</v>
      </c>
      <c r="O799" t="n">
        <v>0</v>
      </c>
      <c r="P799" t="n">
        <v>0</v>
      </c>
      <c r="Q799" t="n">
        <v>0</v>
      </c>
      <c r="R799" s="2" t="inlineStr"/>
    </row>
    <row r="800" ht="15" customHeight="1">
      <c r="A800" t="inlineStr">
        <is>
          <t>A 21047-2025</t>
        </is>
      </c>
      <c r="B800" s="1" t="n">
        <v>45777.55640046296</v>
      </c>
      <c r="C800" s="1" t="n">
        <v>46013</v>
      </c>
      <c r="D800" t="inlineStr">
        <is>
          <t>UPPSALA LÄN</t>
        </is>
      </c>
      <c r="E800" t="inlineStr">
        <is>
          <t>TIERP</t>
        </is>
      </c>
      <c r="G800" t="n">
        <v>2.1</v>
      </c>
      <c r="H800" t="n">
        <v>0</v>
      </c>
      <c r="I800" t="n">
        <v>0</v>
      </c>
      <c r="J800" t="n">
        <v>0</v>
      </c>
      <c r="K800" t="n">
        <v>0</v>
      </c>
      <c r="L800" t="n">
        <v>0</v>
      </c>
      <c r="M800" t="n">
        <v>0</v>
      </c>
      <c r="N800" t="n">
        <v>0</v>
      </c>
      <c r="O800" t="n">
        <v>0</v>
      </c>
      <c r="P800" t="n">
        <v>0</v>
      </c>
      <c r="Q800" t="n">
        <v>0</v>
      </c>
      <c r="R800" s="2" t="inlineStr"/>
    </row>
    <row r="801" ht="15" customHeight="1">
      <c r="A801" t="inlineStr">
        <is>
          <t>A 21398-2025</t>
        </is>
      </c>
      <c r="B801" s="1" t="n">
        <v>45782.483125</v>
      </c>
      <c r="C801" s="1" t="n">
        <v>46013</v>
      </c>
      <c r="D801" t="inlineStr">
        <is>
          <t>UPPSALA LÄN</t>
        </is>
      </c>
      <c r="E801" t="inlineStr">
        <is>
          <t>TIERP</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21473-2025</t>
        </is>
      </c>
      <c r="B802" s="1" t="n">
        <v>45782.59054398148</v>
      </c>
      <c r="C802" s="1" t="n">
        <v>46013</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8958-2024</t>
        </is>
      </c>
      <c r="B803" s="1" t="n">
        <v>45357.45214120371</v>
      </c>
      <c r="C803" s="1" t="n">
        <v>46013</v>
      </c>
      <c r="D803" t="inlineStr">
        <is>
          <t>UPPSALA LÄN</t>
        </is>
      </c>
      <c r="E803" t="inlineStr">
        <is>
          <t>TIERP</t>
        </is>
      </c>
      <c r="G803" t="n">
        <v>3.8</v>
      </c>
      <c r="H803" t="n">
        <v>0</v>
      </c>
      <c r="I803" t="n">
        <v>0</v>
      </c>
      <c r="J803" t="n">
        <v>0</v>
      </c>
      <c r="K803" t="n">
        <v>0</v>
      </c>
      <c r="L803" t="n">
        <v>0</v>
      </c>
      <c r="M803" t="n">
        <v>0</v>
      </c>
      <c r="N803" t="n">
        <v>0</v>
      </c>
      <c r="O803" t="n">
        <v>0</v>
      </c>
      <c r="P803" t="n">
        <v>0</v>
      </c>
      <c r="Q803" t="n">
        <v>0</v>
      </c>
      <c r="R803" s="2" t="inlineStr"/>
    </row>
    <row r="804" ht="15" customHeight="1">
      <c r="A804" t="inlineStr">
        <is>
          <t>A 21325-2025</t>
        </is>
      </c>
      <c r="B804" s="1" t="n">
        <v>45782.3503587963</v>
      </c>
      <c r="C804" s="1" t="n">
        <v>46013</v>
      </c>
      <c r="D804" t="inlineStr">
        <is>
          <t>UPPSALA LÄN</t>
        </is>
      </c>
      <c r="E804" t="inlineStr">
        <is>
          <t>TIERP</t>
        </is>
      </c>
      <c r="F804" t="inlineStr">
        <is>
          <t>Bergvik skog öst AB</t>
        </is>
      </c>
      <c r="G804" t="n">
        <v>1.5</v>
      </c>
      <c r="H804" t="n">
        <v>0</v>
      </c>
      <c r="I804" t="n">
        <v>0</v>
      </c>
      <c r="J804" t="n">
        <v>0</v>
      </c>
      <c r="K804" t="n">
        <v>0</v>
      </c>
      <c r="L804" t="n">
        <v>0</v>
      </c>
      <c r="M804" t="n">
        <v>0</v>
      </c>
      <c r="N804" t="n">
        <v>0</v>
      </c>
      <c r="O804" t="n">
        <v>0</v>
      </c>
      <c r="P804" t="n">
        <v>0</v>
      </c>
      <c r="Q804" t="n">
        <v>0</v>
      </c>
      <c r="R804" s="2" t="inlineStr"/>
    </row>
    <row r="805" ht="15" customHeight="1">
      <c r="A805" t="inlineStr">
        <is>
          <t>A 21889-2025</t>
        </is>
      </c>
      <c r="B805" s="1" t="n">
        <v>45784.43336805556</v>
      </c>
      <c r="C805" s="1" t="n">
        <v>46013</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21635-2025</t>
        </is>
      </c>
      <c r="B806" s="1" t="n">
        <v>45783.4287962963</v>
      </c>
      <c r="C806" s="1" t="n">
        <v>46013</v>
      </c>
      <c r="D806" t="inlineStr">
        <is>
          <t>UPPSALA LÄN</t>
        </is>
      </c>
      <c r="E806" t="inlineStr">
        <is>
          <t>TIERP</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21636-2025</t>
        </is>
      </c>
      <c r="B807" s="1" t="n">
        <v>45783.42976851852</v>
      </c>
      <c r="C807" s="1" t="n">
        <v>46013</v>
      </c>
      <c r="D807" t="inlineStr">
        <is>
          <t>UPPSALA LÄN</t>
        </is>
      </c>
      <c r="E807" t="inlineStr">
        <is>
          <t>TIERP</t>
        </is>
      </c>
      <c r="F807" t="inlineStr">
        <is>
          <t>Bergvik skog öst AB</t>
        </is>
      </c>
      <c r="G807" t="n">
        <v>1.8</v>
      </c>
      <c r="H807" t="n">
        <v>0</v>
      </c>
      <c r="I807" t="n">
        <v>0</v>
      </c>
      <c r="J807" t="n">
        <v>0</v>
      </c>
      <c r="K807" t="n">
        <v>0</v>
      </c>
      <c r="L807" t="n">
        <v>0</v>
      </c>
      <c r="M807" t="n">
        <v>0</v>
      </c>
      <c r="N807" t="n">
        <v>0</v>
      </c>
      <c r="O807" t="n">
        <v>0</v>
      </c>
      <c r="P807" t="n">
        <v>0</v>
      </c>
      <c r="Q807" t="n">
        <v>0</v>
      </c>
      <c r="R807" s="2" t="inlineStr"/>
    </row>
    <row r="808" ht="15" customHeight="1">
      <c r="A808" t="inlineStr">
        <is>
          <t>A 22083-2025</t>
        </is>
      </c>
      <c r="B808" s="1" t="n">
        <v>45785</v>
      </c>
      <c r="C808" s="1" t="n">
        <v>46013</v>
      </c>
      <c r="D808" t="inlineStr">
        <is>
          <t>UPPSALA LÄN</t>
        </is>
      </c>
      <c r="E808" t="inlineStr">
        <is>
          <t>TIERP</t>
        </is>
      </c>
      <c r="G808" t="n">
        <v>8</v>
      </c>
      <c r="H808" t="n">
        <v>0</v>
      </c>
      <c r="I808" t="n">
        <v>0</v>
      </c>
      <c r="J808" t="n">
        <v>0</v>
      </c>
      <c r="K808" t="n">
        <v>0</v>
      </c>
      <c r="L808" t="n">
        <v>0</v>
      </c>
      <c r="M808" t="n">
        <v>0</v>
      </c>
      <c r="N808" t="n">
        <v>0</v>
      </c>
      <c r="O808" t="n">
        <v>0</v>
      </c>
      <c r="P808" t="n">
        <v>0</v>
      </c>
      <c r="Q808" t="n">
        <v>0</v>
      </c>
      <c r="R808" s="2" t="inlineStr"/>
    </row>
    <row r="809" ht="15" customHeight="1">
      <c r="A809" t="inlineStr">
        <is>
          <t>A 35001-2024</t>
        </is>
      </c>
      <c r="B809" s="1" t="n">
        <v>45527</v>
      </c>
      <c r="C809" s="1" t="n">
        <v>46013</v>
      </c>
      <c r="D809" t="inlineStr">
        <is>
          <t>UPPSALA LÄN</t>
        </is>
      </c>
      <c r="E809" t="inlineStr">
        <is>
          <t>TIERP</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22769-2025</t>
        </is>
      </c>
      <c r="B810" s="1" t="n">
        <v>45789.63409722222</v>
      </c>
      <c r="C810" s="1" t="n">
        <v>46013</v>
      </c>
      <c r="D810" t="inlineStr">
        <is>
          <t>UPPSALA LÄN</t>
        </is>
      </c>
      <c r="E810" t="inlineStr">
        <is>
          <t>TIERP</t>
        </is>
      </c>
      <c r="G810" t="n">
        <v>1.6</v>
      </c>
      <c r="H810" t="n">
        <v>0</v>
      </c>
      <c r="I810" t="n">
        <v>0</v>
      </c>
      <c r="J810" t="n">
        <v>0</v>
      </c>
      <c r="K810" t="n">
        <v>0</v>
      </c>
      <c r="L810" t="n">
        <v>0</v>
      </c>
      <c r="M810" t="n">
        <v>0</v>
      </c>
      <c r="N810" t="n">
        <v>0</v>
      </c>
      <c r="O810" t="n">
        <v>0</v>
      </c>
      <c r="P810" t="n">
        <v>0</v>
      </c>
      <c r="Q810" t="n">
        <v>0</v>
      </c>
      <c r="R810" s="2" t="inlineStr"/>
    </row>
    <row r="811" ht="15" customHeight="1">
      <c r="A811" t="inlineStr">
        <is>
          <t>A 23198-2025</t>
        </is>
      </c>
      <c r="B811" s="1" t="n">
        <v>45791.45799768518</v>
      </c>
      <c r="C811" s="1" t="n">
        <v>46013</v>
      </c>
      <c r="D811" t="inlineStr">
        <is>
          <t>UPPSALA LÄN</t>
        </is>
      </c>
      <c r="E811" t="inlineStr">
        <is>
          <t>TIERP</t>
        </is>
      </c>
      <c r="G811" t="n">
        <v>2.9</v>
      </c>
      <c r="H811" t="n">
        <v>0</v>
      </c>
      <c r="I811" t="n">
        <v>0</v>
      </c>
      <c r="J811" t="n">
        <v>0</v>
      </c>
      <c r="K811" t="n">
        <v>0</v>
      </c>
      <c r="L811" t="n">
        <v>0</v>
      </c>
      <c r="M811" t="n">
        <v>0</v>
      </c>
      <c r="N811" t="n">
        <v>0</v>
      </c>
      <c r="O811" t="n">
        <v>0</v>
      </c>
      <c r="P811" t="n">
        <v>0</v>
      </c>
      <c r="Q811" t="n">
        <v>0</v>
      </c>
      <c r="R811" s="2" t="inlineStr"/>
    </row>
    <row r="812" ht="15" customHeight="1">
      <c r="A812" t="inlineStr">
        <is>
          <t>A 23204-2025</t>
        </is>
      </c>
      <c r="B812" s="1" t="n">
        <v>45791.46357638889</v>
      </c>
      <c r="C812" s="1" t="n">
        <v>46013</v>
      </c>
      <c r="D812" t="inlineStr">
        <is>
          <t>UPPSALA LÄN</t>
        </is>
      </c>
      <c r="E812" t="inlineStr">
        <is>
          <t>TIERP</t>
        </is>
      </c>
      <c r="G812" t="n">
        <v>3.3</v>
      </c>
      <c r="H812" t="n">
        <v>0</v>
      </c>
      <c r="I812" t="n">
        <v>0</v>
      </c>
      <c r="J812" t="n">
        <v>0</v>
      </c>
      <c r="K812" t="n">
        <v>0</v>
      </c>
      <c r="L812" t="n">
        <v>0</v>
      </c>
      <c r="M812" t="n">
        <v>0</v>
      </c>
      <c r="N812" t="n">
        <v>0</v>
      </c>
      <c r="O812" t="n">
        <v>0</v>
      </c>
      <c r="P812" t="n">
        <v>0</v>
      </c>
      <c r="Q812" t="n">
        <v>0</v>
      </c>
      <c r="R812" s="2" t="inlineStr"/>
    </row>
    <row r="813" ht="15" customHeight="1">
      <c r="A813" t="inlineStr">
        <is>
          <t>A 23201-2025</t>
        </is>
      </c>
      <c r="B813" s="1" t="n">
        <v>45791.4603587963</v>
      </c>
      <c r="C813" s="1" t="n">
        <v>46013</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c r="A814" t="inlineStr">
        <is>
          <t>A 32212-2024</t>
        </is>
      </c>
      <c r="B814" s="1" t="n">
        <v>45511</v>
      </c>
      <c r="C814" s="1" t="n">
        <v>46013</v>
      </c>
      <c r="D814" t="inlineStr">
        <is>
          <t>UPPSALA LÄN</t>
        </is>
      </c>
      <c r="E814" t="inlineStr">
        <is>
          <t>TIERP</t>
        </is>
      </c>
      <c r="G814" t="n">
        <v>3.5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2025-12-22T10:28:27Z</dcterms:created>
  <dcterms:modified xmlns:dcterms="http://purl.org/dc/terms/" xmlns:xsi="http://www.w3.org/2001/XMLSchema-instance" xsi:type="dcterms:W3CDTF">2025-12-22T10:28:27Z</dcterms:modified>
</cp:coreProperties>
</file>