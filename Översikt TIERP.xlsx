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45343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45343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45343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45343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45343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45343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45343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45343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45343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45343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45343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45343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45343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45343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45343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45343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45343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45343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45343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45343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45343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45343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45343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45343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45343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45343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45343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45343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45343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45343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45343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5208-2019</t>
        </is>
      </c>
      <c r="B33" s="1" t="n">
        <v>43488</v>
      </c>
      <c r="C33" s="1" t="n">
        <v>45343</v>
      </c>
      <c r="D33" t="inlineStr">
        <is>
          <t>UPPSALA LÄN</t>
        </is>
      </c>
      <c r="E33" t="inlineStr">
        <is>
          <t>TIERP</t>
        </is>
      </c>
      <c r="G33" t="n">
        <v>55.1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Reliktbock</t>
        </is>
      </c>
      <c r="S33">
        <f>HYPERLINK("https://klasma.github.io/Logging_0360/artfynd/A 5208-2019 artfynd.xlsx", "A 5208-2019")</f>
        <v/>
      </c>
      <c r="T33">
        <f>HYPERLINK("https://klasma.github.io/Logging_0360/kartor/A 5208-2019 karta.png", "A 5208-2019")</f>
        <v/>
      </c>
      <c r="V33">
        <f>HYPERLINK("https://klasma.github.io/Logging_0360/klagomål/A 5208-2019 FSC-klagomål.docx", "A 5208-2019")</f>
        <v/>
      </c>
      <c r="W33">
        <f>HYPERLINK("https://klasma.github.io/Logging_0360/klagomålsmail/A 5208-2019 FSC-klagomål mail.docx", "A 5208-2019")</f>
        <v/>
      </c>
      <c r="X33">
        <f>HYPERLINK("https://klasma.github.io/Logging_0360/tillsyn/A 5208-2019 tillsynsbegäran.docx", "A 5208-2019")</f>
        <v/>
      </c>
      <c r="Y33">
        <f>HYPERLINK("https://klasma.github.io/Logging_0360/tillsynsmail/A 5208-2019 tillsynsbegäran mail.docx", "A 5208-2019")</f>
        <v/>
      </c>
    </row>
    <row r="34" ht="15" customHeight="1">
      <c r="A34" t="inlineStr">
        <is>
          <t>A 16676-2019</t>
        </is>
      </c>
      <c r="B34" s="1" t="n">
        <v>43549</v>
      </c>
      <c r="C34" s="1" t="n">
        <v>45343</v>
      </c>
      <c r="D34" t="inlineStr">
        <is>
          <t>UPPSALA LÄN</t>
        </is>
      </c>
      <c r="E34" t="inlineStr">
        <is>
          <t>TIERP</t>
        </is>
      </c>
      <c r="G34" t="n">
        <v>22.9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Rödvingetrast</t>
        </is>
      </c>
      <c r="S34">
        <f>HYPERLINK("https://klasma.github.io/Logging_0360/artfynd/A 16676-2019 artfynd.xlsx", "A 16676-2019")</f>
        <v/>
      </c>
      <c r="T34">
        <f>HYPERLINK("https://klasma.github.io/Logging_0360/kartor/A 16676-2019 karta.png", "A 16676-2019")</f>
        <v/>
      </c>
      <c r="V34">
        <f>HYPERLINK("https://klasma.github.io/Logging_0360/klagomål/A 16676-2019 FSC-klagomål.docx", "A 16676-2019")</f>
        <v/>
      </c>
      <c r="W34">
        <f>HYPERLINK("https://klasma.github.io/Logging_0360/klagomålsmail/A 16676-2019 FSC-klagomål mail.docx", "A 16676-2019")</f>
        <v/>
      </c>
      <c r="X34">
        <f>HYPERLINK("https://klasma.github.io/Logging_0360/tillsyn/A 16676-2019 tillsynsbegäran.docx", "A 16676-2019")</f>
        <v/>
      </c>
      <c r="Y34">
        <f>HYPERLINK("https://klasma.github.io/Logging_0360/tillsynsmail/A 16676-2019 tillsynsbegäran mail.docx", "A 16676-2019")</f>
        <v/>
      </c>
      <c r="Z34">
        <f>HYPERLINK("https://klasma.github.io/Logging_0360/fåglar/A 16676-2019 prioriterade fågelarter.docx", "A 16676-2019")</f>
        <v/>
      </c>
    </row>
    <row r="35" ht="15" customHeight="1">
      <c r="A35" t="inlineStr">
        <is>
          <t>A 35563-2019</t>
        </is>
      </c>
      <c r="B35" s="1" t="n">
        <v>43664</v>
      </c>
      <c r="C35" s="1" t="n">
        <v>45343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4.6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Nästrot
Tibast</t>
        </is>
      </c>
      <c r="S35">
        <f>HYPERLINK("https://klasma.github.io/Logging_0360/artfynd/A 35563-2019 artfynd.xlsx", "A 35563-2019")</f>
        <v/>
      </c>
      <c r="T35">
        <f>HYPERLINK("https://klasma.github.io/Logging_0360/kartor/A 35563-2019 karta.png", "A 35563-2019")</f>
        <v/>
      </c>
      <c r="V35">
        <f>HYPERLINK("https://klasma.github.io/Logging_0360/klagomål/A 35563-2019 FSC-klagomål.docx", "A 35563-2019")</f>
        <v/>
      </c>
      <c r="W35">
        <f>HYPERLINK("https://klasma.github.io/Logging_0360/klagomålsmail/A 35563-2019 FSC-klagomål mail.docx", "A 35563-2019")</f>
        <v/>
      </c>
      <c r="X35">
        <f>HYPERLINK("https://klasma.github.io/Logging_0360/tillsyn/A 35563-2019 tillsynsbegäran.docx", "A 35563-2019")</f>
        <v/>
      </c>
      <c r="Y35">
        <f>HYPERLINK("https://klasma.github.io/Logging_0360/tillsynsmail/A 35563-2019 tillsynsbegäran mail.docx", "A 35563-2019")</f>
        <v/>
      </c>
    </row>
    <row r="36" ht="15" customHeight="1">
      <c r="A36" t="inlineStr">
        <is>
          <t>A 60083-2019</t>
        </is>
      </c>
      <c r="B36" s="1" t="n">
        <v>43777</v>
      </c>
      <c r="C36" s="1" t="n">
        <v>45343</v>
      </c>
      <c r="D36" t="inlineStr">
        <is>
          <t>UPPSALA LÄN</t>
        </is>
      </c>
      <c r="E36" t="inlineStr">
        <is>
          <t>TIERP</t>
        </is>
      </c>
      <c r="G36" t="n">
        <v>2.7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Skarp dropptaggsvamp</t>
        </is>
      </c>
      <c r="S36">
        <f>HYPERLINK("https://klasma.github.io/Logging_0360/artfynd/A 60083-2019 artfynd.xlsx", "A 60083-2019")</f>
        <v/>
      </c>
      <c r="T36">
        <f>HYPERLINK("https://klasma.github.io/Logging_0360/kartor/A 60083-2019 karta.png", "A 60083-2019")</f>
        <v/>
      </c>
      <c r="V36">
        <f>HYPERLINK("https://klasma.github.io/Logging_0360/klagomål/A 60083-2019 FSC-klagomål.docx", "A 60083-2019")</f>
        <v/>
      </c>
      <c r="W36">
        <f>HYPERLINK("https://klasma.github.io/Logging_0360/klagomålsmail/A 60083-2019 FSC-klagomål mail.docx", "A 60083-2019")</f>
        <v/>
      </c>
      <c r="X36">
        <f>HYPERLINK("https://klasma.github.io/Logging_0360/tillsyn/A 60083-2019 tillsynsbegäran.docx", "A 60083-2019")</f>
        <v/>
      </c>
      <c r="Y36">
        <f>HYPERLINK("https://klasma.github.io/Logging_0360/tillsynsmail/A 60083-2019 tillsynsbegäran mail.docx", "A 60083-2019")</f>
        <v/>
      </c>
    </row>
    <row r="37" ht="15" customHeight="1">
      <c r="A37" t="inlineStr">
        <is>
          <t>A 53324-2021</t>
        </is>
      </c>
      <c r="B37" s="1" t="n">
        <v>44468</v>
      </c>
      <c r="C37" s="1" t="n">
        <v>45343</v>
      </c>
      <c r="D37" t="inlineStr">
        <is>
          <t>UPPSALA LÄN</t>
        </is>
      </c>
      <c r="E37" t="inlineStr">
        <is>
          <t>TIERP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Stor aspticka</t>
        </is>
      </c>
      <c r="S37">
        <f>HYPERLINK("https://klasma.github.io/Logging_0360/artfynd/A 53324-2021 artfynd.xlsx", "A 53324-2021")</f>
        <v/>
      </c>
      <c r="T37">
        <f>HYPERLINK("https://klasma.github.io/Logging_0360/kartor/A 53324-2021 karta.png", "A 53324-2021")</f>
        <v/>
      </c>
      <c r="V37">
        <f>HYPERLINK("https://klasma.github.io/Logging_0360/klagomål/A 53324-2021 FSC-klagomål.docx", "A 53324-2021")</f>
        <v/>
      </c>
      <c r="W37">
        <f>HYPERLINK("https://klasma.github.io/Logging_0360/klagomålsmail/A 53324-2021 FSC-klagomål mail.docx", "A 53324-2021")</f>
        <v/>
      </c>
      <c r="X37">
        <f>HYPERLINK("https://klasma.github.io/Logging_0360/tillsyn/A 53324-2021 tillsynsbegäran.docx", "A 53324-2021")</f>
        <v/>
      </c>
      <c r="Y37">
        <f>HYPERLINK("https://klasma.github.io/Logging_0360/tillsynsmail/A 53324-2021 tillsynsbegäran mail.docx", "A 53324-2021")</f>
        <v/>
      </c>
    </row>
    <row r="38" ht="15" customHeight="1">
      <c r="A38" t="inlineStr">
        <is>
          <t>A 12186-2022</t>
        </is>
      </c>
      <c r="B38" s="1" t="n">
        <v>44636</v>
      </c>
      <c r="C38" s="1" t="n">
        <v>45343</v>
      </c>
      <c r="D38" t="inlineStr">
        <is>
          <t>UPPSALA LÄN</t>
        </is>
      </c>
      <c r="E38" t="inlineStr">
        <is>
          <t>TIERP</t>
        </is>
      </c>
      <c r="G38" t="n">
        <v>8.1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Flattoppad klubbsvamp
Äggspindling</t>
        </is>
      </c>
      <c r="S38">
        <f>HYPERLINK("https://klasma.github.io/Logging_0360/artfynd/A 12186-2022 artfynd.xlsx", "A 12186-2022")</f>
        <v/>
      </c>
      <c r="T38">
        <f>HYPERLINK("https://klasma.github.io/Logging_0360/kartor/A 12186-2022 karta.png", "A 12186-2022")</f>
        <v/>
      </c>
      <c r="V38">
        <f>HYPERLINK("https://klasma.github.io/Logging_0360/klagomål/A 12186-2022 FSC-klagomål.docx", "A 12186-2022")</f>
        <v/>
      </c>
      <c r="W38">
        <f>HYPERLINK("https://klasma.github.io/Logging_0360/klagomålsmail/A 12186-2022 FSC-klagomål mail.docx", "A 12186-2022")</f>
        <v/>
      </c>
      <c r="X38">
        <f>HYPERLINK("https://klasma.github.io/Logging_0360/tillsyn/A 12186-2022 tillsynsbegäran.docx", "A 12186-2022")</f>
        <v/>
      </c>
      <c r="Y38">
        <f>HYPERLINK("https://klasma.github.io/Logging_0360/tillsynsmail/A 12186-2022 tillsynsbegäran mail.docx", "A 12186-2022")</f>
        <v/>
      </c>
    </row>
    <row r="39" ht="15" customHeight="1">
      <c r="A39" t="inlineStr">
        <is>
          <t>A 14093-2022</t>
        </is>
      </c>
      <c r="B39" s="1" t="n">
        <v>44651</v>
      </c>
      <c r="C39" s="1" t="n">
        <v>45343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HYPERLINK("https://klasma.github.io/Logging_0360/artfynd/A 14093-2022 artfynd.xlsx", "A 14093-2022")</f>
        <v/>
      </c>
      <c r="T39">
        <f>HYPERLINK("https://klasma.github.io/Logging_0360/kartor/A 14093-2022 karta.png", "A 14093-2022")</f>
        <v/>
      </c>
      <c r="V39">
        <f>HYPERLINK("https://klasma.github.io/Logging_0360/klagomål/A 14093-2022 FSC-klagomål.docx", "A 14093-2022")</f>
        <v/>
      </c>
      <c r="W39">
        <f>HYPERLINK("https://klasma.github.io/Logging_0360/klagomålsmail/A 14093-2022 FSC-klagomål mail.docx", "A 14093-2022")</f>
        <v/>
      </c>
      <c r="X39">
        <f>HYPERLINK("https://klasma.github.io/Logging_0360/tillsyn/A 14093-2022 tillsynsbegäran.docx", "A 14093-2022")</f>
        <v/>
      </c>
      <c r="Y39">
        <f>HYPERLINK("https://klasma.github.io/Logging_0360/tillsynsmail/A 14093-2022 tillsynsbegäran mail.docx", "A 14093-2022")</f>
        <v/>
      </c>
    </row>
    <row r="40" ht="15" customHeight="1">
      <c r="A40" t="inlineStr">
        <is>
          <t>A 45851-2022</t>
        </is>
      </c>
      <c r="B40" s="1" t="n">
        <v>44846</v>
      </c>
      <c r="C40" s="1" t="n">
        <v>45343</v>
      </c>
      <c r="D40" t="inlineStr">
        <is>
          <t>UPPSALA LÄN</t>
        </is>
      </c>
      <c r="E40" t="inlineStr">
        <is>
          <t>TIERP</t>
        </is>
      </c>
      <c r="G40" t="n">
        <v>2.6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Olivspindling
Rödgul trumpetsvamp</t>
        </is>
      </c>
      <c r="S40">
        <f>HYPERLINK("https://klasma.github.io/Logging_0360/artfynd/A 45851-2022 artfynd.xlsx", "A 45851-2022")</f>
        <v/>
      </c>
      <c r="T40">
        <f>HYPERLINK("https://klasma.github.io/Logging_0360/kartor/A 45851-2022 karta.png", "A 45851-2022")</f>
        <v/>
      </c>
      <c r="V40">
        <f>HYPERLINK("https://klasma.github.io/Logging_0360/klagomål/A 45851-2022 FSC-klagomål.docx", "A 45851-2022")</f>
        <v/>
      </c>
      <c r="W40">
        <f>HYPERLINK("https://klasma.github.io/Logging_0360/klagomålsmail/A 45851-2022 FSC-klagomål mail.docx", "A 45851-2022")</f>
        <v/>
      </c>
      <c r="X40">
        <f>HYPERLINK("https://klasma.github.io/Logging_0360/tillsyn/A 45851-2022 tillsynsbegäran.docx", "A 45851-2022")</f>
        <v/>
      </c>
      <c r="Y40">
        <f>HYPERLINK("https://klasma.github.io/Logging_0360/tillsynsmail/A 45851-2022 tillsynsbegäran mail.docx", "A 45851-2022")</f>
        <v/>
      </c>
    </row>
    <row r="41" ht="15" customHeight="1">
      <c r="A41" t="inlineStr">
        <is>
          <t>A 56531-2022</t>
        </is>
      </c>
      <c r="B41" s="1" t="n">
        <v>44887</v>
      </c>
      <c r="C41" s="1" t="n">
        <v>45343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14.2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HYPERLINK("https://klasma.github.io/Logging_0360/artfynd/A 56531-2022 artfynd.xlsx", "A 56531-2022")</f>
        <v/>
      </c>
      <c r="T41">
        <f>HYPERLINK("https://klasma.github.io/Logging_0360/kartor/A 56531-2022 karta.png", "A 56531-2022")</f>
        <v/>
      </c>
      <c r="V41">
        <f>HYPERLINK("https://klasma.github.io/Logging_0360/klagomål/A 56531-2022 FSC-klagomål.docx", "A 56531-2022")</f>
        <v/>
      </c>
      <c r="W41">
        <f>HYPERLINK("https://klasma.github.io/Logging_0360/klagomålsmail/A 56531-2022 FSC-klagomål mail.docx", "A 56531-2022")</f>
        <v/>
      </c>
      <c r="X41">
        <f>HYPERLINK("https://klasma.github.io/Logging_0360/tillsyn/A 56531-2022 tillsynsbegäran.docx", "A 56531-2022")</f>
        <v/>
      </c>
      <c r="Y41">
        <f>HYPERLINK("https://klasma.github.io/Logging_0360/tillsynsmail/A 56531-2022 tillsynsbegäran mail.docx", "A 56531-2022")</f>
        <v/>
      </c>
      <c r="Z41">
        <f>HYPERLINK("https://klasma.github.io/Logging_0360/fåglar/A 56531-2022 prioriterade fågelarter.docx", "A 56531-2022")</f>
        <v/>
      </c>
    </row>
    <row r="42" ht="15" customHeight="1">
      <c r="A42" t="inlineStr">
        <is>
          <t>A 3510-2023</t>
        </is>
      </c>
      <c r="B42" s="1" t="n">
        <v>44950</v>
      </c>
      <c r="C42" s="1" t="n">
        <v>45343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HYPERLINK("https://klasma.github.io/Logging_0360/artfynd/A 3510-2023 artfynd.xlsx", "A 3510-2023")</f>
        <v/>
      </c>
      <c r="T42">
        <f>HYPERLINK("https://klasma.github.io/Logging_0360/kartor/A 3510-2023 karta.png", "A 3510-2023")</f>
        <v/>
      </c>
      <c r="V42">
        <f>HYPERLINK("https://klasma.github.io/Logging_0360/klagomål/A 3510-2023 FSC-klagomål.docx", "A 3510-2023")</f>
        <v/>
      </c>
      <c r="W42">
        <f>HYPERLINK("https://klasma.github.io/Logging_0360/klagomålsmail/A 3510-2023 FSC-klagomål mail.docx", "A 3510-2023")</f>
        <v/>
      </c>
      <c r="X42">
        <f>HYPERLINK("https://klasma.github.io/Logging_0360/tillsyn/A 3510-2023 tillsynsbegäran.docx", "A 3510-2023")</f>
        <v/>
      </c>
      <c r="Y42">
        <f>HYPERLINK("https://klasma.github.io/Logging_0360/tillsynsmail/A 3510-2023 tillsynsbegäran mail.docx", "A 3510-2023")</f>
        <v/>
      </c>
    </row>
    <row r="43" ht="15" customHeight="1">
      <c r="A43" t="inlineStr">
        <is>
          <t>A 4544-2023</t>
        </is>
      </c>
      <c r="B43" s="1" t="n">
        <v>44956</v>
      </c>
      <c r="C43" s="1" t="n">
        <v>45343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Lopplummer</t>
        </is>
      </c>
      <c r="S43">
        <f>HYPERLINK("https://klasma.github.io/Logging_0360/artfynd/A 4544-2023 artfynd.xlsx", "A 4544-2023")</f>
        <v/>
      </c>
      <c r="T43">
        <f>HYPERLINK("https://klasma.github.io/Logging_0360/kartor/A 4544-2023 karta.png", "A 4544-2023")</f>
        <v/>
      </c>
      <c r="V43">
        <f>HYPERLINK("https://klasma.github.io/Logging_0360/klagomål/A 4544-2023 FSC-klagomål.docx", "A 4544-2023")</f>
        <v/>
      </c>
      <c r="W43">
        <f>HYPERLINK("https://klasma.github.io/Logging_0360/klagomålsmail/A 4544-2023 FSC-klagomål mail.docx", "A 4544-2023")</f>
        <v/>
      </c>
      <c r="X43">
        <f>HYPERLINK("https://klasma.github.io/Logging_0360/tillsyn/A 4544-2023 tillsynsbegäran.docx", "A 4544-2023")</f>
        <v/>
      </c>
      <c r="Y43">
        <f>HYPERLINK("https://klasma.github.io/Logging_0360/tillsynsmail/A 4544-2023 tillsynsbegäran mail.docx", "A 4544-2023")</f>
        <v/>
      </c>
    </row>
    <row r="44" ht="15" customHeight="1">
      <c r="A44" t="inlineStr">
        <is>
          <t>A 14191-2023</t>
        </is>
      </c>
      <c r="B44" s="1" t="n">
        <v>45009</v>
      </c>
      <c r="C44" s="1" t="n">
        <v>45343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14191-2023 artfynd.xlsx", "A 14191-2023")</f>
        <v/>
      </c>
      <c r="T44">
        <f>HYPERLINK("https://klasma.github.io/Logging_0360/kartor/A 14191-2023 karta.png", "A 14191-2023")</f>
        <v/>
      </c>
      <c r="V44">
        <f>HYPERLINK("https://klasma.github.io/Logging_0360/klagomål/A 14191-2023 FSC-klagomål.docx", "A 14191-2023")</f>
        <v/>
      </c>
      <c r="W44">
        <f>HYPERLINK("https://klasma.github.io/Logging_0360/klagomålsmail/A 14191-2023 FSC-klagomål mail.docx", "A 14191-2023")</f>
        <v/>
      </c>
      <c r="X44">
        <f>HYPERLINK("https://klasma.github.io/Logging_0360/tillsyn/A 14191-2023 tillsynsbegäran.docx", "A 14191-2023")</f>
        <v/>
      </c>
      <c r="Y44">
        <f>HYPERLINK("https://klasma.github.io/Logging_0360/tillsynsmail/A 14191-2023 tillsynsbegäran mail.docx", "A 14191-2023")</f>
        <v/>
      </c>
      <c r="Z44">
        <f>HYPERLINK("https://klasma.github.io/Logging_0360/fåglar/A 14191-2023 prioriterade fågelarter.docx", "A 14191-2023")</f>
        <v/>
      </c>
    </row>
    <row r="45" ht="15" customHeight="1">
      <c r="A45" t="inlineStr">
        <is>
          <t>A 29226-2023</t>
        </is>
      </c>
      <c r="B45" s="1" t="n">
        <v>45105</v>
      </c>
      <c r="C45" s="1" t="n">
        <v>45343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Bronshjon
Blåsippa</t>
        </is>
      </c>
      <c r="S45">
        <f>HYPERLINK("https://klasma.github.io/Logging_0360/artfynd/A 29226-2023 artfynd.xlsx", "A 29226-2023")</f>
        <v/>
      </c>
      <c r="T45">
        <f>HYPERLINK("https://klasma.github.io/Logging_0360/kartor/A 29226-2023 karta.png", "A 29226-2023")</f>
        <v/>
      </c>
      <c r="V45">
        <f>HYPERLINK("https://klasma.github.io/Logging_0360/klagomål/A 29226-2023 FSC-klagomål.docx", "A 29226-2023")</f>
        <v/>
      </c>
      <c r="W45">
        <f>HYPERLINK("https://klasma.github.io/Logging_0360/klagomålsmail/A 29226-2023 FSC-klagomål mail.docx", "A 29226-2023")</f>
        <v/>
      </c>
      <c r="X45">
        <f>HYPERLINK("https://klasma.github.io/Logging_0360/tillsyn/A 29226-2023 tillsynsbegäran.docx", "A 29226-2023")</f>
        <v/>
      </c>
      <c r="Y45">
        <f>HYPERLINK("https://klasma.github.io/Logging_0360/tillsynsmail/A 29226-2023 tillsynsbegäran mail.docx", "A 29226-2023")</f>
        <v/>
      </c>
    </row>
    <row r="46" ht="15" customHeight="1">
      <c r="A46" t="inlineStr">
        <is>
          <t>A 34979-2023</t>
        </is>
      </c>
      <c r="B46" s="1" t="n">
        <v>45142</v>
      </c>
      <c r="C46" s="1" t="n">
        <v>45343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Vedticka</t>
        </is>
      </c>
      <c r="S46">
        <f>HYPERLINK("https://klasma.github.io/Logging_0360/artfynd/A 34979-2023 artfynd.xlsx", "A 34979-2023")</f>
        <v/>
      </c>
      <c r="T46">
        <f>HYPERLINK("https://klasma.github.io/Logging_0360/kartor/A 34979-2023 karta.png", "A 34979-2023")</f>
        <v/>
      </c>
      <c r="V46">
        <f>HYPERLINK("https://klasma.github.io/Logging_0360/klagomål/A 34979-2023 FSC-klagomål.docx", "A 34979-2023")</f>
        <v/>
      </c>
      <c r="W46">
        <f>HYPERLINK("https://klasma.github.io/Logging_0360/klagomålsmail/A 34979-2023 FSC-klagomål mail.docx", "A 34979-2023")</f>
        <v/>
      </c>
      <c r="X46">
        <f>HYPERLINK("https://klasma.github.io/Logging_0360/tillsyn/A 34979-2023 tillsynsbegäran.docx", "A 34979-2023")</f>
        <v/>
      </c>
      <c r="Y46">
        <f>HYPERLINK("https://klasma.github.io/Logging_0360/tillsynsmail/A 34979-2023 tillsynsbegäran mail.docx", "A 34979-2023")</f>
        <v/>
      </c>
    </row>
    <row r="47" ht="15" customHeight="1">
      <c r="A47" t="inlineStr">
        <is>
          <t>A 47948-2023</t>
        </is>
      </c>
      <c r="B47" s="1" t="n">
        <v>45204</v>
      </c>
      <c r="C47" s="1" t="n">
        <v>45343</v>
      </c>
      <c r="D47" t="inlineStr">
        <is>
          <t>UPPSALA LÄN</t>
        </is>
      </c>
      <c r="E47" t="inlineStr">
        <is>
          <t>TIERP</t>
        </is>
      </c>
      <c r="G47" t="n">
        <v>0.7</v>
      </c>
      <c r="H47" t="n">
        <v>0</v>
      </c>
      <c r="I47" t="n">
        <v>0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Gulvit blekspik
Liten blekspik</t>
        </is>
      </c>
      <c r="S47">
        <f>HYPERLINK("https://klasma.github.io/Logging_0360/artfynd/A 47948-2023 artfynd.xlsx", "A 47948-2023")</f>
        <v/>
      </c>
      <c r="T47">
        <f>HYPERLINK("https://klasma.github.io/Logging_0360/kartor/A 47948-2023 karta.png", "A 47948-2023")</f>
        <v/>
      </c>
      <c r="V47">
        <f>HYPERLINK("https://klasma.github.io/Logging_0360/klagomål/A 47948-2023 FSC-klagomål.docx", "A 47948-2023")</f>
        <v/>
      </c>
      <c r="W47">
        <f>HYPERLINK("https://klasma.github.io/Logging_0360/klagomålsmail/A 47948-2023 FSC-klagomål mail.docx", "A 47948-2023")</f>
        <v/>
      </c>
      <c r="X47">
        <f>HYPERLINK("https://klasma.github.io/Logging_0360/tillsyn/A 47948-2023 tillsynsbegäran.docx", "A 47948-2023")</f>
        <v/>
      </c>
      <c r="Y47">
        <f>HYPERLINK("https://klasma.github.io/Logging_0360/tillsynsmail/A 47948-2023 tillsynsbegäran mail.docx", "A 47948-2023")</f>
        <v/>
      </c>
    </row>
    <row r="48" ht="15" customHeight="1">
      <c r="A48" t="inlineStr">
        <is>
          <t>A 48917-2023</t>
        </is>
      </c>
      <c r="B48" s="1" t="n">
        <v>45209</v>
      </c>
      <c r="C48" s="1" t="n">
        <v>45343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Talltita</t>
        </is>
      </c>
      <c r="S48">
        <f>HYPERLINK("https://klasma.github.io/Logging_0360/artfynd/A 48917-2023 artfynd.xlsx", "A 48917-2023")</f>
        <v/>
      </c>
      <c r="T48">
        <f>HYPERLINK("https://klasma.github.io/Logging_0360/kartor/A 48917-2023 karta.png", "A 48917-2023")</f>
        <v/>
      </c>
      <c r="V48">
        <f>HYPERLINK("https://klasma.github.io/Logging_0360/klagomål/A 48917-2023 FSC-klagomål.docx", "A 48917-2023")</f>
        <v/>
      </c>
      <c r="W48">
        <f>HYPERLINK("https://klasma.github.io/Logging_0360/klagomålsmail/A 48917-2023 FSC-klagomål mail.docx", "A 48917-2023")</f>
        <v/>
      </c>
      <c r="X48">
        <f>HYPERLINK("https://klasma.github.io/Logging_0360/tillsyn/A 48917-2023 tillsynsbegäran.docx", "A 48917-2023")</f>
        <v/>
      </c>
      <c r="Y48">
        <f>HYPERLINK("https://klasma.github.io/Logging_0360/tillsynsmail/A 48917-2023 tillsynsbegäran mail.docx", "A 48917-2023")</f>
        <v/>
      </c>
      <c r="Z48">
        <f>HYPERLINK("https://klasma.github.io/Logging_0360/fåglar/A 48917-2023 prioriterade fågelarter.docx", "A 48917-2023")</f>
        <v/>
      </c>
    </row>
    <row r="49" ht="15" customHeight="1">
      <c r="A49" t="inlineStr">
        <is>
          <t>A 59949-2023</t>
        </is>
      </c>
      <c r="B49" s="1" t="n">
        <v>45257</v>
      </c>
      <c r="C49" s="1" t="n">
        <v>45343</v>
      </c>
      <c r="D49" t="inlineStr">
        <is>
          <t>UPPSALA LÄN</t>
        </is>
      </c>
      <c r="E49" t="inlineStr">
        <is>
          <t>TIERP</t>
        </is>
      </c>
      <c r="G49" t="n">
        <v>1.3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Svavelriska</t>
        </is>
      </c>
      <c r="S49">
        <f>HYPERLINK("https://klasma.github.io/Logging_0360/artfynd/A 59949-2023 artfynd.xlsx", "A 59949-2023")</f>
        <v/>
      </c>
      <c r="T49">
        <f>HYPERLINK("https://klasma.github.io/Logging_0360/kartor/A 59949-2023 karta.png", "A 59949-2023")</f>
        <v/>
      </c>
      <c r="V49">
        <f>HYPERLINK("https://klasma.github.io/Logging_0360/klagomål/A 59949-2023 FSC-klagomål.docx", "A 59949-2023")</f>
        <v/>
      </c>
      <c r="W49">
        <f>HYPERLINK("https://klasma.github.io/Logging_0360/klagomålsmail/A 59949-2023 FSC-klagomål mail.docx", "A 59949-2023")</f>
        <v/>
      </c>
      <c r="X49">
        <f>HYPERLINK("https://klasma.github.io/Logging_0360/tillsyn/A 59949-2023 tillsynsbegäran.docx", "A 59949-2023")</f>
        <v/>
      </c>
      <c r="Y49">
        <f>HYPERLINK("https://klasma.github.io/Logging_0360/tillsynsmail/A 59949-2023 tillsynsbegäran mail.docx", "A 59949-2023")</f>
        <v/>
      </c>
    </row>
    <row r="50" ht="15" customHeight="1">
      <c r="A50" t="inlineStr">
        <is>
          <t>A 140-2024</t>
        </is>
      </c>
      <c r="B50" s="1" t="n">
        <v>45294</v>
      </c>
      <c r="C50" s="1" t="n">
        <v>45343</v>
      </c>
      <c r="D50" t="inlineStr">
        <is>
          <t>UPPSALA LÄN</t>
        </is>
      </c>
      <c r="E50" t="inlineStr">
        <is>
          <t>TIERP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Ärtsångare</t>
        </is>
      </c>
      <c r="S50">
        <f>HYPERLINK("https://klasma.github.io/Logging_0360/artfynd/A 140-2024 artfynd.xlsx", "A 140-2024")</f>
        <v/>
      </c>
      <c r="T50">
        <f>HYPERLINK("https://klasma.github.io/Logging_0360/kartor/A 140-2024 karta.png", "A 140-2024")</f>
        <v/>
      </c>
      <c r="V50">
        <f>HYPERLINK("https://klasma.github.io/Logging_0360/klagomål/A 140-2024 FSC-klagomål.docx", "A 140-2024")</f>
        <v/>
      </c>
      <c r="W50">
        <f>HYPERLINK("https://klasma.github.io/Logging_0360/klagomålsmail/A 140-2024 FSC-klagomål mail.docx", "A 140-2024")</f>
        <v/>
      </c>
      <c r="X50">
        <f>HYPERLINK("https://klasma.github.io/Logging_0360/tillsyn/A 140-2024 tillsynsbegäran.docx", "A 140-2024")</f>
        <v/>
      </c>
      <c r="Y50">
        <f>HYPERLINK("https://klasma.github.io/Logging_0360/tillsynsmail/A 140-2024 tillsynsbegäran mail.docx", "A 140-2024")</f>
        <v/>
      </c>
    </row>
    <row r="51" ht="15" customHeight="1">
      <c r="A51" t="inlineStr">
        <is>
          <t>A 57136-2018</t>
        </is>
      </c>
      <c r="B51" s="1" t="n">
        <v>43403</v>
      </c>
      <c r="C51" s="1" t="n">
        <v>45343</v>
      </c>
      <c r="D51" t="inlineStr">
        <is>
          <t>UPPSALA LÄN</t>
        </is>
      </c>
      <c r="E51" t="inlineStr">
        <is>
          <t>TIERP</t>
        </is>
      </c>
      <c r="G51" t="n">
        <v>6.2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HYPERLINK("https://klasma.github.io/Logging_0360/artfynd/A 57136-2018 artfynd.xlsx", "A 57136-2018")</f>
        <v/>
      </c>
      <c r="T51">
        <f>HYPERLINK("https://klasma.github.io/Logging_0360/kartor/A 57136-2018 karta.png", "A 57136-2018")</f>
        <v/>
      </c>
      <c r="V51">
        <f>HYPERLINK("https://klasma.github.io/Logging_0360/klagomål/A 57136-2018 FSC-klagomål.docx", "A 57136-2018")</f>
        <v/>
      </c>
      <c r="W51">
        <f>HYPERLINK("https://klasma.github.io/Logging_0360/klagomålsmail/A 57136-2018 FSC-klagomål mail.docx", "A 57136-2018")</f>
        <v/>
      </c>
      <c r="X51">
        <f>HYPERLINK("https://klasma.github.io/Logging_0360/tillsyn/A 57136-2018 tillsynsbegäran.docx", "A 57136-2018")</f>
        <v/>
      </c>
      <c r="Y51">
        <f>HYPERLINK("https://klasma.github.io/Logging_0360/tillsynsmail/A 57136-2018 tillsynsbegäran mail.docx", "A 57136-2018")</f>
        <v/>
      </c>
      <c r="Z51">
        <f>HYPERLINK("https://klasma.github.io/Logging_0360/fåglar/A 57136-2018 prioriterade fågelarter.docx", "A 57136-2018")</f>
        <v/>
      </c>
    </row>
    <row r="52" ht="15" customHeight="1">
      <c r="A52" t="inlineStr">
        <is>
          <t>A 5014-2019</t>
        </is>
      </c>
      <c r="B52" s="1" t="n">
        <v>43486</v>
      </c>
      <c r="C52" s="1" t="n">
        <v>45343</v>
      </c>
      <c r="D52" t="inlineStr">
        <is>
          <t>UPPSALA LÄN</t>
        </is>
      </c>
      <c r="E52" t="inlineStr">
        <is>
          <t>TIERP</t>
        </is>
      </c>
      <c r="G52" t="n">
        <v>71.5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HYPERLINK("https://klasma.github.io/Logging_0360/artfynd/A 5014-2019 artfynd.xlsx", "A 5014-2019")</f>
        <v/>
      </c>
      <c r="T52">
        <f>HYPERLINK("https://klasma.github.io/Logging_0360/kartor/A 5014-2019 karta.png", "A 5014-2019")</f>
        <v/>
      </c>
      <c r="V52">
        <f>HYPERLINK("https://klasma.github.io/Logging_0360/klagomål/A 5014-2019 FSC-klagomål.docx", "A 5014-2019")</f>
        <v/>
      </c>
      <c r="W52">
        <f>HYPERLINK("https://klasma.github.io/Logging_0360/klagomålsmail/A 5014-2019 FSC-klagomål mail.docx", "A 5014-2019")</f>
        <v/>
      </c>
      <c r="X52">
        <f>HYPERLINK("https://klasma.github.io/Logging_0360/tillsyn/A 5014-2019 tillsynsbegäran.docx", "A 5014-2019")</f>
        <v/>
      </c>
      <c r="Y52">
        <f>HYPERLINK("https://klasma.github.io/Logging_0360/tillsynsmail/A 5014-2019 tillsynsbegäran mail.docx", "A 5014-2019")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45343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45343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45343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45343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45343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45343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45343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45343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45343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45343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45343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45343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45343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45343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45343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45343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45343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45343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45343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45343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45343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45343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45343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45343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45343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45343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45343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45343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45343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45343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45343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45343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38118-2018</t>
        </is>
      </c>
      <c r="B85" s="1" t="n">
        <v>43336</v>
      </c>
      <c r="C85" s="1" t="n">
        <v>45343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38065-2018</t>
        </is>
      </c>
      <c r="B86" s="1" t="n">
        <v>43336</v>
      </c>
      <c r="C86" s="1" t="n">
        <v>45343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40097-2018</t>
        </is>
      </c>
      <c r="B87" s="1" t="n">
        <v>43343</v>
      </c>
      <c r="C87" s="1" t="n">
        <v>45343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44233-2018</t>
        </is>
      </c>
      <c r="B88" s="1" t="n">
        <v>43355</v>
      </c>
      <c r="C88" s="1" t="n">
        <v>45343</v>
      </c>
      <c r="D88" t="inlineStr">
        <is>
          <t>UPPSALA LÄN</t>
        </is>
      </c>
      <c r="E88" t="inlineStr">
        <is>
          <t>TIERP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46078-2018</t>
        </is>
      </c>
      <c r="B89" s="1" t="n">
        <v>43367</v>
      </c>
      <c r="C89" s="1" t="n">
        <v>45343</v>
      </c>
      <c r="D89" t="inlineStr">
        <is>
          <t>UPPSALA LÄN</t>
        </is>
      </c>
      <c r="E89" t="inlineStr">
        <is>
          <t>TIERP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59667-2018</t>
        </is>
      </c>
      <c r="B90" s="1" t="n">
        <v>43371</v>
      </c>
      <c r="C90" s="1" t="n">
        <v>45343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59719-2018</t>
        </is>
      </c>
      <c r="B91" s="1" t="n">
        <v>43378</v>
      </c>
      <c r="C91" s="1" t="n">
        <v>45343</v>
      </c>
      <c r="D91" t="inlineStr">
        <is>
          <t>UPPSALA LÄN</t>
        </is>
      </c>
      <c r="E91" t="inlineStr">
        <is>
          <t>TIERP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60291-2018</t>
        </is>
      </c>
      <c r="B92" s="1" t="n">
        <v>43385</v>
      </c>
      <c r="C92" s="1" t="n">
        <v>45343</v>
      </c>
      <c r="D92" t="inlineStr">
        <is>
          <t>UPPSALA LÄN</t>
        </is>
      </c>
      <c r="E92" t="inlineStr">
        <is>
          <t>TIERP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60035-2018</t>
        </is>
      </c>
      <c r="B93" s="1" t="n">
        <v>43412</v>
      </c>
      <c r="C93" s="1" t="n">
        <v>45343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62436-2018</t>
        </is>
      </c>
      <c r="B94" s="1" t="n">
        <v>43416</v>
      </c>
      <c r="C94" s="1" t="n">
        <v>45343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59700-2018</t>
        </is>
      </c>
      <c r="B95" s="1" t="n">
        <v>43419</v>
      </c>
      <c r="C95" s="1" t="n">
        <v>45343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59440-2018</t>
        </is>
      </c>
      <c r="B96" s="1" t="n">
        <v>43419</v>
      </c>
      <c r="C96" s="1" t="n">
        <v>45343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61548-2018</t>
        </is>
      </c>
      <c r="B97" s="1" t="n">
        <v>43424</v>
      </c>
      <c r="C97" s="1" t="n">
        <v>45343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63525-2018</t>
        </is>
      </c>
      <c r="B98" s="1" t="n">
        <v>43427</v>
      </c>
      <c r="C98" s="1" t="n">
        <v>45343</v>
      </c>
      <c r="D98" t="inlineStr">
        <is>
          <t>UPPSALA LÄN</t>
        </is>
      </c>
      <c r="E98" t="inlineStr">
        <is>
          <t>TIERP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67716-2018</t>
        </is>
      </c>
      <c r="B99" s="1" t="n">
        <v>43434</v>
      </c>
      <c r="C99" s="1" t="n">
        <v>45343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66942-2018</t>
        </is>
      </c>
      <c r="B100" s="1" t="n">
        <v>43438</v>
      </c>
      <c r="C100" s="1" t="n">
        <v>45343</v>
      </c>
      <c r="D100" t="inlineStr">
        <is>
          <t>UPPSALA LÄN</t>
        </is>
      </c>
      <c r="E100" t="inlineStr">
        <is>
          <t>TIERP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66869-2018</t>
        </is>
      </c>
      <c r="B101" s="1" t="n">
        <v>43438</v>
      </c>
      <c r="C101" s="1" t="n">
        <v>45343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66868-2018</t>
        </is>
      </c>
      <c r="B102" s="1" t="n">
        <v>43438</v>
      </c>
      <c r="C102" s="1" t="n">
        <v>45343</v>
      </c>
      <c r="D102" t="inlineStr">
        <is>
          <t>UPPSALA LÄN</t>
        </is>
      </c>
      <c r="E102" t="inlineStr">
        <is>
          <t>TIERP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67573-2018</t>
        </is>
      </c>
      <c r="B103" s="1" t="n">
        <v>43439</v>
      </c>
      <c r="C103" s="1" t="n">
        <v>45343</v>
      </c>
      <c r="D103" t="inlineStr">
        <is>
          <t>UPPSALA LÄN</t>
        </is>
      </c>
      <c r="E103" t="inlineStr">
        <is>
          <t>TIERP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67819-2018</t>
        </is>
      </c>
      <c r="B104" s="1" t="n">
        <v>43440</v>
      </c>
      <c r="C104" s="1" t="n">
        <v>45343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69434-2018</t>
        </is>
      </c>
      <c r="B105" s="1" t="n">
        <v>43446</v>
      </c>
      <c r="C105" s="1" t="n">
        <v>45343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69404-2018</t>
        </is>
      </c>
      <c r="B106" s="1" t="n">
        <v>43446</v>
      </c>
      <c r="C106" s="1" t="n">
        <v>45343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69346-2018</t>
        </is>
      </c>
      <c r="B107" s="1" t="n">
        <v>43446</v>
      </c>
      <c r="C107" s="1" t="n">
        <v>45343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69700-2018</t>
        </is>
      </c>
      <c r="B108" s="1" t="n">
        <v>43447</v>
      </c>
      <c r="C108" s="1" t="n">
        <v>45343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69698-2018</t>
        </is>
      </c>
      <c r="B109" s="1" t="n">
        <v>43447</v>
      </c>
      <c r="C109" s="1" t="n">
        <v>45343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70376-2018</t>
        </is>
      </c>
      <c r="B110" s="1" t="n">
        <v>43450</v>
      </c>
      <c r="C110" s="1" t="n">
        <v>45343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70373-2018</t>
        </is>
      </c>
      <c r="B111" s="1" t="n">
        <v>43450</v>
      </c>
      <c r="C111" s="1" t="n">
        <v>45343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70375-2018</t>
        </is>
      </c>
      <c r="B112" s="1" t="n">
        <v>43450</v>
      </c>
      <c r="C112" s="1" t="n">
        <v>45343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70541-2018</t>
        </is>
      </c>
      <c r="B113" s="1" t="n">
        <v>43451</v>
      </c>
      <c r="C113" s="1" t="n">
        <v>45343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72538-2018</t>
        </is>
      </c>
      <c r="B114" s="1" t="n">
        <v>43462</v>
      </c>
      <c r="C114" s="1" t="n">
        <v>45343</v>
      </c>
      <c r="D114" t="inlineStr">
        <is>
          <t>UPPSALA LÄN</t>
        </is>
      </c>
      <c r="E114" t="inlineStr">
        <is>
          <t>TIERP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2216-2019</t>
        </is>
      </c>
      <c r="B115" s="1" t="n">
        <v>43475</v>
      </c>
      <c r="C115" s="1" t="n">
        <v>45343</v>
      </c>
      <c r="D115" t="inlineStr">
        <is>
          <t>UPPSALA LÄN</t>
        </is>
      </c>
      <c r="E115" t="inlineStr">
        <is>
          <t>TIERP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2462-2019</t>
        </is>
      </c>
      <c r="B116" s="1" t="n">
        <v>43476</v>
      </c>
      <c r="C116" s="1" t="n">
        <v>45343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4504-2019</t>
        </is>
      </c>
      <c r="B117" s="1" t="n">
        <v>43486</v>
      </c>
      <c r="C117" s="1" t="n">
        <v>45343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4500-2019</t>
        </is>
      </c>
      <c r="B118" s="1" t="n">
        <v>43486</v>
      </c>
      <c r="C118" s="1" t="n">
        <v>45343</v>
      </c>
      <c r="D118" t="inlineStr">
        <is>
          <t>UPPSALA LÄN</t>
        </is>
      </c>
      <c r="E118" t="inlineStr">
        <is>
          <t>TIERP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5199-2019</t>
        </is>
      </c>
      <c r="B119" s="1" t="n">
        <v>43488</v>
      </c>
      <c r="C119" s="1" t="n">
        <v>45343</v>
      </c>
      <c r="D119" t="inlineStr">
        <is>
          <t>UPPSALA LÄN</t>
        </is>
      </c>
      <c r="E119" t="inlineStr">
        <is>
          <t>TIERP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5473-2019</t>
        </is>
      </c>
      <c r="B120" s="1" t="n">
        <v>43488</v>
      </c>
      <c r="C120" s="1" t="n">
        <v>45343</v>
      </c>
      <c r="D120" t="inlineStr">
        <is>
          <t>UPPSALA LÄN</t>
        </is>
      </c>
      <c r="E120" t="inlineStr">
        <is>
          <t>TIERP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5224-2019</t>
        </is>
      </c>
      <c r="B121" s="1" t="n">
        <v>43488</v>
      </c>
      <c r="C121" s="1" t="n">
        <v>45343</v>
      </c>
      <c r="D121" t="inlineStr">
        <is>
          <t>UPPSALA LÄN</t>
        </is>
      </c>
      <c r="E121" t="inlineStr">
        <is>
          <t>TIERP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6898-2019</t>
        </is>
      </c>
      <c r="B122" s="1" t="n">
        <v>43495</v>
      </c>
      <c r="C122" s="1" t="n">
        <v>45343</v>
      </c>
      <c r="D122" t="inlineStr">
        <is>
          <t>UPPSALA LÄN</t>
        </is>
      </c>
      <c r="E122" t="inlineStr">
        <is>
          <t>TIERP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7157-2019</t>
        </is>
      </c>
      <c r="B123" s="1" t="n">
        <v>43496</v>
      </c>
      <c r="C123" s="1" t="n">
        <v>45343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7701-2019</t>
        </is>
      </c>
      <c r="B124" s="1" t="n">
        <v>43500</v>
      </c>
      <c r="C124" s="1" t="n">
        <v>45343</v>
      </c>
      <c r="D124" t="inlineStr">
        <is>
          <t>UPPSALA LÄN</t>
        </is>
      </c>
      <c r="E124" t="inlineStr">
        <is>
          <t>TIERP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10816-2019</t>
        </is>
      </c>
      <c r="B125" s="1" t="n">
        <v>43514</v>
      </c>
      <c r="C125" s="1" t="n">
        <v>45343</v>
      </c>
      <c r="D125" t="inlineStr">
        <is>
          <t>UPPSALA LÄN</t>
        </is>
      </c>
      <c r="E125" t="inlineStr">
        <is>
          <t>TIERP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11499-2019</t>
        </is>
      </c>
      <c r="B126" s="1" t="n">
        <v>43517</v>
      </c>
      <c r="C126" s="1" t="n">
        <v>45343</v>
      </c>
      <c r="D126" t="inlineStr">
        <is>
          <t>UPPSALA LÄN</t>
        </is>
      </c>
      <c r="E126" t="inlineStr">
        <is>
          <t>TIERP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11813-2019</t>
        </is>
      </c>
      <c r="B127" s="1" t="n">
        <v>43521</v>
      </c>
      <c r="C127" s="1" t="n">
        <v>45343</v>
      </c>
      <c r="D127" t="inlineStr">
        <is>
          <t>UPPSALA LÄN</t>
        </is>
      </c>
      <c r="E127" t="inlineStr">
        <is>
          <t>TIERP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12174-2019</t>
        </is>
      </c>
      <c r="B128" s="1" t="n">
        <v>43522</v>
      </c>
      <c r="C128" s="1" t="n">
        <v>45343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13203-2019</t>
        </is>
      </c>
      <c r="B129" s="1" t="n">
        <v>43528</v>
      </c>
      <c r="C129" s="1" t="n">
        <v>45343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13261-2019</t>
        </is>
      </c>
      <c r="B130" s="1" t="n">
        <v>43528</v>
      </c>
      <c r="C130" s="1" t="n">
        <v>45343</v>
      </c>
      <c r="D130" t="inlineStr">
        <is>
          <t>UPPSALA LÄN</t>
        </is>
      </c>
      <c r="E130" t="inlineStr">
        <is>
          <t>TIERP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13422-2019</t>
        </is>
      </c>
      <c r="B131" s="1" t="n">
        <v>43529</v>
      </c>
      <c r="C131" s="1" t="n">
        <v>45343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14377-2019</t>
        </is>
      </c>
      <c r="B132" s="1" t="n">
        <v>43536</v>
      </c>
      <c r="C132" s="1" t="n">
        <v>45343</v>
      </c>
      <c r="D132" t="inlineStr">
        <is>
          <t>UPPSALA LÄN</t>
        </is>
      </c>
      <c r="E132" t="inlineStr">
        <is>
          <t>TIERP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14703-2019</t>
        </is>
      </c>
      <c r="B133" s="1" t="n">
        <v>43539</v>
      </c>
      <c r="C133" s="1" t="n">
        <v>45343</v>
      </c>
      <c r="D133" t="inlineStr">
        <is>
          <t>UPPSALA LÄN</t>
        </is>
      </c>
      <c r="E133" t="inlineStr">
        <is>
          <t>TIERP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18466-2019</t>
        </is>
      </c>
      <c r="B134" s="1" t="n">
        <v>43559</v>
      </c>
      <c r="C134" s="1" t="n">
        <v>45343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45343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45343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45343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45343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45343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45343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45343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45343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45343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45343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45343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45343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45343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45343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45343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45343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45343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45343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45343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45343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45343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45343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45343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45343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45343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45343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45343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45343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45343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45343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45343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45343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45343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45343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45343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45343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45343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45343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45343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45343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45343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45343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45343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45343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45343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45343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45343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45343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45343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45343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45343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45343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45343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45343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45343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45343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45343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45343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45343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45343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45343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45343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45343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45343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45343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45343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45343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45343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45343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45343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45343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45343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45343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45343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45343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45343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45343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45343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45343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45343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45343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45343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45343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45343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45343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45343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45343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45343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45343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45343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45343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45343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45343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45343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45343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45343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45343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45343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45343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45343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45343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45343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45343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45343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45343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45343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45343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45343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45343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45343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45343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45343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45343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45343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45343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45343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45343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45343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45343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45343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45343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45343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45343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45343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45343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45343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45343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45343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45343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19222-2021</t>
        </is>
      </c>
      <c r="B264" s="1" t="n">
        <v>44309</v>
      </c>
      <c r="C264" s="1" t="n">
        <v>45343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21967-2021</t>
        </is>
      </c>
      <c r="B265" s="1" t="n">
        <v>44323</v>
      </c>
      <c r="C265" s="1" t="n">
        <v>45343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23380-2021</t>
        </is>
      </c>
      <c r="B266" s="1" t="n">
        <v>44333</v>
      </c>
      <c r="C266" s="1" t="n">
        <v>45343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23828-2021</t>
        </is>
      </c>
      <c r="B267" s="1" t="n">
        <v>44335</v>
      </c>
      <c r="C267" s="1" t="n">
        <v>45343</v>
      </c>
      <c r="D267" t="inlineStr">
        <is>
          <t>UPPSALA LÄN</t>
        </is>
      </c>
      <c r="E267" t="inlineStr">
        <is>
          <t>TIERP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23835-2021</t>
        </is>
      </c>
      <c r="B268" s="1" t="n">
        <v>44335</v>
      </c>
      <c r="C268" s="1" t="n">
        <v>45343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24278-2021</t>
        </is>
      </c>
      <c r="B269" s="1" t="n">
        <v>44337</v>
      </c>
      <c r="C269" s="1" t="n">
        <v>45343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24276-2021</t>
        </is>
      </c>
      <c r="B270" s="1" t="n">
        <v>44337</v>
      </c>
      <c r="C270" s="1" t="n">
        <v>45343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24431-2021</t>
        </is>
      </c>
      <c r="B271" s="1" t="n">
        <v>44337</v>
      </c>
      <c r="C271" s="1" t="n">
        <v>45343</v>
      </c>
      <c r="D271" t="inlineStr">
        <is>
          <t>UPPSALA LÄN</t>
        </is>
      </c>
      <c r="E271" t="inlineStr">
        <is>
          <t>TIERP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26301-2021</t>
        </is>
      </c>
      <c r="B272" s="1" t="n">
        <v>44347</v>
      </c>
      <c r="C272" s="1" t="n">
        <v>45343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28834-2021</t>
        </is>
      </c>
      <c r="B273" s="1" t="n">
        <v>44357</v>
      </c>
      <c r="C273" s="1" t="n">
        <v>45343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29082-2021</t>
        </is>
      </c>
      <c r="B274" s="1" t="n">
        <v>44358</v>
      </c>
      <c r="C274" s="1" t="n">
        <v>45343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29089-2021</t>
        </is>
      </c>
      <c r="B275" s="1" t="n">
        <v>44358</v>
      </c>
      <c r="C275" s="1" t="n">
        <v>45343</v>
      </c>
      <c r="D275" t="inlineStr">
        <is>
          <t>UPPSALA LÄN</t>
        </is>
      </c>
      <c r="E275" t="inlineStr">
        <is>
          <t>TIERP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30742-2021</t>
        </is>
      </c>
      <c r="B276" s="1" t="n">
        <v>44365</v>
      </c>
      <c r="C276" s="1" t="n">
        <v>45343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31099-2021</t>
        </is>
      </c>
      <c r="B277" s="1" t="n">
        <v>44368</v>
      </c>
      <c r="C277" s="1" t="n">
        <v>45343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32207-2021</t>
        </is>
      </c>
      <c r="B278" s="1" t="n">
        <v>44371</v>
      </c>
      <c r="C278" s="1" t="n">
        <v>45343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32995-2021</t>
        </is>
      </c>
      <c r="B279" s="1" t="n">
        <v>44376</v>
      </c>
      <c r="C279" s="1" t="n">
        <v>45343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34648-2021</t>
        </is>
      </c>
      <c r="B280" s="1" t="n">
        <v>44382</v>
      </c>
      <c r="C280" s="1" t="n">
        <v>45343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36069-2021</t>
        </is>
      </c>
      <c r="B281" s="1" t="n">
        <v>44389</v>
      </c>
      <c r="C281" s="1" t="n">
        <v>45343</v>
      </c>
      <c r="D281" t="inlineStr">
        <is>
          <t>UPPSALA LÄN</t>
        </is>
      </c>
      <c r="E281" t="inlineStr">
        <is>
          <t>TIERP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36150-2021</t>
        </is>
      </c>
      <c r="B282" s="1" t="n">
        <v>44389</v>
      </c>
      <c r="C282" s="1" t="n">
        <v>45343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39838-2021</t>
        </is>
      </c>
      <c r="B283" s="1" t="n">
        <v>44417</v>
      </c>
      <c r="C283" s="1" t="n">
        <v>45343</v>
      </c>
      <c r="D283" t="inlineStr">
        <is>
          <t>UPPSALA LÄN</t>
        </is>
      </c>
      <c r="E283" t="inlineStr">
        <is>
          <t>TIERP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40011-2021</t>
        </is>
      </c>
      <c r="B284" s="1" t="n">
        <v>44418</v>
      </c>
      <c r="C284" s="1" t="n">
        <v>45343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40804-2021</t>
        </is>
      </c>
      <c r="B285" s="1" t="n">
        <v>44421</v>
      </c>
      <c r="C285" s="1" t="n">
        <v>45343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40793-2021</t>
        </is>
      </c>
      <c r="B286" s="1" t="n">
        <v>44421</v>
      </c>
      <c r="C286" s="1" t="n">
        <v>45343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42262-2021</t>
        </is>
      </c>
      <c r="B287" s="1" t="n">
        <v>44427</v>
      </c>
      <c r="C287" s="1" t="n">
        <v>45343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43020-2021</t>
        </is>
      </c>
      <c r="B288" s="1" t="n">
        <v>44431</v>
      </c>
      <c r="C288" s="1" t="n">
        <v>45343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44009-2021</t>
        </is>
      </c>
      <c r="B289" s="1" t="n">
        <v>44434</v>
      </c>
      <c r="C289" s="1" t="n">
        <v>45343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44690-2021</t>
        </is>
      </c>
      <c r="B290" s="1" t="n">
        <v>44438</v>
      </c>
      <c r="C290" s="1" t="n">
        <v>45343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45146-2021</t>
        </is>
      </c>
      <c r="B291" s="1" t="n">
        <v>44439</v>
      </c>
      <c r="C291" s="1" t="n">
        <v>45343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45217-2021</t>
        </is>
      </c>
      <c r="B292" s="1" t="n">
        <v>44439</v>
      </c>
      <c r="C292" s="1" t="n">
        <v>45343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45225-2021</t>
        </is>
      </c>
      <c r="B293" s="1" t="n">
        <v>44439</v>
      </c>
      <c r="C293" s="1" t="n">
        <v>45343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45579-2021</t>
        </is>
      </c>
      <c r="B294" s="1" t="n">
        <v>44440</v>
      </c>
      <c r="C294" s="1" t="n">
        <v>45343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45993-2021</t>
        </is>
      </c>
      <c r="B295" s="1" t="n">
        <v>44441</v>
      </c>
      <c r="C295" s="1" t="n">
        <v>45343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46976-2021</t>
        </is>
      </c>
      <c r="B296" s="1" t="n">
        <v>44446</v>
      </c>
      <c r="C296" s="1" t="n">
        <v>45343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48455-2021</t>
        </is>
      </c>
      <c r="B297" s="1" t="n">
        <v>44452</v>
      </c>
      <c r="C297" s="1" t="n">
        <v>45343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48536-2021</t>
        </is>
      </c>
      <c r="B298" s="1" t="n">
        <v>44452</v>
      </c>
      <c r="C298" s="1" t="n">
        <v>45343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48485-2021</t>
        </is>
      </c>
      <c r="B299" s="1" t="n">
        <v>44452</v>
      </c>
      <c r="C299" s="1" t="n">
        <v>45343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48880-2021</t>
        </is>
      </c>
      <c r="B300" s="1" t="n">
        <v>44452</v>
      </c>
      <c r="C300" s="1" t="n">
        <v>45343</v>
      </c>
      <c r="D300" t="inlineStr">
        <is>
          <t>UPPSALA LÄN</t>
        </is>
      </c>
      <c r="E300" t="inlineStr">
        <is>
          <t>TIERP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48970-2021</t>
        </is>
      </c>
      <c r="B301" s="1" t="n">
        <v>44453</v>
      </c>
      <c r="C301" s="1" t="n">
        <v>45343</v>
      </c>
      <c r="D301" t="inlineStr">
        <is>
          <t>UPPSALA LÄN</t>
        </is>
      </c>
      <c r="E301" t="inlineStr">
        <is>
          <t>TIERP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48982-2021</t>
        </is>
      </c>
      <c r="B302" s="1" t="n">
        <v>44453</v>
      </c>
      <c r="C302" s="1" t="n">
        <v>45343</v>
      </c>
      <c r="D302" t="inlineStr">
        <is>
          <t>UPPSALA LÄN</t>
        </is>
      </c>
      <c r="E302" t="inlineStr">
        <is>
          <t>TIERP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49053-2021</t>
        </is>
      </c>
      <c r="B303" s="1" t="n">
        <v>44453</v>
      </c>
      <c r="C303" s="1" t="n">
        <v>45343</v>
      </c>
      <c r="D303" t="inlineStr">
        <is>
          <t>UPPSALA LÄN</t>
        </is>
      </c>
      <c r="E303" t="inlineStr">
        <is>
          <t>TIERP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49061-2021</t>
        </is>
      </c>
      <c r="B304" s="1" t="n">
        <v>44453</v>
      </c>
      <c r="C304" s="1" t="n">
        <v>45343</v>
      </c>
      <c r="D304" t="inlineStr">
        <is>
          <t>UPPSALA LÄN</t>
        </is>
      </c>
      <c r="E304" t="inlineStr">
        <is>
          <t>TIERP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50442-2021</t>
        </is>
      </c>
      <c r="B305" s="1" t="n">
        <v>44459</v>
      </c>
      <c r="C305" s="1" t="n">
        <v>45343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50429-2021</t>
        </is>
      </c>
      <c r="B306" s="1" t="n">
        <v>44459</v>
      </c>
      <c r="C306" s="1" t="n">
        <v>45343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52025-2021</t>
        </is>
      </c>
      <c r="B307" s="1" t="n">
        <v>44463</v>
      </c>
      <c r="C307" s="1" t="n">
        <v>45343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53666-2021</t>
        </is>
      </c>
      <c r="B308" s="1" t="n">
        <v>44469</v>
      </c>
      <c r="C308" s="1" t="n">
        <v>45343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53766-2021</t>
        </is>
      </c>
      <c r="B309" s="1" t="n">
        <v>44469</v>
      </c>
      <c r="C309" s="1" t="n">
        <v>45343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53751-2021</t>
        </is>
      </c>
      <c r="B310" s="1" t="n">
        <v>44469</v>
      </c>
      <c r="C310" s="1" t="n">
        <v>45343</v>
      </c>
      <c r="D310" t="inlineStr">
        <is>
          <t>UPPSALA LÄN</t>
        </is>
      </c>
      <c r="E310" t="inlineStr">
        <is>
          <t>TIERP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55026-2021</t>
        </is>
      </c>
      <c r="B311" s="1" t="n">
        <v>44474</v>
      </c>
      <c r="C311" s="1" t="n">
        <v>45343</v>
      </c>
      <c r="D311" t="inlineStr">
        <is>
          <t>UPPSALA LÄN</t>
        </is>
      </c>
      <c r="E311" t="inlineStr">
        <is>
          <t>TIERP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56498-2021</t>
        </is>
      </c>
      <c r="B312" s="1" t="n">
        <v>44480</v>
      </c>
      <c r="C312" s="1" t="n">
        <v>45343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56509-2021</t>
        </is>
      </c>
      <c r="B313" s="1" t="n">
        <v>44480</v>
      </c>
      <c r="C313" s="1" t="n">
        <v>45343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56740-2021</t>
        </is>
      </c>
      <c r="B314" s="1" t="n">
        <v>44481</v>
      </c>
      <c r="C314" s="1" t="n">
        <v>45343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57028-2021</t>
        </is>
      </c>
      <c r="B315" s="1" t="n">
        <v>44482</v>
      </c>
      <c r="C315" s="1" t="n">
        <v>45343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59378-2021</t>
        </is>
      </c>
      <c r="B316" s="1" t="n">
        <v>44491</v>
      </c>
      <c r="C316" s="1" t="n">
        <v>45343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59350-2021</t>
        </is>
      </c>
      <c r="B317" s="1" t="n">
        <v>44491</v>
      </c>
      <c r="C317" s="1" t="n">
        <v>45343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60441-2021</t>
        </is>
      </c>
      <c r="B318" s="1" t="n">
        <v>44496</v>
      </c>
      <c r="C318" s="1" t="n">
        <v>45343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60429-2021</t>
        </is>
      </c>
      <c r="B319" s="1" t="n">
        <v>44496</v>
      </c>
      <c r="C319" s="1" t="n">
        <v>45343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60908-2021</t>
        </is>
      </c>
      <c r="B320" s="1" t="n">
        <v>44497</v>
      </c>
      <c r="C320" s="1" t="n">
        <v>45343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62897-2021</t>
        </is>
      </c>
      <c r="B321" s="1" t="n">
        <v>44504</v>
      </c>
      <c r="C321" s="1" t="n">
        <v>45343</v>
      </c>
      <c r="D321" t="inlineStr">
        <is>
          <t>UPPSALA LÄN</t>
        </is>
      </c>
      <c r="E321" t="inlineStr">
        <is>
          <t>TIERP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65255-2021</t>
        </is>
      </c>
      <c r="B322" s="1" t="n">
        <v>44515</v>
      </c>
      <c r="C322" s="1" t="n">
        <v>45343</v>
      </c>
      <c r="D322" t="inlineStr">
        <is>
          <t>UPPSALA LÄN</t>
        </is>
      </c>
      <c r="E322" t="inlineStr">
        <is>
          <t>TIERP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65491-2021</t>
        </is>
      </c>
      <c r="B323" s="1" t="n">
        <v>44516</v>
      </c>
      <c r="C323" s="1" t="n">
        <v>45343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66241-2021</t>
        </is>
      </c>
      <c r="B324" s="1" t="n">
        <v>44518</v>
      </c>
      <c r="C324" s="1" t="n">
        <v>45343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68410-2021</t>
        </is>
      </c>
      <c r="B325" s="1" t="n">
        <v>44529</v>
      </c>
      <c r="C325" s="1" t="n">
        <v>45343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69841-2021</t>
        </is>
      </c>
      <c r="B326" s="1" t="n">
        <v>44532</v>
      </c>
      <c r="C326" s="1" t="n">
        <v>45343</v>
      </c>
      <c r="D326" t="inlineStr">
        <is>
          <t>UPPSALA LÄN</t>
        </is>
      </c>
      <c r="E326" t="inlineStr">
        <is>
          <t>TIERP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71774-2021</t>
        </is>
      </c>
      <c r="B327" s="1" t="n">
        <v>44543</v>
      </c>
      <c r="C327" s="1" t="n">
        <v>45343</v>
      </c>
      <c r="D327" t="inlineStr">
        <is>
          <t>UPPSALA LÄN</t>
        </is>
      </c>
      <c r="E327" t="inlineStr">
        <is>
          <t>TIERP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72914-2021</t>
        </is>
      </c>
      <c r="B328" s="1" t="n">
        <v>44547</v>
      </c>
      <c r="C328" s="1" t="n">
        <v>45343</v>
      </c>
      <c r="D328" t="inlineStr">
        <is>
          <t>UPPSALA LÄN</t>
        </is>
      </c>
      <c r="E328" t="inlineStr">
        <is>
          <t>TIERP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72975-2021</t>
        </is>
      </c>
      <c r="B329" s="1" t="n">
        <v>44548</v>
      </c>
      <c r="C329" s="1" t="n">
        <v>45343</v>
      </c>
      <c r="D329" t="inlineStr">
        <is>
          <t>UPPSALA LÄN</t>
        </is>
      </c>
      <c r="E329" t="inlineStr">
        <is>
          <t>TIERP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74473-2021</t>
        </is>
      </c>
      <c r="B330" s="1" t="n">
        <v>44560</v>
      </c>
      <c r="C330" s="1" t="n">
        <v>45343</v>
      </c>
      <c r="D330" t="inlineStr">
        <is>
          <t>UPPSALA LÄN</t>
        </is>
      </c>
      <c r="E330" t="inlineStr">
        <is>
          <t>TIERP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871-2022</t>
        </is>
      </c>
      <c r="B331" s="1" t="n">
        <v>44571</v>
      </c>
      <c r="C331" s="1" t="n">
        <v>45343</v>
      </c>
      <c r="D331" t="inlineStr">
        <is>
          <t>UPPSALA LÄN</t>
        </is>
      </c>
      <c r="E331" t="inlineStr">
        <is>
          <t>TIERP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2248-2022</t>
        </is>
      </c>
      <c r="B332" s="1" t="n">
        <v>44578</v>
      </c>
      <c r="C332" s="1" t="n">
        <v>45343</v>
      </c>
      <c r="D332" t="inlineStr">
        <is>
          <t>UPPSALA LÄN</t>
        </is>
      </c>
      <c r="E332" t="inlineStr">
        <is>
          <t>TIERP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2535-2022</t>
        </is>
      </c>
      <c r="B333" s="1" t="n">
        <v>44579</v>
      </c>
      <c r="C333" s="1" t="n">
        <v>45343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2534-2022</t>
        </is>
      </c>
      <c r="B334" s="1" t="n">
        <v>44579</v>
      </c>
      <c r="C334" s="1" t="n">
        <v>45343</v>
      </c>
      <c r="D334" t="inlineStr">
        <is>
          <t>UPPSALA LÄN</t>
        </is>
      </c>
      <c r="E334" t="inlineStr">
        <is>
          <t>TIERP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2559-2022</t>
        </is>
      </c>
      <c r="B335" s="1" t="n">
        <v>44580</v>
      </c>
      <c r="C335" s="1" t="n">
        <v>45343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2771-2022</t>
        </is>
      </c>
      <c r="B336" s="1" t="n">
        <v>44581</v>
      </c>
      <c r="C336" s="1" t="n">
        <v>45343</v>
      </c>
      <c r="D336" t="inlineStr">
        <is>
          <t>UPPSALA LÄN</t>
        </is>
      </c>
      <c r="E336" t="inlineStr">
        <is>
          <t>TIERP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2795-2022</t>
        </is>
      </c>
      <c r="B337" s="1" t="n">
        <v>44581</v>
      </c>
      <c r="C337" s="1" t="n">
        <v>45343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2814-2022</t>
        </is>
      </c>
      <c r="B338" s="1" t="n">
        <v>44581</v>
      </c>
      <c r="C338" s="1" t="n">
        <v>45343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4083-2022</t>
        </is>
      </c>
      <c r="B339" s="1" t="n">
        <v>44588</v>
      </c>
      <c r="C339" s="1" t="n">
        <v>45343</v>
      </c>
      <c r="D339" t="inlineStr">
        <is>
          <t>UPPSALA LÄN</t>
        </is>
      </c>
      <c r="E339" t="inlineStr">
        <is>
          <t>TIERP</t>
        </is>
      </c>
      <c r="G339" t="n">
        <v>26.1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4597-2022</t>
        </is>
      </c>
      <c r="B340" s="1" t="n">
        <v>44592</v>
      </c>
      <c r="C340" s="1" t="n">
        <v>45343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5023-2022</t>
        </is>
      </c>
      <c r="B341" s="1" t="n">
        <v>44593</v>
      </c>
      <c r="C341" s="1" t="n">
        <v>45343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5170-2022</t>
        </is>
      </c>
      <c r="B342" s="1" t="n">
        <v>44594</v>
      </c>
      <c r="C342" s="1" t="n">
        <v>45343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5204-2022</t>
        </is>
      </c>
      <c r="B343" s="1" t="n">
        <v>44594</v>
      </c>
      <c r="C343" s="1" t="n">
        <v>45343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5266-2022</t>
        </is>
      </c>
      <c r="B344" s="1" t="n">
        <v>44594</v>
      </c>
      <c r="C344" s="1" t="n">
        <v>45343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5918-2022</t>
        </is>
      </c>
      <c r="B345" s="1" t="n">
        <v>44597</v>
      </c>
      <c r="C345" s="1" t="n">
        <v>45343</v>
      </c>
      <c r="D345" t="inlineStr">
        <is>
          <t>UPPSALA LÄN</t>
        </is>
      </c>
      <c r="E345" t="inlineStr">
        <is>
          <t>TIERP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6254-2022</t>
        </is>
      </c>
      <c r="B346" s="1" t="n">
        <v>44600</v>
      </c>
      <c r="C346" s="1" t="n">
        <v>45343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7068-2022</t>
        </is>
      </c>
      <c r="B347" s="1" t="n">
        <v>44603</v>
      </c>
      <c r="C347" s="1" t="n">
        <v>45343</v>
      </c>
      <c r="D347" t="inlineStr">
        <is>
          <t>UPPSALA LÄN</t>
        </is>
      </c>
      <c r="E347" t="inlineStr">
        <is>
          <t>TIERP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9288-2022</t>
        </is>
      </c>
      <c r="B348" s="1" t="n">
        <v>44616</v>
      </c>
      <c r="C348" s="1" t="n">
        <v>45343</v>
      </c>
      <c r="D348" t="inlineStr">
        <is>
          <t>UPPSALA LÄN</t>
        </is>
      </c>
      <c r="E348" t="inlineStr">
        <is>
          <t>TIERP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9564-2022</t>
        </is>
      </c>
      <c r="B349" s="1" t="n">
        <v>44617</v>
      </c>
      <c r="C349" s="1" t="n">
        <v>45343</v>
      </c>
      <c r="D349" t="inlineStr">
        <is>
          <t>UPPSALA LÄN</t>
        </is>
      </c>
      <c r="E349" t="inlineStr">
        <is>
          <t>TIERP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9895-2022</t>
        </is>
      </c>
      <c r="B350" s="1" t="n">
        <v>44620</v>
      </c>
      <c r="C350" s="1" t="n">
        <v>45343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10783-2022</t>
        </is>
      </c>
      <c r="B351" s="1" t="n">
        <v>44627</v>
      </c>
      <c r="C351" s="1" t="n">
        <v>45343</v>
      </c>
      <c r="D351" t="inlineStr">
        <is>
          <t>UPPSALA LÄN</t>
        </is>
      </c>
      <c r="E351" t="inlineStr">
        <is>
          <t>TIERP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10780-2022</t>
        </is>
      </c>
      <c r="B352" s="1" t="n">
        <v>44627</v>
      </c>
      <c r="C352" s="1" t="n">
        <v>45343</v>
      </c>
      <c r="D352" t="inlineStr">
        <is>
          <t>UPPSALA LÄN</t>
        </is>
      </c>
      <c r="E352" t="inlineStr">
        <is>
          <t>TIERP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10785-2022</t>
        </is>
      </c>
      <c r="B353" s="1" t="n">
        <v>44627</v>
      </c>
      <c r="C353" s="1" t="n">
        <v>45343</v>
      </c>
      <c r="D353" t="inlineStr">
        <is>
          <t>UPPSALA LÄN</t>
        </is>
      </c>
      <c r="E353" t="inlineStr">
        <is>
          <t>TIERP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10777-2022</t>
        </is>
      </c>
      <c r="B354" s="1" t="n">
        <v>44627</v>
      </c>
      <c r="C354" s="1" t="n">
        <v>45343</v>
      </c>
      <c r="D354" t="inlineStr">
        <is>
          <t>UPPSALA LÄN</t>
        </is>
      </c>
      <c r="E354" t="inlineStr">
        <is>
          <t>TIERP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11529-2022</t>
        </is>
      </c>
      <c r="B355" s="1" t="n">
        <v>44631</v>
      </c>
      <c r="C355" s="1" t="n">
        <v>45343</v>
      </c>
      <c r="D355" t="inlineStr">
        <is>
          <t>UPPSALA LÄN</t>
        </is>
      </c>
      <c r="E355" t="inlineStr">
        <is>
          <t>TIERP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11496-2022</t>
        </is>
      </c>
      <c r="B356" s="1" t="n">
        <v>44631</v>
      </c>
      <c r="C356" s="1" t="n">
        <v>45343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11824-2022</t>
        </is>
      </c>
      <c r="B357" s="1" t="n">
        <v>44634</v>
      </c>
      <c r="C357" s="1" t="n">
        <v>45343</v>
      </c>
      <c r="D357" t="inlineStr">
        <is>
          <t>UPPSALA LÄN</t>
        </is>
      </c>
      <c r="E357" t="inlineStr">
        <is>
          <t>TIERP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12189-2022</t>
        </is>
      </c>
      <c r="B358" s="1" t="n">
        <v>44636</v>
      </c>
      <c r="C358" s="1" t="n">
        <v>45343</v>
      </c>
      <c r="D358" t="inlineStr">
        <is>
          <t>UPPSALA LÄN</t>
        </is>
      </c>
      <c r="E358" t="inlineStr">
        <is>
          <t>TIERP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12194-2022</t>
        </is>
      </c>
      <c r="B359" s="1" t="n">
        <v>44636</v>
      </c>
      <c r="C359" s="1" t="n">
        <v>45343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12449-2022</t>
        </is>
      </c>
      <c r="B360" s="1" t="n">
        <v>44638</v>
      </c>
      <c r="C360" s="1" t="n">
        <v>45343</v>
      </c>
      <c r="D360" t="inlineStr">
        <is>
          <t>UPPSALA LÄN</t>
        </is>
      </c>
      <c r="E360" t="inlineStr">
        <is>
          <t>TIERP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12624-2022</t>
        </is>
      </c>
      <c r="B361" s="1" t="n">
        <v>44641</v>
      </c>
      <c r="C361" s="1" t="n">
        <v>45343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13237-2022</t>
        </is>
      </c>
      <c r="B362" s="1" t="n">
        <v>44644</v>
      </c>
      <c r="C362" s="1" t="n">
        <v>45343</v>
      </c>
      <c r="D362" t="inlineStr">
        <is>
          <t>UPPSALA LÄN</t>
        </is>
      </c>
      <c r="E362" t="inlineStr">
        <is>
          <t>TIERP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13656-2022</t>
        </is>
      </c>
      <c r="B363" s="1" t="n">
        <v>44648</v>
      </c>
      <c r="C363" s="1" t="n">
        <v>45343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13650-2022</t>
        </is>
      </c>
      <c r="B364" s="1" t="n">
        <v>44648</v>
      </c>
      <c r="C364" s="1" t="n">
        <v>45343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14860-2022</t>
        </is>
      </c>
      <c r="B365" s="1" t="n">
        <v>44656</v>
      </c>
      <c r="C365" s="1" t="n">
        <v>45343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16253-2022</t>
        </is>
      </c>
      <c r="B366" s="1" t="n">
        <v>44670</v>
      </c>
      <c r="C366" s="1" t="n">
        <v>45343</v>
      </c>
      <c r="D366" t="inlineStr">
        <is>
          <t>UPPSALA LÄN</t>
        </is>
      </c>
      <c r="E366" t="inlineStr">
        <is>
          <t>TIERP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16556-2022</t>
        </is>
      </c>
      <c r="B367" s="1" t="n">
        <v>44672</v>
      </c>
      <c r="C367" s="1" t="n">
        <v>45343</v>
      </c>
      <c r="D367" t="inlineStr">
        <is>
          <t>UPPSALA LÄN</t>
        </is>
      </c>
      <c r="E367" t="inlineStr">
        <is>
          <t>TIERP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17158-2022</t>
        </is>
      </c>
      <c r="B368" s="1" t="n">
        <v>44677</v>
      </c>
      <c r="C368" s="1" t="n">
        <v>45343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17074-2022</t>
        </is>
      </c>
      <c r="B369" s="1" t="n">
        <v>44677</v>
      </c>
      <c r="C369" s="1" t="n">
        <v>45343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18097-2022</t>
        </is>
      </c>
      <c r="B370" s="1" t="n">
        <v>44684</v>
      </c>
      <c r="C370" s="1" t="n">
        <v>45343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18130-2022</t>
        </is>
      </c>
      <c r="B371" s="1" t="n">
        <v>44684</v>
      </c>
      <c r="C371" s="1" t="n">
        <v>45343</v>
      </c>
      <c r="D371" t="inlineStr">
        <is>
          <t>UPPSALA LÄN</t>
        </is>
      </c>
      <c r="E371" t="inlineStr">
        <is>
          <t>TIERP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18431-2022</t>
        </is>
      </c>
      <c r="B372" s="1" t="n">
        <v>44686</v>
      </c>
      <c r="C372" s="1" t="n">
        <v>45343</v>
      </c>
      <c r="D372" t="inlineStr">
        <is>
          <t>UPPSALA LÄN</t>
        </is>
      </c>
      <c r="E372" t="inlineStr">
        <is>
          <t>TIERP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18609-2022</t>
        </is>
      </c>
      <c r="B373" s="1" t="n">
        <v>44687</v>
      </c>
      <c r="C373" s="1" t="n">
        <v>45343</v>
      </c>
      <c r="D373" t="inlineStr">
        <is>
          <t>UPPSALA LÄN</t>
        </is>
      </c>
      <c r="E373" t="inlineStr">
        <is>
          <t>TIERP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18781-2022</t>
        </is>
      </c>
      <c r="B374" s="1" t="n">
        <v>44689</v>
      </c>
      <c r="C374" s="1" t="n">
        <v>45343</v>
      </c>
      <c r="D374" t="inlineStr">
        <is>
          <t>UPPSALA LÄN</t>
        </is>
      </c>
      <c r="E374" t="inlineStr">
        <is>
          <t>TIERP</t>
        </is>
      </c>
      <c r="F374" t="inlineStr">
        <is>
          <t>Kyrkan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19840-2022</t>
        </is>
      </c>
      <c r="B375" s="1" t="n">
        <v>44696</v>
      </c>
      <c r="C375" s="1" t="n">
        <v>45343</v>
      </c>
      <c r="D375" t="inlineStr">
        <is>
          <t>UPPSALA LÄN</t>
        </is>
      </c>
      <c r="E375" t="inlineStr">
        <is>
          <t>TIERP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20288-2022</t>
        </is>
      </c>
      <c r="B376" s="1" t="n">
        <v>44698</v>
      </c>
      <c r="C376" s="1" t="n">
        <v>45343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20587-2022</t>
        </is>
      </c>
      <c r="B377" s="1" t="n">
        <v>44700</v>
      </c>
      <c r="C377" s="1" t="n">
        <v>45343</v>
      </c>
      <c r="D377" t="inlineStr">
        <is>
          <t>UPPSALA LÄN</t>
        </is>
      </c>
      <c r="E377" t="inlineStr">
        <is>
          <t>TIERP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20885-2022</t>
        </is>
      </c>
      <c r="B378" s="1" t="n">
        <v>44701</v>
      </c>
      <c r="C378" s="1" t="n">
        <v>45343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20997-2022</t>
        </is>
      </c>
      <c r="B379" s="1" t="n">
        <v>44701</v>
      </c>
      <c r="C379" s="1" t="n">
        <v>45343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40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20911-2022</t>
        </is>
      </c>
      <c r="B380" s="1" t="n">
        <v>44701</v>
      </c>
      <c r="C380" s="1" t="n">
        <v>45343</v>
      </c>
      <c r="D380" t="inlineStr">
        <is>
          <t>UPPSALA LÄN</t>
        </is>
      </c>
      <c r="E380" t="inlineStr">
        <is>
          <t>TIERP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21034-2022</t>
        </is>
      </c>
      <c r="B381" s="1" t="n">
        <v>44704</v>
      </c>
      <c r="C381" s="1" t="n">
        <v>45343</v>
      </c>
      <c r="D381" t="inlineStr">
        <is>
          <t>UPPSALA LÄN</t>
        </is>
      </c>
      <c r="E381" t="inlineStr">
        <is>
          <t>TIERP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21047-2022</t>
        </is>
      </c>
      <c r="B382" s="1" t="n">
        <v>44704</v>
      </c>
      <c r="C382" s="1" t="n">
        <v>45343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21017-2022</t>
        </is>
      </c>
      <c r="B383" s="1" t="n">
        <v>44704</v>
      </c>
      <c r="C383" s="1" t="n">
        <v>45343</v>
      </c>
      <c r="D383" t="inlineStr">
        <is>
          <t>UPPSALA LÄN</t>
        </is>
      </c>
      <c r="E383" t="inlineStr">
        <is>
          <t>TIERP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21032-2022</t>
        </is>
      </c>
      <c r="B384" s="1" t="n">
        <v>44704</v>
      </c>
      <c r="C384" s="1" t="n">
        <v>45343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21132-2022</t>
        </is>
      </c>
      <c r="B385" s="1" t="n">
        <v>44704</v>
      </c>
      <c r="C385" s="1" t="n">
        <v>45343</v>
      </c>
      <c r="D385" t="inlineStr">
        <is>
          <t>UPPSALA LÄN</t>
        </is>
      </c>
      <c r="E385" t="inlineStr">
        <is>
          <t>TIERP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21332-2022</t>
        </is>
      </c>
      <c r="B386" s="1" t="n">
        <v>44705</v>
      </c>
      <c r="C386" s="1" t="n">
        <v>45343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21775-2022</t>
        </is>
      </c>
      <c r="B387" s="1" t="n">
        <v>44708</v>
      </c>
      <c r="C387" s="1" t="n">
        <v>45343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21776-2022</t>
        </is>
      </c>
      <c r="B388" s="1" t="n">
        <v>44708</v>
      </c>
      <c r="C388" s="1" t="n">
        <v>45343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22663-2022</t>
        </is>
      </c>
      <c r="B389" s="1" t="n">
        <v>44713</v>
      </c>
      <c r="C389" s="1" t="n">
        <v>45343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22592-2022</t>
        </is>
      </c>
      <c r="B390" s="1" t="n">
        <v>44713</v>
      </c>
      <c r="C390" s="1" t="n">
        <v>45343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22810-2022</t>
        </is>
      </c>
      <c r="B391" s="1" t="n">
        <v>44715</v>
      </c>
      <c r="C391" s="1" t="n">
        <v>45343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23959-2022</t>
        </is>
      </c>
      <c r="B392" s="1" t="n">
        <v>44722</v>
      </c>
      <c r="C392" s="1" t="n">
        <v>45343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24264-2022</t>
        </is>
      </c>
      <c r="B393" s="1" t="n">
        <v>44725</v>
      </c>
      <c r="C393" s="1" t="n">
        <v>45343</v>
      </c>
      <c r="D393" t="inlineStr">
        <is>
          <t>UPPSALA LÄN</t>
        </is>
      </c>
      <c r="E393" t="inlineStr">
        <is>
          <t>TIERP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HYPERLINK("https://klasma.github.io/Logging_0360/knärot/A 24264-2022 karta knärot.png", "A 24264-2022")</f>
        <v/>
      </c>
      <c r="V393">
        <f>HYPERLINK("https://klasma.github.io/Logging_0360/klagomål/A 24264-2022 FSC-klagomål.docx", "A 24264-2022")</f>
        <v/>
      </c>
      <c r="W393">
        <f>HYPERLINK("https://klasma.github.io/Logging_0360/klagomålsmail/A 24264-2022 FSC-klagomål mail.docx", "A 24264-2022")</f>
        <v/>
      </c>
      <c r="X393">
        <f>HYPERLINK("https://klasma.github.io/Logging_0360/tillsyn/A 24264-2022 tillsynsbegäran.docx", "A 24264-2022")</f>
        <v/>
      </c>
      <c r="Y393">
        <f>HYPERLINK("https://klasma.github.io/Logging_0360/tillsynsmail/A 24264-2022 tillsynsbegäran mail.docx", "A 24264-2022")</f>
        <v/>
      </c>
    </row>
    <row r="394" ht="15" customHeight="1">
      <c r="A394" t="inlineStr">
        <is>
          <t>A 24341-2022</t>
        </is>
      </c>
      <c r="B394" s="1" t="n">
        <v>44726</v>
      </c>
      <c r="C394" s="1" t="n">
        <v>45343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24869-2022</t>
        </is>
      </c>
      <c r="B395" s="1" t="n">
        <v>44728</v>
      </c>
      <c r="C395" s="1" t="n">
        <v>45343</v>
      </c>
      <c r="D395" t="inlineStr">
        <is>
          <t>UPPSALA LÄN</t>
        </is>
      </c>
      <c r="E395" t="inlineStr">
        <is>
          <t>TIERP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25476-2022</t>
        </is>
      </c>
      <c r="B396" s="1" t="n">
        <v>44732</v>
      </c>
      <c r="C396" s="1" t="n">
        <v>45343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25958-2022</t>
        </is>
      </c>
      <c r="B397" s="1" t="n">
        <v>44734</v>
      </c>
      <c r="C397" s="1" t="n">
        <v>45343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26111-2022</t>
        </is>
      </c>
      <c r="B398" s="1" t="n">
        <v>44734</v>
      </c>
      <c r="C398" s="1" t="n">
        <v>45343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26161-2022</t>
        </is>
      </c>
      <c r="B399" s="1" t="n">
        <v>44735</v>
      </c>
      <c r="C399" s="1" t="n">
        <v>45343</v>
      </c>
      <c r="D399" t="inlineStr">
        <is>
          <t>UPPSALA LÄN</t>
        </is>
      </c>
      <c r="E399" t="inlineStr">
        <is>
          <t>TIERP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26537-2022</t>
        </is>
      </c>
      <c r="B400" s="1" t="n">
        <v>44739</v>
      </c>
      <c r="C400" s="1" t="n">
        <v>45343</v>
      </c>
      <c r="D400" t="inlineStr">
        <is>
          <t>UPPSALA LÄN</t>
        </is>
      </c>
      <c r="E400" t="inlineStr">
        <is>
          <t>TIERP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26656-2022</t>
        </is>
      </c>
      <c r="B401" s="1" t="n">
        <v>44739</v>
      </c>
      <c r="C401" s="1" t="n">
        <v>45343</v>
      </c>
      <c r="D401" t="inlineStr">
        <is>
          <t>UPPSALA LÄN</t>
        </is>
      </c>
      <c r="E401" t="inlineStr">
        <is>
          <t>TIERP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27533-2022</t>
        </is>
      </c>
      <c r="B402" s="1" t="n">
        <v>44742</v>
      </c>
      <c r="C402" s="1" t="n">
        <v>45343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27838-2022</t>
        </is>
      </c>
      <c r="B403" s="1" t="n">
        <v>44743</v>
      </c>
      <c r="C403" s="1" t="n">
        <v>45343</v>
      </c>
      <c r="D403" t="inlineStr">
        <is>
          <t>UPPSALA LÄN</t>
        </is>
      </c>
      <c r="E403" t="inlineStr">
        <is>
          <t>TIERP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27860-2022</t>
        </is>
      </c>
      <c r="B404" s="1" t="n">
        <v>44743</v>
      </c>
      <c r="C404" s="1" t="n">
        <v>45343</v>
      </c>
      <c r="D404" t="inlineStr">
        <is>
          <t>UPPSALA LÄN</t>
        </is>
      </c>
      <c r="E404" t="inlineStr">
        <is>
          <t>TIERP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28346-2022</t>
        </is>
      </c>
      <c r="B405" s="1" t="n">
        <v>44747</v>
      </c>
      <c r="C405" s="1" t="n">
        <v>45343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28565-2022</t>
        </is>
      </c>
      <c r="B406" s="1" t="n">
        <v>44748</v>
      </c>
      <c r="C406" s="1" t="n">
        <v>45343</v>
      </c>
      <c r="D406" t="inlineStr">
        <is>
          <t>UPPSALA LÄN</t>
        </is>
      </c>
      <c r="E406" t="inlineStr">
        <is>
          <t>TIERP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28881-2022</t>
        </is>
      </c>
      <c r="B407" s="1" t="n">
        <v>44749</v>
      </c>
      <c r="C407" s="1" t="n">
        <v>45343</v>
      </c>
      <c r="D407" t="inlineStr">
        <is>
          <t>UPPSALA LÄN</t>
        </is>
      </c>
      <c r="E407" t="inlineStr">
        <is>
          <t>TIERP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28915-2022</t>
        </is>
      </c>
      <c r="B408" s="1" t="n">
        <v>44749</v>
      </c>
      <c r="C408" s="1" t="n">
        <v>45343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29103-2022</t>
        </is>
      </c>
      <c r="B409" s="1" t="n">
        <v>44750</v>
      </c>
      <c r="C409" s="1" t="n">
        <v>45343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29156-2022</t>
        </is>
      </c>
      <c r="B410" s="1" t="n">
        <v>44750</v>
      </c>
      <c r="C410" s="1" t="n">
        <v>45343</v>
      </c>
      <c r="D410" t="inlineStr">
        <is>
          <t>UPPSALA LÄN</t>
        </is>
      </c>
      <c r="E410" t="inlineStr">
        <is>
          <t>TIERP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29737-2022</t>
        </is>
      </c>
      <c r="B411" s="1" t="n">
        <v>44755</v>
      </c>
      <c r="C411" s="1" t="n">
        <v>45343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29899-2022</t>
        </is>
      </c>
      <c r="B412" s="1" t="n">
        <v>44756</v>
      </c>
      <c r="C412" s="1" t="n">
        <v>45343</v>
      </c>
      <c r="D412" t="inlineStr">
        <is>
          <t>UPPSALA LÄN</t>
        </is>
      </c>
      <c r="E412" t="inlineStr">
        <is>
          <t>TIERP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29981-2022</t>
        </is>
      </c>
      <c r="B413" s="1" t="n">
        <v>44756</v>
      </c>
      <c r="C413" s="1" t="n">
        <v>45343</v>
      </c>
      <c r="D413" t="inlineStr">
        <is>
          <t>UPPSALA LÄN</t>
        </is>
      </c>
      <c r="E413" t="inlineStr">
        <is>
          <t>TIERP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29983-2022</t>
        </is>
      </c>
      <c r="B414" s="1" t="n">
        <v>44756</v>
      </c>
      <c r="C414" s="1" t="n">
        <v>45343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31094-2022</t>
        </is>
      </c>
      <c r="B415" s="1" t="n">
        <v>44769</v>
      </c>
      <c r="C415" s="1" t="n">
        <v>45343</v>
      </c>
      <c r="D415" t="inlineStr">
        <is>
          <t>UPPSALA LÄN</t>
        </is>
      </c>
      <c r="E415" t="inlineStr">
        <is>
          <t>TIERP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31103-2022</t>
        </is>
      </c>
      <c r="B416" s="1" t="n">
        <v>44769</v>
      </c>
      <c r="C416" s="1" t="n">
        <v>45343</v>
      </c>
      <c r="D416" t="inlineStr">
        <is>
          <t>UPPSALA LÄN</t>
        </is>
      </c>
      <c r="E416" t="inlineStr">
        <is>
          <t>TIERP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32090-2022</t>
        </is>
      </c>
      <c r="B417" s="1" t="n">
        <v>44778</v>
      </c>
      <c r="C417" s="1" t="n">
        <v>45343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32092-2022</t>
        </is>
      </c>
      <c r="B418" s="1" t="n">
        <v>44778</v>
      </c>
      <c r="C418" s="1" t="n">
        <v>45343</v>
      </c>
      <c r="D418" t="inlineStr">
        <is>
          <t>UPPSALA LÄN</t>
        </is>
      </c>
      <c r="E418" t="inlineStr">
        <is>
          <t>TIERP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32089-2022</t>
        </is>
      </c>
      <c r="B419" s="1" t="n">
        <v>44778</v>
      </c>
      <c r="C419" s="1" t="n">
        <v>45343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32190-2022</t>
        </is>
      </c>
      <c r="B420" s="1" t="n">
        <v>44781</v>
      </c>
      <c r="C420" s="1" t="n">
        <v>45343</v>
      </c>
      <c r="D420" t="inlineStr">
        <is>
          <t>UPPSALA LÄN</t>
        </is>
      </c>
      <c r="E420" t="inlineStr">
        <is>
          <t>TIERP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32326-2022</t>
        </is>
      </c>
      <c r="B421" s="1" t="n">
        <v>44781</v>
      </c>
      <c r="C421" s="1" t="n">
        <v>45343</v>
      </c>
      <c r="D421" t="inlineStr">
        <is>
          <t>UPPSALA LÄN</t>
        </is>
      </c>
      <c r="E421" t="inlineStr">
        <is>
          <t>TIERP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33286-2022</t>
        </is>
      </c>
      <c r="B422" s="1" t="n">
        <v>44788</v>
      </c>
      <c r="C422" s="1" t="n">
        <v>45343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33890-2022</t>
        </is>
      </c>
      <c r="B423" s="1" t="n">
        <v>44790</v>
      </c>
      <c r="C423" s="1" t="n">
        <v>45343</v>
      </c>
      <c r="D423" t="inlineStr">
        <is>
          <t>UPPSALA LÄN</t>
        </is>
      </c>
      <c r="E423" t="inlineStr">
        <is>
          <t>TIERP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34460-2022</t>
        </is>
      </c>
      <c r="B424" s="1" t="n">
        <v>44792</v>
      </c>
      <c r="C424" s="1" t="n">
        <v>45343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36549-2022</t>
        </is>
      </c>
      <c r="B425" s="1" t="n">
        <v>44804</v>
      </c>
      <c r="C425" s="1" t="n">
        <v>45343</v>
      </c>
      <c r="D425" t="inlineStr">
        <is>
          <t>UPPSALA LÄN</t>
        </is>
      </c>
      <c r="E425" t="inlineStr">
        <is>
          <t>TIERP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36561-2022</t>
        </is>
      </c>
      <c r="B426" s="1" t="n">
        <v>44804</v>
      </c>
      <c r="C426" s="1" t="n">
        <v>45343</v>
      </c>
      <c r="D426" t="inlineStr">
        <is>
          <t>UPPSALA LÄN</t>
        </is>
      </c>
      <c r="E426" t="inlineStr">
        <is>
          <t>TIERP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37938-2022</t>
        </is>
      </c>
      <c r="B427" s="1" t="n">
        <v>44811</v>
      </c>
      <c r="C427" s="1" t="n">
        <v>45343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39802-2022</t>
        </is>
      </c>
      <c r="B428" s="1" t="n">
        <v>44819</v>
      </c>
      <c r="C428" s="1" t="n">
        <v>45343</v>
      </c>
      <c r="D428" t="inlineStr">
        <is>
          <t>UPPSALA LÄN</t>
        </is>
      </c>
      <c r="E428" t="inlineStr">
        <is>
          <t>TIERP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39903-2022</t>
        </is>
      </c>
      <c r="B429" s="1" t="n">
        <v>44819</v>
      </c>
      <c r="C429" s="1" t="n">
        <v>45343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40765-2022</t>
        </is>
      </c>
      <c r="B430" s="1" t="n">
        <v>44824</v>
      </c>
      <c r="C430" s="1" t="n">
        <v>45343</v>
      </c>
      <c r="D430" t="inlineStr">
        <is>
          <t>UPPSALA LÄN</t>
        </is>
      </c>
      <c r="E430" t="inlineStr">
        <is>
          <t>TIERP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41971-2022</t>
        </is>
      </c>
      <c r="B431" s="1" t="n">
        <v>44827</v>
      </c>
      <c r="C431" s="1" t="n">
        <v>45343</v>
      </c>
      <c r="D431" t="inlineStr">
        <is>
          <t>UPPSALA LÄN</t>
        </is>
      </c>
      <c r="E431" t="inlineStr">
        <is>
          <t>TIERP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43713-2022</t>
        </is>
      </c>
      <c r="B432" s="1" t="n">
        <v>44837</v>
      </c>
      <c r="C432" s="1" t="n">
        <v>45343</v>
      </c>
      <c r="D432" t="inlineStr">
        <is>
          <t>UPPSALA LÄN</t>
        </is>
      </c>
      <c r="E432" t="inlineStr">
        <is>
          <t>TIERP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43680-2022</t>
        </is>
      </c>
      <c r="B433" s="1" t="n">
        <v>44837</v>
      </c>
      <c r="C433" s="1" t="n">
        <v>45343</v>
      </c>
      <c r="D433" t="inlineStr">
        <is>
          <t>UPPSALA LÄN</t>
        </is>
      </c>
      <c r="E433" t="inlineStr">
        <is>
          <t>TIERP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44946-2022</t>
        </is>
      </c>
      <c r="B434" s="1" t="n">
        <v>44841</v>
      </c>
      <c r="C434" s="1" t="n">
        <v>45343</v>
      </c>
      <c r="D434" t="inlineStr">
        <is>
          <t>UPPSALA LÄN</t>
        </is>
      </c>
      <c r="E434" t="inlineStr">
        <is>
          <t>TIERP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45057-2022</t>
        </is>
      </c>
      <c r="B435" s="1" t="n">
        <v>44841</v>
      </c>
      <c r="C435" s="1" t="n">
        <v>45343</v>
      </c>
      <c r="D435" t="inlineStr">
        <is>
          <t>UPPSALA LÄN</t>
        </is>
      </c>
      <c r="E435" t="inlineStr">
        <is>
          <t>TIERP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46681-2022</t>
        </is>
      </c>
      <c r="B436" s="1" t="n">
        <v>44843</v>
      </c>
      <c r="C436" s="1" t="n">
        <v>45343</v>
      </c>
      <c r="D436" t="inlineStr">
        <is>
          <t>UPPSALA LÄN</t>
        </is>
      </c>
      <c r="E436" t="inlineStr">
        <is>
          <t>TIERP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45516-2022</t>
        </is>
      </c>
      <c r="B437" s="1" t="n">
        <v>44845</v>
      </c>
      <c r="C437" s="1" t="n">
        <v>45343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45769-2022</t>
        </is>
      </c>
      <c r="B438" s="1" t="n">
        <v>44846</v>
      </c>
      <c r="C438" s="1" t="n">
        <v>45343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46275-2022</t>
        </is>
      </c>
      <c r="B439" s="1" t="n">
        <v>44847</v>
      </c>
      <c r="C439" s="1" t="n">
        <v>45343</v>
      </c>
      <c r="D439" t="inlineStr">
        <is>
          <t>UPPSALA LÄN</t>
        </is>
      </c>
      <c r="E439" t="inlineStr">
        <is>
          <t>TIERP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47419-2022</t>
        </is>
      </c>
      <c r="B440" s="1" t="n">
        <v>44853</v>
      </c>
      <c r="C440" s="1" t="n">
        <v>45343</v>
      </c>
      <c r="D440" t="inlineStr">
        <is>
          <t>UPPSALA LÄN</t>
        </is>
      </c>
      <c r="E440" t="inlineStr">
        <is>
          <t>TIERP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47414-2022</t>
        </is>
      </c>
      <c r="B441" s="1" t="n">
        <v>44853</v>
      </c>
      <c r="C441" s="1" t="n">
        <v>45343</v>
      </c>
      <c r="D441" t="inlineStr">
        <is>
          <t>UPPSALA LÄN</t>
        </is>
      </c>
      <c r="E441" t="inlineStr">
        <is>
          <t>TIERP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47422-2022</t>
        </is>
      </c>
      <c r="B442" s="1" t="n">
        <v>44853</v>
      </c>
      <c r="C442" s="1" t="n">
        <v>45343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48483-2022</t>
        </is>
      </c>
      <c r="B443" s="1" t="n">
        <v>44858</v>
      </c>
      <c r="C443" s="1" t="n">
        <v>45343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48486-2022</t>
        </is>
      </c>
      <c r="B444" s="1" t="n">
        <v>44858</v>
      </c>
      <c r="C444" s="1" t="n">
        <v>45343</v>
      </c>
      <c r="D444" t="inlineStr">
        <is>
          <t>UPPSALA LÄN</t>
        </is>
      </c>
      <c r="E444" t="inlineStr">
        <is>
          <t>TIERP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48403-2022</t>
        </is>
      </c>
      <c r="B445" s="1" t="n">
        <v>44858</v>
      </c>
      <c r="C445" s="1" t="n">
        <v>45343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48575-2022</t>
        </is>
      </c>
      <c r="B446" s="1" t="n">
        <v>44859</v>
      </c>
      <c r="C446" s="1" t="n">
        <v>45343</v>
      </c>
      <c r="D446" t="inlineStr">
        <is>
          <t>UPPSALA LÄN</t>
        </is>
      </c>
      <c r="E446" t="inlineStr">
        <is>
          <t>TIERP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48568-2022</t>
        </is>
      </c>
      <c r="B447" s="1" t="n">
        <v>44859</v>
      </c>
      <c r="C447" s="1" t="n">
        <v>45343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48750-2022</t>
        </is>
      </c>
      <c r="B448" s="1" t="n">
        <v>44859</v>
      </c>
      <c r="C448" s="1" t="n">
        <v>45343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30.2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49314-2022</t>
        </is>
      </c>
      <c r="B449" s="1" t="n">
        <v>44861</v>
      </c>
      <c r="C449" s="1" t="n">
        <v>45343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49946-2022</t>
        </is>
      </c>
      <c r="B450" s="1" t="n">
        <v>44865</v>
      </c>
      <c r="C450" s="1" t="n">
        <v>45343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49933-2022</t>
        </is>
      </c>
      <c r="B451" s="1" t="n">
        <v>44865</v>
      </c>
      <c r="C451" s="1" t="n">
        <v>45343</v>
      </c>
      <c r="D451" t="inlineStr">
        <is>
          <t>UPPSALA LÄN</t>
        </is>
      </c>
      <c r="E451" t="inlineStr">
        <is>
          <t>TIERP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50040-2022</t>
        </is>
      </c>
      <c r="B452" s="1" t="n">
        <v>44865</v>
      </c>
      <c r="C452" s="1" t="n">
        <v>45343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51232-2022</t>
        </is>
      </c>
      <c r="B453" s="1" t="n">
        <v>44868</v>
      </c>
      <c r="C453" s="1" t="n">
        <v>45343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51606-2022</t>
        </is>
      </c>
      <c r="B454" s="1" t="n">
        <v>44871</v>
      </c>
      <c r="C454" s="1" t="n">
        <v>45343</v>
      </c>
      <c r="D454" t="inlineStr">
        <is>
          <t>UPPSALA LÄN</t>
        </is>
      </c>
      <c r="E454" t="inlineStr">
        <is>
          <t>TIERP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52388-2022</t>
        </is>
      </c>
      <c r="B455" s="1" t="n">
        <v>44874</v>
      </c>
      <c r="C455" s="1" t="n">
        <v>45343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53819-2022</t>
        </is>
      </c>
      <c r="B456" s="1" t="n">
        <v>44880</v>
      </c>
      <c r="C456" s="1" t="n">
        <v>45343</v>
      </c>
      <c r="D456" t="inlineStr">
        <is>
          <t>UPPSALA LÄN</t>
        </is>
      </c>
      <c r="E456" t="inlineStr">
        <is>
          <t>TIERP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53784-2022</t>
        </is>
      </c>
      <c r="B457" s="1" t="n">
        <v>44880</v>
      </c>
      <c r="C457" s="1" t="n">
        <v>45343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53813-2022</t>
        </is>
      </c>
      <c r="B458" s="1" t="n">
        <v>44880</v>
      </c>
      <c r="C458" s="1" t="n">
        <v>45343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54041-2022</t>
        </is>
      </c>
      <c r="B459" s="1" t="n">
        <v>44881</v>
      </c>
      <c r="C459" s="1" t="n">
        <v>45343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54764-2022</t>
        </is>
      </c>
      <c r="B460" s="1" t="n">
        <v>44883</v>
      </c>
      <c r="C460" s="1" t="n">
        <v>45343</v>
      </c>
      <c r="D460" t="inlineStr">
        <is>
          <t>UPPSALA LÄN</t>
        </is>
      </c>
      <c r="E460" t="inlineStr">
        <is>
          <t>TIERP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54952-2022</t>
        </is>
      </c>
      <c r="B461" s="1" t="n">
        <v>44886</v>
      </c>
      <c r="C461" s="1" t="n">
        <v>45343</v>
      </c>
      <c r="D461" t="inlineStr">
        <is>
          <t>UPPSALA LÄN</t>
        </is>
      </c>
      <c r="E461" t="inlineStr">
        <is>
          <t>TIERP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55423-2022</t>
        </is>
      </c>
      <c r="B462" s="1" t="n">
        <v>44887</v>
      </c>
      <c r="C462" s="1" t="n">
        <v>45343</v>
      </c>
      <c r="D462" t="inlineStr">
        <is>
          <t>UPPSALA LÄN</t>
        </is>
      </c>
      <c r="E462" t="inlineStr">
        <is>
          <t>TIERP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55508-2022</t>
        </is>
      </c>
      <c r="B463" s="1" t="n">
        <v>44887</v>
      </c>
      <c r="C463" s="1" t="n">
        <v>45343</v>
      </c>
      <c r="D463" t="inlineStr">
        <is>
          <t>UPPSALA LÄN</t>
        </is>
      </c>
      <c r="E463" t="inlineStr">
        <is>
          <t>TIERP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56558-2022</t>
        </is>
      </c>
      <c r="B464" s="1" t="n">
        <v>44887</v>
      </c>
      <c r="C464" s="1" t="n">
        <v>45343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55566-2022</t>
        </is>
      </c>
      <c r="B465" s="1" t="n">
        <v>44888</v>
      </c>
      <c r="C465" s="1" t="n">
        <v>45343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56350-2022</t>
        </is>
      </c>
      <c r="B466" s="1" t="n">
        <v>44890</v>
      </c>
      <c r="C466" s="1" t="n">
        <v>45343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56438-2022</t>
        </is>
      </c>
      <c r="B467" s="1" t="n">
        <v>44892</v>
      </c>
      <c r="C467" s="1" t="n">
        <v>45343</v>
      </c>
      <c r="D467" t="inlineStr">
        <is>
          <t>UPPSALA LÄN</t>
        </is>
      </c>
      <c r="E467" t="inlineStr">
        <is>
          <t>TIERP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56966-2022</t>
        </is>
      </c>
      <c r="B468" s="1" t="n">
        <v>44894</v>
      </c>
      <c r="C468" s="1" t="n">
        <v>45343</v>
      </c>
      <c r="D468" t="inlineStr">
        <is>
          <t>UPPSALA LÄN</t>
        </is>
      </c>
      <c r="E468" t="inlineStr">
        <is>
          <t>TIERP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56972-2022</t>
        </is>
      </c>
      <c r="B469" s="1" t="n">
        <v>44894</v>
      </c>
      <c r="C469" s="1" t="n">
        <v>45343</v>
      </c>
      <c r="D469" t="inlineStr">
        <is>
          <t>UPPSALA LÄN</t>
        </is>
      </c>
      <c r="E469" t="inlineStr">
        <is>
          <t>TIERP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56877-2022</t>
        </is>
      </c>
      <c r="B470" s="1" t="n">
        <v>44894</v>
      </c>
      <c r="C470" s="1" t="n">
        <v>45343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56947-2022</t>
        </is>
      </c>
      <c r="B471" s="1" t="n">
        <v>44894</v>
      </c>
      <c r="C471" s="1" t="n">
        <v>45343</v>
      </c>
      <c r="D471" t="inlineStr">
        <is>
          <t>UPPSALA LÄN</t>
        </is>
      </c>
      <c r="E471" t="inlineStr">
        <is>
          <t>TIERP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57532-2022</t>
        </is>
      </c>
      <c r="B472" s="1" t="n">
        <v>44896</v>
      </c>
      <c r="C472" s="1" t="n">
        <v>45343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57536-2022</t>
        </is>
      </c>
      <c r="B473" s="1" t="n">
        <v>44896</v>
      </c>
      <c r="C473" s="1" t="n">
        <v>45343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58120-2022</t>
        </is>
      </c>
      <c r="B474" s="1" t="n">
        <v>44900</v>
      </c>
      <c r="C474" s="1" t="n">
        <v>45343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58058-2022</t>
        </is>
      </c>
      <c r="B475" s="1" t="n">
        <v>44900</v>
      </c>
      <c r="C475" s="1" t="n">
        <v>45343</v>
      </c>
      <c r="D475" t="inlineStr">
        <is>
          <t>UPPSALA LÄN</t>
        </is>
      </c>
      <c r="E475" t="inlineStr">
        <is>
          <t>TIERP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58080-2022</t>
        </is>
      </c>
      <c r="B476" s="1" t="n">
        <v>44900</v>
      </c>
      <c r="C476" s="1" t="n">
        <v>45343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58222-2022</t>
        </is>
      </c>
      <c r="B477" s="1" t="n">
        <v>44901</v>
      </c>
      <c r="C477" s="1" t="n">
        <v>45343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58691-2022</t>
        </is>
      </c>
      <c r="B478" s="1" t="n">
        <v>44902</v>
      </c>
      <c r="C478" s="1" t="n">
        <v>45343</v>
      </c>
      <c r="D478" t="inlineStr">
        <is>
          <t>UPPSALA LÄN</t>
        </is>
      </c>
      <c r="E478" t="inlineStr">
        <is>
          <t>TIERP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58957-2022</t>
        </is>
      </c>
      <c r="B479" s="1" t="n">
        <v>44903</v>
      </c>
      <c r="C479" s="1" t="n">
        <v>45343</v>
      </c>
      <c r="D479" t="inlineStr">
        <is>
          <t>UPPSALA LÄN</t>
        </is>
      </c>
      <c r="E479" t="inlineStr">
        <is>
          <t>TIERP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59393-2022</t>
        </is>
      </c>
      <c r="B480" s="1" t="n">
        <v>44906</v>
      </c>
      <c r="C480" s="1" t="n">
        <v>45343</v>
      </c>
      <c r="D480" t="inlineStr">
        <is>
          <t>UPPSALA LÄN</t>
        </is>
      </c>
      <c r="E480" t="inlineStr">
        <is>
          <t>TIERP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59394-2022</t>
        </is>
      </c>
      <c r="B481" s="1" t="n">
        <v>44906</v>
      </c>
      <c r="C481" s="1" t="n">
        <v>45343</v>
      </c>
      <c r="D481" t="inlineStr">
        <is>
          <t>UPPSALA LÄN</t>
        </is>
      </c>
      <c r="E481" t="inlineStr">
        <is>
          <t>TIERP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59534-2022</t>
        </is>
      </c>
      <c r="B482" s="1" t="n">
        <v>44907</v>
      </c>
      <c r="C482" s="1" t="n">
        <v>45343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59589-2022</t>
        </is>
      </c>
      <c r="B483" s="1" t="n">
        <v>44907</v>
      </c>
      <c r="C483" s="1" t="n">
        <v>45343</v>
      </c>
      <c r="D483" t="inlineStr">
        <is>
          <t>UPPSALA LÄN</t>
        </is>
      </c>
      <c r="E483" t="inlineStr">
        <is>
          <t>TIERP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59731-2022</t>
        </is>
      </c>
      <c r="B484" s="1" t="n">
        <v>44908</v>
      </c>
      <c r="C484" s="1" t="n">
        <v>45343</v>
      </c>
      <c r="D484" t="inlineStr">
        <is>
          <t>UPPSALA LÄN</t>
        </is>
      </c>
      <c r="E484" t="inlineStr">
        <is>
          <t>TIERP</t>
        </is>
      </c>
      <c r="F484" t="inlineStr">
        <is>
          <t>Kyrkan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60154-2022</t>
        </is>
      </c>
      <c r="B485" s="1" t="n">
        <v>44909</v>
      </c>
      <c r="C485" s="1" t="n">
        <v>45343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60151-2022</t>
        </is>
      </c>
      <c r="B486" s="1" t="n">
        <v>44909</v>
      </c>
      <c r="C486" s="1" t="n">
        <v>45343</v>
      </c>
      <c r="D486" t="inlineStr">
        <is>
          <t>UPPSALA LÄN</t>
        </is>
      </c>
      <c r="E486" t="inlineStr">
        <is>
          <t>TIERP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60505-2022</t>
        </is>
      </c>
      <c r="B487" s="1" t="n">
        <v>44911</v>
      </c>
      <c r="C487" s="1" t="n">
        <v>45343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61615-2022</t>
        </is>
      </c>
      <c r="B488" s="1" t="n">
        <v>44916</v>
      </c>
      <c r="C488" s="1" t="n">
        <v>45343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61617-2022</t>
        </is>
      </c>
      <c r="B489" s="1" t="n">
        <v>44916</v>
      </c>
      <c r="C489" s="1" t="n">
        <v>45343</v>
      </c>
      <c r="D489" t="inlineStr">
        <is>
          <t>UPPSALA LÄN</t>
        </is>
      </c>
      <c r="E489" t="inlineStr">
        <is>
          <t>TIERP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61694-2022</t>
        </is>
      </c>
      <c r="B490" s="1" t="n">
        <v>44917</v>
      </c>
      <c r="C490" s="1" t="n">
        <v>45343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61715-2022</t>
        </is>
      </c>
      <c r="B491" s="1" t="n">
        <v>44917</v>
      </c>
      <c r="C491" s="1" t="n">
        <v>45343</v>
      </c>
      <c r="D491" t="inlineStr">
        <is>
          <t>UPPSALA LÄN</t>
        </is>
      </c>
      <c r="E491" t="inlineStr">
        <is>
          <t>TIERP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61717-2022</t>
        </is>
      </c>
      <c r="B492" s="1" t="n">
        <v>44917</v>
      </c>
      <c r="C492" s="1" t="n">
        <v>45343</v>
      </c>
      <c r="D492" t="inlineStr">
        <is>
          <t>UPPSALA LÄN</t>
        </is>
      </c>
      <c r="E492" t="inlineStr">
        <is>
          <t>TIERP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62138-2022</t>
        </is>
      </c>
      <c r="B493" s="1" t="n">
        <v>44922</v>
      </c>
      <c r="C493" s="1" t="n">
        <v>45343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439-2023</t>
        </is>
      </c>
      <c r="B494" s="1" t="n">
        <v>44924</v>
      </c>
      <c r="C494" s="1" t="n">
        <v>45343</v>
      </c>
      <c r="D494" t="inlineStr">
        <is>
          <t>UPPSALA LÄN</t>
        </is>
      </c>
      <c r="E494" t="inlineStr">
        <is>
          <t>TIERP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437-2023</t>
        </is>
      </c>
      <c r="B495" s="1" t="n">
        <v>44924</v>
      </c>
      <c r="C495" s="1" t="n">
        <v>45343</v>
      </c>
      <c r="D495" t="inlineStr">
        <is>
          <t>UPPSALA LÄN</t>
        </is>
      </c>
      <c r="E495" t="inlineStr">
        <is>
          <t>TIERP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73-2023</t>
        </is>
      </c>
      <c r="B496" s="1" t="n">
        <v>44928</v>
      </c>
      <c r="C496" s="1" t="n">
        <v>45343</v>
      </c>
      <c r="D496" t="inlineStr">
        <is>
          <t>UPPSALA LÄN</t>
        </is>
      </c>
      <c r="E496" t="inlineStr">
        <is>
          <t>TIERP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319-2023</t>
        </is>
      </c>
      <c r="B497" s="1" t="n">
        <v>44929</v>
      </c>
      <c r="C497" s="1" t="n">
        <v>45343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1384-2023</t>
        </is>
      </c>
      <c r="B498" s="1" t="n">
        <v>44936</v>
      </c>
      <c r="C498" s="1" t="n">
        <v>45343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1383-2023</t>
        </is>
      </c>
      <c r="B499" s="1" t="n">
        <v>44936</v>
      </c>
      <c r="C499" s="1" t="n">
        <v>45343</v>
      </c>
      <c r="D499" t="inlineStr">
        <is>
          <t>UPPSALA LÄN</t>
        </is>
      </c>
      <c r="E499" t="inlineStr">
        <is>
          <t>TIERP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1572-2023</t>
        </is>
      </c>
      <c r="B500" s="1" t="n">
        <v>44937</v>
      </c>
      <c r="C500" s="1" t="n">
        <v>45343</v>
      </c>
      <c r="D500" t="inlineStr">
        <is>
          <t>UPPSALA LÄN</t>
        </is>
      </c>
      <c r="E500" t="inlineStr">
        <is>
          <t>TIERP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2102-2023</t>
        </is>
      </c>
      <c r="B501" s="1" t="n">
        <v>44939</v>
      </c>
      <c r="C501" s="1" t="n">
        <v>45343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2266-2023</t>
        </is>
      </c>
      <c r="B502" s="1" t="n">
        <v>44942</v>
      </c>
      <c r="C502" s="1" t="n">
        <v>45343</v>
      </c>
      <c r="D502" t="inlineStr">
        <is>
          <t>UPPSALA LÄN</t>
        </is>
      </c>
      <c r="E502" t="inlineStr">
        <is>
          <t>TIERP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2735-2023</t>
        </is>
      </c>
      <c r="B503" s="1" t="n">
        <v>44944</v>
      </c>
      <c r="C503" s="1" t="n">
        <v>45343</v>
      </c>
      <c r="D503" t="inlineStr">
        <is>
          <t>UPPSALA LÄN</t>
        </is>
      </c>
      <c r="E503" t="inlineStr">
        <is>
          <t>TIERP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2899-2023</t>
        </is>
      </c>
      <c r="B504" s="1" t="n">
        <v>44945</v>
      </c>
      <c r="C504" s="1" t="n">
        <v>45343</v>
      </c>
      <c r="D504" t="inlineStr">
        <is>
          <t>UPPSALA LÄN</t>
        </is>
      </c>
      <c r="E504" t="inlineStr">
        <is>
          <t>TIERP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2902-2023</t>
        </is>
      </c>
      <c r="B505" s="1" t="n">
        <v>44945</v>
      </c>
      <c r="C505" s="1" t="n">
        <v>45343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2901-2023</t>
        </is>
      </c>
      <c r="B506" s="1" t="n">
        <v>44945</v>
      </c>
      <c r="C506" s="1" t="n">
        <v>45343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3545-2023</t>
        </is>
      </c>
      <c r="B507" s="1" t="n">
        <v>44950</v>
      </c>
      <c r="C507" s="1" t="n">
        <v>45343</v>
      </c>
      <c r="D507" t="inlineStr">
        <is>
          <t>UPPSALA LÄN</t>
        </is>
      </c>
      <c r="E507" t="inlineStr">
        <is>
          <t>TIERP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3561-2023</t>
        </is>
      </c>
      <c r="B508" s="1" t="n">
        <v>44950</v>
      </c>
      <c r="C508" s="1" t="n">
        <v>45343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4276-2023</t>
        </is>
      </c>
      <c r="B509" s="1" t="n">
        <v>44953</v>
      </c>
      <c r="C509" s="1" t="n">
        <v>45343</v>
      </c>
      <c r="D509" t="inlineStr">
        <is>
          <t>UPPSALA LÄN</t>
        </is>
      </c>
      <c r="E509" t="inlineStr">
        <is>
          <t>TIERP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4329-2023</t>
        </is>
      </c>
      <c r="B510" s="1" t="n">
        <v>44953</v>
      </c>
      <c r="C510" s="1" t="n">
        <v>45343</v>
      </c>
      <c r="D510" t="inlineStr">
        <is>
          <t>UPPSALA LÄN</t>
        </is>
      </c>
      <c r="E510" t="inlineStr">
        <is>
          <t>TIERP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4409-2023</t>
        </is>
      </c>
      <c r="B511" s="1" t="n">
        <v>44956</v>
      </c>
      <c r="C511" s="1" t="n">
        <v>45343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4531-2023</t>
        </is>
      </c>
      <c r="B512" s="1" t="n">
        <v>44956</v>
      </c>
      <c r="C512" s="1" t="n">
        <v>45343</v>
      </c>
      <c r="D512" t="inlineStr">
        <is>
          <t>UPPSALA LÄN</t>
        </is>
      </c>
      <c r="E512" t="inlineStr">
        <is>
          <t>TIERP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4511-2023</t>
        </is>
      </c>
      <c r="B513" s="1" t="n">
        <v>44956</v>
      </c>
      <c r="C513" s="1" t="n">
        <v>45343</v>
      </c>
      <c r="D513" t="inlineStr">
        <is>
          <t>UPPSALA LÄN</t>
        </is>
      </c>
      <c r="E513" t="inlineStr">
        <is>
          <t>TIERP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4530-2023</t>
        </is>
      </c>
      <c r="B514" s="1" t="n">
        <v>44956</v>
      </c>
      <c r="C514" s="1" t="n">
        <v>45343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5289-2023</t>
        </is>
      </c>
      <c r="B515" s="1" t="n">
        <v>44959</v>
      </c>
      <c r="C515" s="1" t="n">
        <v>45343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5967-2023</t>
        </is>
      </c>
      <c r="B516" s="1" t="n">
        <v>44964</v>
      </c>
      <c r="C516" s="1" t="n">
        <v>45343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5987-2023</t>
        </is>
      </c>
      <c r="B517" s="1" t="n">
        <v>44964</v>
      </c>
      <c r="C517" s="1" t="n">
        <v>45343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5994-2023</t>
        </is>
      </c>
      <c r="B518" s="1" t="n">
        <v>44964</v>
      </c>
      <c r="C518" s="1" t="n">
        <v>45343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6075-2023</t>
        </is>
      </c>
      <c r="B519" s="1" t="n">
        <v>44964</v>
      </c>
      <c r="C519" s="1" t="n">
        <v>45343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5963-2023</t>
        </is>
      </c>
      <c r="B520" s="1" t="n">
        <v>44964</v>
      </c>
      <c r="C520" s="1" t="n">
        <v>45343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5995-2023</t>
        </is>
      </c>
      <c r="B521" s="1" t="n">
        <v>44964</v>
      </c>
      <c r="C521" s="1" t="n">
        <v>45343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6048-2023</t>
        </is>
      </c>
      <c r="B522" s="1" t="n">
        <v>44964</v>
      </c>
      <c r="C522" s="1" t="n">
        <v>45343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6071-2023</t>
        </is>
      </c>
      <c r="B523" s="1" t="n">
        <v>44964</v>
      </c>
      <c r="C523" s="1" t="n">
        <v>45343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5993-2023</t>
        </is>
      </c>
      <c r="B524" s="1" t="n">
        <v>44964</v>
      </c>
      <c r="C524" s="1" t="n">
        <v>45343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5997-2023</t>
        </is>
      </c>
      <c r="B525" s="1" t="n">
        <v>44964</v>
      </c>
      <c r="C525" s="1" t="n">
        <v>45343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6049-2023</t>
        </is>
      </c>
      <c r="B526" s="1" t="n">
        <v>44964</v>
      </c>
      <c r="C526" s="1" t="n">
        <v>45343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6288-2023</t>
        </is>
      </c>
      <c r="B527" s="1" t="n">
        <v>44965</v>
      </c>
      <c r="C527" s="1" t="n">
        <v>45343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6364-2023</t>
        </is>
      </c>
      <c r="B528" s="1" t="n">
        <v>44965</v>
      </c>
      <c r="C528" s="1" t="n">
        <v>45343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6497-2023</t>
        </is>
      </c>
      <c r="B529" s="1" t="n">
        <v>44966</v>
      </c>
      <c r="C529" s="1" t="n">
        <v>45343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7352-2023</t>
        </is>
      </c>
      <c r="B530" s="1" t="n">
        <v>44966</v>
      </c>
      <c r="C530" s="1" t="n">
        <v>45343</v>
      </c>
      <c r="D530" t="inlineStr">
        <is>
          <t>UPPSALA LÄN</t>
        </is>
      </c>
      <c r="E530" t="inlineStr">
        <is>
          <t>TIERP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7359-2023</t>
        </is>
      </c>
      <c r="B531" s="1" t="n">
        <v>44966</v>
      </c>
      <c r="C531" s="1" t="n">
        <v>45343</v>
      </c>
      <c r="D531" t="inlineStr">
        <is>
          <t>UPPSALA LÄN</t>
        </is>
      </c>
      <c r="E531" t="inlineStr">
        <is>
          <t>TIERP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7392-2023</t>
        </is>
      </c>
      <c r="B532" s="1" t="n">
        <v>44971</v>
      </c>
      <c r="C532" s="1" t="n">
        <v>45343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7370-2023</t>
        </is>
      </c>
      <c r="B533" s="1" t="n">
        <v>44971</v>
      </c>
      <c r="C533" s="1" t="n">
        <v>45343</v>
      </c>
      <c r="D533" t="inlineStr">
        <is>
          <t>UPPSALA LÄN</t>
        </is>
      </c>
      <c r="E533" t="inlineStr">
        <is>
          <t>TIERP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7591-2023</t>
        </is>
      </c>
      <c r="B534" s="1" t="n">
        <v>44972</v>
      </c>
      <c r="C534" s="1" t="n">
        <v>45343</v>
      </c>
      <c r="D534" t="inlineStr">
        <is>
          <t>UPPSALA LÄN</t>
        </is>
      </c>
      <c r="E534" t="inlineStr">
        <is>
          <t>TIERP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8914-2023</t>
        </is>
      </c>
      <c r="B535" s="1" t="n">
        <v>44973</v>
      </c>
      <c r="C535" s="1" t="n">
        <v>45343</v>
      </c>
      <c r="D535" t="inlineStr">
        <is>
          <t>UPPSALA LÄN</t>
        </is>
      </c>
      <c r="E535" t="inlineStr">
        <is>
          <t>TIERP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8767-2023</t>
        </is>
      </c>
      <c r="B536" s="1" t="n">
        <v>44978</v>
      </c>
      <c r="C536" s="1" t="n">
        <v>45343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8768-2023</t>
        </is>
      </c>
      <c r="B537" s="1" t="n">
        <v>44978</v>
      </c>
      <c r="C537" s="1" t="n">
        <v>45343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8774-2023</t>
        </is>
      </c>
      <c r="B538" s="1" t="n">
        <v>44978</v>
      </c>
      <c r="C538" s="1" t="n">
        <v>45343</v>
      </c>
      <c r="D538" t="inlineStr">
        <is>
          <t>UPPSALA LÄN</t>
        </is>
      </c>
      <c r="E538" t="inlineStr">
        <is>
          <t>TIERP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8772-2023</t>
        </is>
      </c>
      <c r="B539" s="1" t="n">
        <v>44978</v>
      </c>
      <c r="C539" s="1" t="n">
        <v>45343</v>
      </c>
      <c r="D539" t="inlineStr">
        <is>
          <t>UPPSALA LÄN</t>
        </is>
      </c>
      <c r="E539" t="inlineStr">
        <is>
          <t>TIERP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9030-2023</t>
        </is>
      </c>
      <c r="B540" s="1" t="n">
        <v>44979</v>
      </c>
      <c r="C540" s="1" t="n">
        <v>45343</v>
      </c>
      <c r="D540" t="inlineStr">
        <is>
          <t>UPPSALA LÄN</t>
        </is>
      </c>
      <c r="E540" t="inlineStr">
        <is>
          <t>TIERP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9230-2023</t>
        </is>
      </c>
      <c r="B541" s="1" t="n">
        <v>44980</v>
      </c>
      <c r="C541" s="1" t="n">
        <v>45343</v>
      </c>
      <c r="D541" t="inlineStr">
        <is>
          <t>UPPSALA LÄN</t>
        </is>
      </c>
      <c r="E541" t="inlineStr">
        <is>
          <t>TIERP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9238-2023</t>
        </is>
      </c>
      <c r="B542" s="1" t="n">
        <v>44980</v>
      </c>
      <c r="C542" s="1" t="n">
        <v>45343</v>
      </c>
      <c r="D542" t="inlineStr">
        <is>
          <t>UPPSALA LÄN</t>
        </is>
      </c>
      <c r="E542" t="inlineStr">
        <is>
          <t>TIERP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9290-2023</t>
        </is>
      </c>
      <c r="B543" s="1" t="n">
        <v>44980</v>
      </c>
      <c r="C543" s="1" t="n">
        <v>45343</v>
      </c>
      <c r="D543" t="inlineStr">
        <is>
          <t>UPPSALA LÄN</t>
        </is>
      </c>
      <c r="E543" t="inlineStr">
        <is>
          <t>TIERP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9432-2023</t>
        </is>
      </c>
      <c r="B544" s="1" t="n">
        <v>44981</v>
      </c>
      <c r="C544" s="1" t="n">
        <v>45343</v>
      </c>
      <c r="D544" t="inlineStr">
        <is>
          <t>UPPSALA LÄN</t>
        </is>
      </c>
      <c r="E544" t="inlineStr">
        <is>
          <t>TIERP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9664-2023</t>
        </is>
      </c>
      <c r="B545" s="1" t="n">
        <v>44984</v>
      </c>
      <c r="C545" s="1" t="n">
        <v>45343</v>
      </c>
      <c r="D545" t="inlineStr">
        <is>
          <t>UPPSALA LÄN</t>
        </is>
      </c>
      <c r="E545" t="inlineStr">
        <is>
          <t>TIERP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10204-2023</t>
        </is>
      </c>
      <c r="B546" s="1" t="n">
        <v>44986</v>
      </c>
      <c r="C546" s="1" t="n">
        <v>45343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10216-2023</t>
        </is>
      </c>
      <c r="B547" s="1" t="n">
        <v>44986</v>
      </c>
      <c r="C547" s="1" t="n">
        <v>45343</v>
      </c>
      <c r="D547" t="inlineStr">
        <is>
          <t>UPPSALA LÄN</t>
        </is>
      </c>
      <c r="E547" t="inlineStr">
        <is>
          <t>TIERP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10199-2023</t>
        </is>
      </c>
      <c r="B548" s="1" t="n">
        <v>44986</v>
      </c>
      <c r="C548" s="1" t="n">
        <v>45343</v>
      </c>
      <c r="D548" t="inlineStr">
        <is>
          <t>UPPSALA LÄN</t>
        </is>
      </c>
      <c r="E548" t="inlineStr">
        <is>
          <t>TIERP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10594-2023</t>
        </is>
      </c>
      <c r="B549" s="1" t="n">
        <v>44988</v>
      </c>
      <c r="C549" s="1" t="n">
        <v>45343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10943-2023</t>
        </is>
      </c>
      <c r="B550" s="1" t="n">
        <v>44991</v>
      </c>
      <c r="C550" s="1" t="n">
        <v>45343</v>
      </c>
      <c r="D550" t="inlineStr">
        <is>
          <t>UPPSALA LÄN</t>
        </is>
      </c>
      <c r="E550" t="inlineStr">
        <is>
          <t>TIERP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10940-2023</t>
        </is>
      </c>
      <c r="B551" s="1" t="n">
        <v>44991</v>
      </c>
      <c r="C551" s="1" t="n">
        <v>45343</v>
      </c>
      <c r="D551" t="inlineStr">
        <is>
          <t>UPPSALA LÄN</t>
        </is>
      </c>
      <c r="E551" t="inlineStr">
        <is>
          <t>TIERP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11574-2023</t>
        </is>
      </c>
      <c r="B552" s="1" t="n">
        <v>44994</v>
      </c>
      <c r="C552" s="1" t="n">
        <v>45343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13448-2023</t>
        </is>
      </c>
      <c r="B553" s="1" t="n">
        <v>45005</v>
      </c>
      <c r="C553" s="1" t="n">
        <v>45343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13407-2023</t>
        </is>
      </c>
      <c r="B554" s="1" t="n">
        <v>45005</v>
      </c>
      <c r="C554" s="1" t="n">
        <v>45343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13428-2023</t>
        </is>
      </c>
      <c r="B555" s="1" t="n">
        <v>45005</v>
      </c>
      <c r="C555" s="1" t="n">
        <v>45343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13447-2023</t>
        </is>
      </c>
      <c r="B556" s="1" t="n">
        <v>45005</v>
      </c>
      <c r="C556" s="1" t="n">
        <v>45343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13466-2023</t>
        </is>
      </c>
      <c r="B557" s="1" t="n">
        <v>45005</v>
      </c>
      <c r="C557" s="1" t="n">
        <v>45343</v>
      </c>
      <c r="D557" t="inlineStr">
        <is>
          <t>UPPSALA LÄN</t>
        </is>
      </c>
      <c r="E557" t="inlineStr">
        <is>
          <t>TIERP</t>
        </is>
      </c>
      <c r="F557" t="inlineStr">
        <is>
          <t>Övriga Aktiebolag</t>
        </is>
      </c>
      <c r="G557" t="n">
        <v>20.6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13304-2023</t>
        </is>
      </c>
      <c r="B558" s="1" t="n">
        <v>45005</v>
      </c>
      <c r="C558" s="1" t="n">
        <v>45343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13412-2023</t>
        </is>
      </c>
      <c r="B559" s="1" t="n">
        <v>45005</v>
      </c>
      <c r="C559" s="1" t="n">
        <v>45343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13418-2023</t>
        </is>
      </c>
      <c r="B560" s="1" t="n">
        <v>45005</v>
      </c>
      <c r="C560" s="1" t="n">
        <v>45343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13572-2023</t>
        </is>
      </c>
      <c r="B561" s="1" t="n">
        <v>45006</v>
      </c>
      <c r="C561" s="1" t="n">
        <v>45343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14181-2023</t>
        </is>
      </c>
      <c r="B562" s="1" t="n">
        <v>45009</v>
      </c>
      <c r="C562" s="1" t="n">
        <v>45343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14086-2023</t>
        </is>
      </c>
      <c r="B563" s="1" t="n">
        <v>45009</v>
      </c>
      <c r="C563" s="1" t="n">
        <v>45343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14541-2023</t>
        </is>
      </c>
      <c r="B564" s="1" t="n">
        <v>45013</v>
      </c>
      <c r="C564" s="1" t="n">
        <v>45343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14553-2023</t>
        </is>
      </c>
      <c r="B565" s="1" t="n">
        <v>45013</v>
      </c>
      <c r="C565" s="1" t="n">
        <v>45343</v>
      </c>
      <c r="D565" t="inlineStr">
        <is>
          <t>UPPSALA LÄN</t>
        </is>
      </c>
      <c r="E565" t="inlineStr">
        <is>
          <t>TIERP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15578-2023</t>
        </is>
      </c>
      <c r="B566" s="1" t="n">
        <v>45020</v>
      </c>
      <c r="C566" s="1" t="n">
        <v>45343</v>
      </c>
      <c r="D566" t="inlineStr">
        <is>
          <t>UPPSALA LÄN</t>
        </is>
      </c>
      <c r="E566" t="inlineStr">
        <is>
          <t>TIERP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15763-2023</t>
        </is>
      </c>
      <c r="B567" s="1" t="n">
        <v>45021</v>
      </c>
      <c r="C567" s="1" t="n">
        <v>45343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15842-2023</t>
        </is>
      </c>
      <c r="B568" s="1" t="n">
        <v>45022</v>
      </c>
      <c r="C568" s="1" t="n">
        <v>45343</v>
      </c>
      <c r="D568" t="inlineStr">
        <is>
          <t>UPPSALA LÄN</t>
        </is>
      </c>
      <c r="E568" t="inlineStr">
        <is>
          <t>TIERP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15832-2023</t>
        </is>
      </c>
      <c r="B569" s="1" t="n">
        <v>45022</v>
      </c>
      <c r="C569" s="1" t="n">
        <v>45343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15851-2023</t>
        </is>
      </c>
      <c r="B570" s="1" t="n">
        <v>45022</v>
      </c>
      <c r="C570" s="1" t="n">
        <v>45343</v>
      </c>
      <c r="D570" t="inlineStr">
        <is>
          <t>UPPSALA LÄN</t>
        </is>
      </c>
      <c r="E570" t="inlineStr">
        <is>
          <t>TIERP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16058-2023</t>
        </is>
      </c>
      <c r="B571" s="1" t="n">
        <v>45027</v>
      </c>
      <c r="C571" s="1" t="n">
        <v>45343</v>
      </c>
      <c r="D571" t="inlineStr">
        <is>
          <t>UPPSALA LÄN</t>
        </is>
      </c>
      <c r="E571" t="inlineStr">
        <is>
          <t>TIERP</t>
        </is>
      </c>
      <c r="F571" t="inlineStr">
        <is>
          <t>Kyrkan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16054-2023</t>
        </is>
      </c>
      <c r="B572" s="1" t="n">
        <v>45027</v>
      </c>
      <c r="C572" s="1" t="n">
        <v>45343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16295-2023</t>
        </is>
      </c>
      <c r="B573" s="1" t="n">
        <v>45028</v>
      </c>
      <c r="C573" s="1" t="n">
        <v>45343</v>
      </c>
      <c r="D573" t="inlineStr">
        <is>
          <t>UPPSALA LÄN</t>
        </is>
      </c>
      <c r="E573" t="inlineStr">
        <is>
          <t>TIERP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16405-2023</t>
        </is>
      </c>
      <c r="B574" s="1" t="n">
        <v>45029</v>
      </c>
      <c r="C574" s="1" t="n">
        <v>45343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16587-2023</t>
        </is>
      </c>
      <c r="B575" s="1" t="n">
        <v>45030</v>
      </c>
      <c r="C575" s="1" t="n">
        <v>45343</v>
      </c>
      <c r="D575" t="inlineStr">
        <is>
          <t>UPPSALA LÄN</t>
        </is>
      </c>
      <c r="E575" t="inlineStr">
        <is>
          <t>TIERP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16631-2023</t>
        </is>
      </c>
      <c r="B576" s="1" t="n">
        <v>45030</v>
      </c>
      <c r="C576" s="1" t="n">
        <v>45343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16791-2023</t>
        </is>
      </c>
      <c r="B577" s="1" t="n">
        <v>45033</v>
      </c>
      <c r="C577" s="1" t="n">
        <v>45343</v>
      </c>
      <c r="D577" t="inlineStr">
        <is>
          <t>UPPSALA LÄN</t>
        </is>
      </c>
      <c r="E577" t="inlineStr">
        <is>
          <t>TIERP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17979-2023</t>
        </is>
      </c>
      <c r="B578" s="1" t="n">
        <v>45040</v>
      </c>
      <c r="C578" s="1" t="n">
        <v>45343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17950-2023</t>
        </is>
      </c>
      <c r="B579" s="1" t="n">
        <v>45040</v>
      </c>
      <c r="C579" s="1" t="n">
        <v>45343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18038-2023</t>
        </is>
      </c>
      <c r="B580" s="1" t="n">
        <v>45040</v>
      </c>
      <c r="C580" s="1" t="n">
        <v>45343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17944-2023</t>
        </is>
      </c>
      <c r="B581" s="1" t="n">
        <v>45040</v>
      </c>
      <c r="C581" s="1" t="n">
        <v>45343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17958-2023</t>
        </is>
      </c>
      <c r="B582" s="1" t="n">
        <v>45040</v>
      </c>
      <c r="C582" s="1" t="n">
        <v>45343</v>
      </c>
      <c r="D582" t="inlineStr">
        <is>
          <t>UPPSALA LÄN</t>
        </is>
      </c>
      <c r="E582" t="inlineStr">
        <is>
          <t>TIERP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18014-2023</t>
        </is>
      </c>
      <c r="B583" s="1" t="n">
        <v>45040</v>
      </c>
      <c r="C583" s="1" t="n">
        <v>45343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18190-2023</t>
        </is>
      </c>
      <c r="B584" s="1" t="n">
        <v>45041</v>
      </c>
      <c r="C584" s="1" t="n">
        <v>45343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18641-2023</t>
        </is>
      </c>
      <c r="B585" s="1" t="n">
        <v>45043</v>
      </c>
      <c r="C585" s="1" t="n">
        <v>45343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19172-2023</t>
        </is>
      </c>
      <c r="B586" s="1" t="n">
        <v>45046</v>
      </c>
      <c r="C586" s="1" t="n">
        <v>45343</v>
      </c>
      <c r="D586" t="inlineStr">
        <is>
          <t>UPPSALA LÄN</t>
        </is>
      </c>
      <c r="E586" t="inlineStr">
        <is>
          <t>TIERP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19174-2023</t>
        </is>
      </c>
      <c r="B587" s="1" t="n">
        <v>45046</v>
      </c>
      <c r="C587" s="1" t="n">
        <v>45343</v>
      </c>
      <c r="D587" t="inlineStr">
        <is>
          <t>UPPSALA LÄN</t>
        </is>
      </c>
      <c r="E587" t="inlineStr">
        <is>
          <t>TIERP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19175-2023</t>
        </is>
      </c>
      <c r="B588" s="1" t="n">
        <v>45046</v>
      </c>
      <c r="C588" s="1" t="n">
        <v>45343</v>
      </c>
      <c r="D588" t="inlineStr">
        <is>
          <t>UPPSALA LÄN</t>
        </is>
      </c>
      <c r="E588" t="inlineStr">
        <is>
          <t>TIERP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19129-2023</t>
        </is>
      </c>
      <c r="B589" s="1" t="n">
        <v>45048</v>
      </c>
      <c r="C589" s="1" t="n">
        <v>45343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19127-2023</t>
        </is>
      </c>
      <c r="B590" s="1" t="n">
        <v>45048</v>
      </c>
      <c r="C590" s="1" t="n">
        <v>45343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19283-2023</t>
        </is>
      </c>
      <c r="B591" s="1" t="n">
        <v>45049</v>
      </c>
      <c r="C591" s="1" t="n">
        <v>45343</v>
      </c>
      <c r="D591" t="inlineStr">
        <is>
          <t>UPPSALA LÄN</t>
        </is>
      </c>
      <c r="E591" t="inlineStr">
        <is>
          <t>TIERP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19791-2023</t>
        </is>
      </c>
      <c r="B592" s="1" t="n">
        <v>45051</v>
      </c>
      <c r="C592" s="1" t="n">
        <v>45343</v>
      </c>
      <c r="D592" t="inlineStr">
        <is>
          <t>UPPSALA LÄN</t>
        </is>
      </c>
      <c r="E592" t="inlineStr">
        <is>
          <t>TIERP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20116-2023</t>
        </is>
      </c>
      <c r="B593" s="1" t="n">
        <v>45055</v>
      </c>
      <c r="C593" s="1" t="n">
        <v>45343</v>
      </c>
      <c r="D593" t="inlineStr">
        <is>
          <t>UPPSALA LÄN</t>
        </is>
      </c>
      <c r="E593" t="inlineStr">
        <is>
          <t>TIERP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20508-2023</t>
        </is>
      </c>
      <c r="B594" s="1" t="n">
        <v>45057</v>
      </c>
      <c r="C594" s="1" t="n">
        <v>45343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20495-2023</t>
        </is>
      </c>
      <c r="B595" s="1" t="n">
        <v>45057</v>
      </c>
      <c r="C595" s="1" t="n">
        <v>45343</v>
      </c>
      <c r="D595" t="inlineStr">
        <is>
          <t>UPPSALA LÄN</t>
        </is>
      </c>
      <c r="E595" t="inlineStr">
        <is>
          <t>TIERP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20496-2023</t>
        </is>
      </c>
      <c r="B596" s="1" t="n">
        <v>45057</v>
      </c>
      <c r="C596" s="1" t="n">
        <v>45343</v>
      </c>
      <c r="D596" t="inlineStr">
        <is>
          <t>UPPSALA LÄN</t>
        </is>
      </c>
      <c r="E596" t="inlineStr">
        <is>
          <t>TIERP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20748-2023</t>
        </is>
      </c>
      <c r="B597" s="1" t="n">
        <v>45058</v>
      </c>
      <c r="C597" s="1" t="n">
        <v>45343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20750-2023</t>
        </is>
      </c>
      <c r="B598" s="1" t="n">
        <v>45058</v>
      </c>
      <c r="C598" s="1" t="n">
        <v>45343</v>
      </c>
      <c r="D598" t="inlineStr">
        <is>
          <t>UPPSALA LÄN</t>
        </is>
      </c>
      <c r="E598" t="inlineStr">
        <is>
          <t>TIERP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20767-2023</t>
        </is>
      </c>
      <c r="B599" s="1" t="n">
        <v>45058</v>
      </c>
      <c r="C599" s="1" t="n">
        <v>45343</v>
      </c>
      <c r="D599" t="inlineStr">
        <is>
          <t>UPPSALA LÄN</t>
        </is>
      </c>
      <c r="E599" t="inlineStr">
        <is>
          <t>TIERP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21051-2023</t>
        </is>
      </c>
      <c r="B600" s="1" t="n">
        <v>45061</v>
      </c>
      <c r="C600" s="1" t="n">
        <v>45343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40.2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21053-2023</t>
        </is>
      </c>
      <c r="B601" s="1" t="n">
        <v>45061</v>
      </c>
      <c r="C601" s="1" t="n">
        <v>45343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21170-2023</t>
        </is>
      </c>
      <c r="B602" s="1" t="n">
        <v>45062</v>
      </c>
      <c r="C602" s="1" t="n">
        <v>45343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21547-2023</t>
        </is>
      </c>
      <c r="B603" s="1" t="n">
        <v>45063</v>
      </c>
      <c r="C603" s="1" t="n">
        <v>45343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21550-2023</t>
        </is>
      </c>
      <c r="B604" s="1" t="n">
        <v>45063</v>
      </c>
      <c r="C604" s="1" t="n">
        <v>45343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22321-2023</t>
        </is>
      </c>
      <c r="B605" s="1" t="n">
        <v>45070</v>
      </c>
      <c r="C605" s="1" t="n">
        <v>45343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22672-2023</t>
        </is>
      </c>
      <c r="B606" s="1" t="n">
        <v>45071</v>
      </c>
      <c r="C606" s="1" t="n">
        <v>45343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22901-2023</t>
        </is>
      </c>
      <c r="B607" s="1" t="n">
        <v>45072</v>
      </c>
      <c r="C607" s="1" t="n">
        <v>45343</v>
      </c>
      <c r="D607" t="inlineStr">
        <is>
          <t>UPPSALA LÄN</t>
        </is>
      </c>
      <c r="E607" t="inlineStr">
        <is>
          <t>TIERP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23164-2023</t>
        </is>
      </c>
      <c r="B608" s="1" t="n">
        <v>45075</v>
      </c>
      <c r="C608" s="1" t="n">
        <v>45343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23154-2023</t>
        </is>
      </c>
      <c r="B609" s="1" t="n">
        <v>45075</v>
      </c>
      <c r="C609" s="1" t="n">
        <v>45343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24110-2023</t>
        </is>
      </c>
      <c r="B610" s="1" t="n">
        <v>45079</v>
      </c>
      <c r="C610" s="1" t="n">
        <v>45343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25408-2023</t>
        </is>
      </c>
      <c r="B611" s="1" t="n">
        <v>45080</v>
      </c>
      <c r="C611" s="1" t="n">
        <v>45343</v>
      </c>
      <c r="D611" t="inlineStr">
        <is>
          <t>UPPSALA LÄN</t>
        </is>
      </c>
      <c r="E611" t="inlineStr">
        <is>
          <t>TIERP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25784-2023</t>
        </is>
      </c>
      <c r="B612" s="1" t="n">
        <v>45090</v>
      </c>
      <c r="C612" s="1" t="n">
        <v>45343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26275-2023</t>
        </is>
      </c>
      <c r="B613" s="1" t="n">
        <v>45091</v>
      </c>
      <c r="C613" s="1" t="n">
        <v>45343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26380-2023</t>
        </is>
      </c>
      <c r="B614" s="1" t="n">
        <v>45092</v>
      </c>
      <c r="C614" s="1" t="n">
        <v>45343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26546-2023</t>
        </is>
      </c>
      <c r="B615" s="1" t="n">
        <v>45092</v>
      </c>
      <c r="C615" s="1" t="n">
        <v>45343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26541-2023</t>
        </is>
      </c>
      <c r="B616" s="1" t="n">
        <v>45092</v>
      </c>
      <c r="C616" s="1" t="n">
        <v>45343</v>
      </c>
      <c r="D616" t="inlineStr">
        <is>
          <t>UPPSALA LÄN</t>
        </is>
      </c>
      <c r="E616" t="inlineStr">
        <is>
          <t>TIERP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27168-2023</t>
        </is>
      </c>
      <c r="B617" s="1" t="n">
        <v>45096</v>
      </c>
      <c r="C617" s="1" t="n">
        <v>45343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27074-2023</t>
        </is>
      </c>
      <c r="B618" s="1" t="n">
        <v>45096</v>
      </c>
      <c r="C618" s="1" t="n">
        <v>45343</v>
      </c>
      <c r="D618" t="inlineStr">
        <is>
          <t>UPPSALA LÄN</t>
        </is>
      </c>
      <c r="E618" t="inlineStr">
        <is>
          <t>TIERP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27266-2023</t>
        </is>
      </c>
      <c r="B619" s="1" t="n">
        <v>45096</v>
      </c>
      <c r="C619" s="1" t="n">
        <v>45343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27856-2023</t>
        </is>
      </c>
      <c r="B620" s="1" t="n">
        <v>45098</v>
      </c>
      <c r="C620" s="1" t="n">
        <v>45343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28252-2023</t>
        </is>
      </c>
      <c r="B621" s="1" t="n">
        <v>45099</v>
      </c>
      <c r="C621" s="1" t="n">
        <v>45343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28564-2023</t>
        </is>
      </c>
      <c r="B622" s="1" t="n">
        <v>45103</v>
      </c>
      <c r="C622" s="1" t="n">
        <v>45343</v>
      </c>
      <c r="D622" t="inlineStr">
        <is>
          <t>UPPSALA LÄN</t>
        </is>
      </c>
      <c r="E622" t="inlineStr">
        <is>
          <t>TIERP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28912-2023</t>
        </is>
      </c>
      <c r="B623" s="1" t="n">
        <v>45104</v>
      </c>
      <c r="C623" s="1" t="n">
        <v>45343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28909-2023</t>
        </is>
      </c>
      <c r="B624" s="1" t="n">
        <v>45104</v>
      </c>
      <c r="C624" s="1" t="n">
        <v>45343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29109-2023</t>
        </is>
      </c>
      <c r="B625" s="1" t="n">
        <v>45105</v>
      </c>
      <c r="C625" s="1" t="n">
        <v>45343</v>
      </c>
      <c r="D625" t="inlineStr">
        <is>
          <t>UPPSALA LÄN</t>
        </is>
      </c>
      <c r="E625" t="inlineStr">
        <is>
          <t>TIERP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29113-2023</t>
        </is>
      </c>
      <c r="B626" s="1" t="n">
        <v>45105</v>
      </c>
      <c r="C626" s="1" t="n">
        <v>45343</v>
      </c>
      <c r="D626" t="inlineStr">
        <is>
          <t>UPPSALA LÄN</t>
        </is>
      </c>
      <c r="E626" t="inlineStr">
        <is>
          <t>TIERP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29110-2023</t>
        </is>
      </c>
      <c r="B627" s="1" t="n">
        <v>45105</v>
      </c>
      <c r="C627" s="1" t="n">
        <v>45343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29115-2023</t>
        </is>
      </c>
      <c r="B628" s="1" t="n">
        <v>45105</v>
      </c>
      <c r="C628" s="1" t="n">
        <v>45343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29099-2023</t>
        </is>
      </c>
      <c r="B629" s="1" t="n">
        <v>45105</v>
      </c>
      <c r="C629" s="1" t="n">
        <v>45343</v>
      </c>
      <c r="D629" t="inlineStr">
        <is>
          <t>UPPSALA LÄN</t>
        </is>
      </c>
      <c r="E629" t="inlineStr">
        <is>
          <t>TIERP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29098-2023</t>
        </is>
      </c>
      <c r="B630" s="1" t="n">
        <v>45105</v>
      </c>
      <c r="C630" s="1" t="n">
        <v>45343</v>
      </c>
      <c r="D630" t="inlineStr">
        <is>
          <t>UPPSALA LÄN</t>
        </is>
      </c>
      <c r="E630" t="inlineStr">
        <is>
          <t>TIERP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29107-2023</t>
        </is>
      </c>
      <c r="B631" s="1" t="n">
        <v>45105</v>
      </c>
      <c r="C631" s="1" t="n">
        <v>45343</v>
      </c>
      <c r="D631" t="inlineStr">
        <is>
          <t>UPPSALA LÄN</t>
        </is>
      </c>
      <c r="E631" t="inlineStr">
        <is>
          <t>TIERP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29480-2023</t>
        </is>
      </c>
      <c r="B632" s="1" t="n">
        <v>45106</v>
      </c>
      <c r="C632" s="1" t="n">
        <v>45343</v>
      </c>
      <c r="D632" t="inlineStr">
        <is>
          <t>UPPSALA LÄN</t>
        </is>
      </c>
      <c r="E632" t="inlineStr">
        <is>
          <t>TIERP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31279-2023</t>
        </is>
      </c>
      <c r="B633" s="1" t="n">
        <v>45114</v>
      </c>
      <c r="C633" s="1" t="n">
        <v>45343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31273-2023</t>
        </is>
      </c>
      <c r="B634" s="1" t="n">
        <v>45114</v>
      </c>
      <c r="C634" s="1" t="n">
        <v>45343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33677-2023</t>
        </is>
      </c>
      <c r="B635" s="1" t="n">
        <v>45119</v>
      </c>
      <c r="C635" s="1" t="n">
        <v>45343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57.7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32665-2023</t>
        </is>
      </c>
      <c r="B636" s="1" t="n">
        <v>45121</v>
      </c>
      <c r="C636" s="1" t="n">
        <v>45343</v>
      </c>
      <c r="D636" t="inlineStr">
        <is>
          <t>UPPSALA LÄN</t>
        </is>
      </c>
      <c r="E636" t="inlineStr">
        <is>
          <t>TIERP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33307-2023</t>
        </is>
      </c>
      <c r="B637" s="1" t="n">
        <v>45127</v>
      </c>
      <c r="C637" s="1" t="n">
        <v>45343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33339-2023</t>
        </is>
      </c>
      <c r="B638" s="1" t="n">
        <v>45128</v>
      </c>
      <c r="C638" s="1" t="n">
        <v>45343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33338-2023</t>
        </is>
      </c>
      <c r="B639" s="1" t="n">
        <v>45128</v>
      </c>
      <c r="C639" s="1" t="n">
        <v>45343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33451-2023</t>
        </is>
      </c>
      <c r="B640" s="1" t="n">
        <v>45130</v>
      </c>
      <c r="C640" s="1" t="n">
        <v>45343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33797-2023</t>
        </is>
      </c>
      <c r="B641" s="1" t="n">
        <v>45133</v>
      </c>
      <c r="C641" s="1" t="n">
        <v>45343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HYPERLINK("https://klasma.github.io/Logging_0360/knärot/A 33797-2023 karta knärot.png", "A 33797-2023")</f>
        <v/>
      </c>
      <c r="V641">
        <f>HYPERLINK("https://klasma.github.io/Logging_0360/klagomål/A 33797-2023 FSC-klagomål.docx", "A 33797-2023")</f>
        <v/>
      </c>
      <c r="W641">
        <f>HYPERLINK("https://klasma.github.io/Logging_0360/klagomålsmail/A 33797-2023 FSC-klagomål mail.docx", "A 33797-2023")</f>
        <v/>
      </c>
      <c r="X641">
        <f>HYPERLINK("https://klasma.github.io/Logging_0360/tillsyn/A 33797-2023 tillsynsbegäran.docx", "A 33797-2023")</f>
        <v/>
      </c>
      <c r="Y641">
        <f>HYPERLINK("https://klasma.github.io/Logging_0360/tillsynsmail/A 33797-2023 tillsynsbegäran mail.docx", "A 33797-2023")</f>
        <v/>
      </c>
    </row>
    <row r="642" ht="15" customHeight="1">
      <c r="A642" t="inlineStr">
        <is>
          <t>A 34082-2023</t>
        </is>
      </c>
      <c r="B642" s="1" t="n">
        <v>45135</v>
      </c>
      <c r="C642" s="1" t="n">
        <v>45343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34079-2023</t>
        </is>
      </c>
      <c r="B643" s="1" t="n">
        <v>45135</v>
      </c>
      <c r="C643" s="1" t="n">
        <v>45343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34027-2023</t>
        </is>
      </c>
      <c r="B644" s="1" t="n">
        <v>45135</v>
      </c>
      <c r="C644" s="1" t="n">
        <v>45343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34198-2023</t>
        </is>
      </c>
      <c r="B645" s="1" t="n">
        <v>45138</v>
      </c>
      <c r="C645" s="1" t="n">
        <v>45343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35375-2023</t>
        </is>
      </c>
      <c r="B646" s="1" t="n">
        <v>45146</v>
      </c>
      <c r="C646" s="1" t="n">
        <v>45343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35926-2023</t>
        </is>
      </c>
      <c r="B647" s="1" t="n">
        <v>45148</v>
      </c>
      <c r="C647" s="1" t="n">
        <v>45343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36544-2023</t>
        </is>
      </c>
      <c r="B648" s="1" t="n">
        <v>45153</v>
      </c>
      <c r="C648" s="1" t="n">
        <v>45343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38297-2023</t>
        </is>
      </c>
      <c r="B649" s="1" t="n">
        <v>45161</v>
      </c>
      <c r="C649" s="1" t="n">
        <v>45343</v>
      </c>
      <c r="D649" t="inlineStr">
        <is>
          <t>UPPSALA LÄN</t>
        </is>
      </c>
      <c r="E649" t="inlineStr">
        <is>
          <t>TIERP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38105-2023</t>
        </is>
      </c>
      <c r="B650" s="1" t="n">
        <v>45161</v>
      </c>
      <c r="C650" s="1" t="n">
        <v>45343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38109-2023</t>
        </is>
      </c>
      <c r="B651" s="1" t="n">
        <v>45161</v>
      </c>
      <c r="C651" s="1" t="n">
        <v>45343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38298-2023</t>
        </is>
      </c>
      <c r="B652" s="1" t="n">
        <v>45161</v>
      </c>
      <c r="C652" s="1" t="n">
        <v>45343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38464-2023</t>
        </is>
      </c>
      <c r="B653" s="1" t="n">
        <v>45162</v>
      </c>
      <c r="C653" s="1" t="n">
        <v>45343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38524-2023</t>
        </is>
      </c>
      <c r="B654" s="1" t="n">
        <v>45162</v>
      </c>
      <c r="C654" s="1" t="n">
        <v>45343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38875-2023</t>
        </is>
      </c>
      <c r="B655" s="1" t="n">
        <v>45163</v>
      </c>
      <c r="C655" s="1" t="n">
        <v>45343</v>
      </c>
      <c r="D655" t="inlineStr">
        <is>
          <t>UPPSALA LÄN</t>
        </is>
      </c>
      <c r="E655" t="inlineStr">
        <is>
          <t>TIERP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38702-2023</t>
        </is>
      </c>
      <c r="B656" s="1" t="n">
        <v>45163</v>
      </c>
      <c r="C656" s="1" t="n">
        <v>45343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38807-2023</t>
        </is>
      </c>
      <c r="B657" s="1" t="n">
        <v>45163</v>
      </c>
      <c r="C657" s="1" t="n">
        <v>45343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39259-2023</t>
        </is>
      </c>
      <c r="B658" s="1" t="n">
        <v>45166</v>
      </c>
      <c r="C658" s="1" t="n">
        <v>45343</v>
      </c>
      <c r="D658" t="inlineStr">
        <is>
          <t>UPPSALA LÄN</t>
        </is>
      </c>
      <c r="E658" t="inlineStr">
        <is>
          <t>TIERP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39403-2023</t>
        </is>
      </c>
      <c r="B659" s="1" t="n">
        <v>45166</v>
      </c>
      <c r="C659" s="1" t="n">
        <v>45343</v>
      </c>
      <c r="D659" t="inlineStr">
        <is>
          <t>UPPSALA LÄN</t>
        </is>
      </c>
      <c r="E659" t="inlineStr">
        <is>
          <t>TIERP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39421-2023</t>
        </is>
      </c>
      <c r="B660" s="1" t="n">
        <v>45166</v>
      </c>
      <c r="C660" s="1" t="n">
        <v>45343</v>
      </c>
      <c r="D660" t="inlineStr">
        <is>
          <t>UPPSALA LÄN</t>
        </is>
      </c>
      <c r="E660" t="inlineStr">
        <is>
          <t>TIERP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39411-2023</t>
        </is>
      </c>
      <c r="B661" s="1" t="n">
        <v>45166</v>
      </c>
      <c r="C661" s="1" t="n">
        <v>45343</v>
      </c>
      <c r="D661" t="inlineStr">
        <is>
          <t>UPPSALA LÄN</t>
        </is>
      </c>
      <c r="E661" t="inlineStr">
        <is>
          <t>TIERP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39938-2023</t>
        </is>
      </c>
      <c r="B662" s="1" t="n">
        <v>45166</v>
      </c>
      <c r="C662" s="1" t="n">
        <v>45343</v>
      </c>
      <c r="D662" t="inlineStr">
        <is>
          <t>UPPSALA LÄN</t>
        </is>
      </c>
      <c r="E662" t="inlineStr">
        <is>
          <t>TIERP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39928-2023</t>
        </is>
      </c>
      <c r="B663" s="1" t="n">
        <v>45167</v>
      </c>
      <c r="C663" s="1" t="n">
        <v>45343</v>
      </c>
      <c r="D663" t="inlineStr">
        <is>
          <t>UPPSALA LÄN</t>
        </is>
      </c>
      <c r="E663" t="inlineStr">
        <is>
          <t>TIERP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39927-2023</t>
        </is>
      </c>
      <c r="B664" s="1" t="n">
        <v>45168</v>
      </c>
      <c r="C664" s="1" t="n">
        <v>45343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40534-2023</t>
        </is>
      </c>
      <c r="B665" s="1" t="n">
        <v>45170</v>
      </c>
      <c r="C665" s="1" t="n">
        <v>45343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40624-2023</t>
        </is>
      </c>
      <c r="B666" s="1" t="n">
        <v>45170</v>
      </c>
      <c r="C666" s="1" t="n">
        <v>45343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40916-2023</t>
        </is>
      </c>
      <c r="B667" s="1" t="n">
        <v>45173</v>
      </c>
      <c r="C667" s="1" t="n">
        <v>45343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40864-2023</t>
        </is>
      </c>
      <c r="B668" s="1" t="n">
        <v>45173</v>
      </c>
      <c r="C668" s="1" t="n">
        <v>45343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40913-2023</t>
        </is>
      </c>
      <c r="B669" s="1" t="n">
        <v>45173</v>
      </c>
      <c r="C669" s="1" t="n">
        <v>45343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41225-2023</t>
        </is>
      </c>
      <c r="B670" s="1" t="n">
        <v>45174</v>
      </c>
      <c r="C670" s="1" t="n">
        <v>45343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41223-2023</t>
        </is>
      </c>
      <c r="B671" s="1" t="n">
        <v>45174</v>
      </c>
      <c r="C671" s="1" t="n">
        <v>45343</v>
      </c>
      <c r="D671" t="inlineStr">
        <is>
          <t>UPPSALA LÄN</t>
        </is>
      </c>
      <c r="E671" t="inlineStr">
        <is>
          <t>TIERP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41182-2023</t>
        </is>
      </c>
      <c r="B672" s="1" t="n">
        <v>45174</v>
      </c>
      <c r="C672" s="1" t="n">
        <v>45343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41726-2023</t>
        </is>
      </c>
      <c r="B673" s="1" t="n">
        <v>45176</v>
      </c>
      <c r="C673" s="1" t="n">
        <v>45343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42083-2023</t>
        </is>
      </c>
      <c r="B674" s="1" t="n">
        <v>45176</v>
      </c>
      <c r="C674" s="1" t="n">
        <v>45343</v>
      </c>
      <c r="D674" t="inlineStr">
        <is>
          <t>UPPSALA LÄN</t>
        </is>
      </c>
      <c r="E674" t="inlineStr">
        <is>
          <t>TIERP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42270-2023</t>
        </is>
      </c>
      <c r="B675" s="1" t="n">
        <v>45180</v>
      </c>
      <c r="C675" s="1" t="n">
        <v>45343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43605-2023</t>
        </is>
      </c>
      <c r="B676" s="1" t="n">
        <v>45181</v>
      </c>
      <c r="C676" s="1" t="n">
        <v>45343</v>
      </c>
      <c r="D676" t="inlineStr">
        <is>
          <t>UPPSALA LÄN</t>
        </is>
      </c>
      <c r="E676" t="inlineStr">
        <is>
          <t>TIERP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42642-2023</t>
        </is>
      </c>
      <c r="B677" s="1" t="n">
        <v>45181</v>
      </c>
      <c r="C677" s="1" t="n">
        <v>45343</v>
      </c>
      <c r="D677" t="inlineStr">
        <is>
          <t>UPPSALA LÄN</t>
        </is>
      </c>
      <c r="E677" t="inlineStr">
        <is>
          <t>TIERP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42877-2023</t>
        </is>
      </c>
      <c r="B678" s="1" t="n">
        <v>45182</v>
      </c>
      <c r="C678" s="1" t="n">
        <v>45343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42873-2023</t>
        </is>
      </c>
      <c r="B679" s="1" t="n">
        <v>45182</v>
      </c>
      <c r="C679" s="1" t="n">
        <v>45343</v>
      </c>
      <c r="D679" t="inlineStr">
        <is>
          <t>UPPSALA LÄN</t>
        </is>
      </c>
      <c r="E679" t="inlineStr">
        <is>
          <t>TIERP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43722-2023</t>
        </is>
      </c>
      <c r="B680" s="1" t="n">
        <v>45187</v>
      </c>
      <c r="C680" s="1" t="n">
        <v>45343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44228-2023</t>
        </is>
      </c>
      <c r="B681" s="1" t="n">
        <v>45188</v>
      </c>
      <c r="C681" s="1" t="n">
        <v>45343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44438-2023</t>
        </is>
      </c>
      <c r="B682" s="1" t="n">
        <v>45189</v>
      </c>
      <c r="C682" s="1" t="n">
        <v>45343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44430-2023</t>
        </is>
      </c>
      <c r="B683" s="1" t="n">
        <v>45189</v>
      </c>
      <c r="C683" s="1" t="n">
        <v>45343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44739-2023</t>
        </is>
      </c>
      <c r="B684" s="1" t="n">
        <v>45190</v>
      </c>
      <c r="C684" s="1" t="n">
        <v>45343</v>
      </c>
      <c r="D684" t="inlineStr">
        <is>
          <t>UPPSALA LÄN</t>
        </is>
      </c>
      <c r="E684" t="inlineStr">
        <is>
          <t>TIERP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44756-2023</t>
        </is>
      </c>
      <c r="B685" s="1" t="n">
        <v>45190</v>
      </c>
      <c r="C685" s="1" t="n">
        <v>45343</v>
      </c>
      <c r="D685" t="inlineStr">
        <is>
          <t>UPPSALA LÄN</t>
        </is>
      </c>
      <c r="E685" t="inlineStr">
        <is>
          <t>TIERP</t>
        </is>
      </c>
      <c r="G685" t="n">
        <v>18.1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44762-2023</t>
        </is>
      </c>
      <c r="B686" s="1" t="n">
        <v>45190</v>
      </c>
      <c r="C686" s="1" t="n">
        <v>45343</v>
      </c>
      <c r="D686" t="inlineStr">
        <is>
          <t>UPPSALA LÄN</t>
        </is>
      </c>
      <c r="E686" t="inlineStr">
        <is>
          <t>TIERP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44831-2023</t>
        </is>
      </c>
      <c r="B687" s="1" t="n">
        <v>45190</v>
      </c>
      <c r="C687" s="1" t="n">
        <v>45343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46188-2023</t>
        </is>
      </c>
      <c r="B688" s="1" t="n">
        <v>45190</v>
      </c>
      <c r="C688" s="1" t="n">
        <v>45343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45080-2023</t>
        </is>
      </c>
      <c r="B689" s="1" t="n">
        <v>45191</v>
      </c>
      <c r="C689" s="1" t="n">
        <v>45343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45141-2023</t>
        </is>
      </c>
      <c r="B690" s="1" t="n">
        <v>45191</v>
      </c>
      <c r="C690" s="1" t="n">
        <v>45343</v>
      </c>
      <c r="D690" t="inlineStr">
        <is>
          <t>UPPSALA LÄN</t>
        </is>
      </c>
      <c r="E690" t="inlineStr">
        <is>
          <t>TIERP</t>
        </is>
      </c>
      <c r="F690" t="inlineStr">
        <is>
          <t>Kyrkan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46495-2023</t>
        </is>
      </c>
      <c r="B691" s="1" t="n">
        <v>45194</v>
      </c>
      <c r="C691" s="1" t="n">
        <v>45343</v>
      </c>
      <c r="D691" t="inlineStr">
        <is>
          <t>UPPSALA LÄN</t>
        </is>
      </c>
      <c r="E691" t="inlineStr">
        <is>
          <t>TIERP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46522-2023</t>
        </is>
      </c>
      <c r="B692" s="1" t="n">
        <v>45197</v>
      </c>
      <c r="C692" s="1" t="n">
        <v>45343</v>
      </c>
      <c r="D692" t="inlineStr">
        <is>
          <t>UPPSALA LÄN</t>
        </is>
      </c>
      <c r="E692" t="inlineStr">
        <is>
          <t>TIERP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46730-2023</t>
        </is>
      </c>
      <c r="B693" s="1" t="n">
        <v>45198</v>
      </c>
      <c r="C693" s="1" t="n">
        <v>45343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47034-2023</t>
        </is>
      </c>
      <c r="B694" s="1" t="n">
        <v>45201</v>
      </c>
      <c r="C694" s="1" t="n">
        <v>45343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48736-2023</t>
        </is>
      </c>
      <c r="B695" s="1" t="n">
        <v>45203</v>
      </c>
      <c r="C695" s="1" t="n">
        <v>45343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48735-2023</t>
        </is>
      </c>
      <c r="B696" s="1" t="n">
        <v>45203</v>
      </c>
      <c r="C696" s="1" t="n">
        <v>45343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47960-2023</t>
        </is>
      </c>
      <c r="B697" s="1" t="n">
        <v>45204</v>
      </c>
      <c r="C697" s="1" t="n">
        <v>45343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47977-2023</t>
        </is>
      </c>
      <c r="B698" s="1" t="n">
        <v>45204</v>
      </c>
      <c r="C698" s="1" t="n">
        <v>45343</v>
      </c>
      <c r="D698" t="inlineStr">
        <is>
          <t>UPPSALA LÄN</t>
        </is>
      </c>
      <c r="E698" t="inlineStr">
        <is>
          <t>TIERP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47968-2023</t>
        </is>
      </c>
      <c r="B699" s="1" t="n">
        <v>45204</v>
      </c>
      <c r="C699" s="1" t="n">
        <v>45343</v>
      </c>
      <c r="D699" t="inlineStr">
        <is>
          <t>UPPSALA LÄN</t>
        </is>
      </c>
      <c r="E699" t="inlineStr">
        <is>
          <t>TIERP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48905-2023</t>
        </is>
      </c>
      <c r="B700" s="1" t="n">
        <v>45209</v>
      </c>
      <c r="C700" s="1" t="n">
        <v>45343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48958-2023</t>
        </is>
      </c>
      <c r="B701" s="1" t="n">
        <v>45209</v>
      </c>
      <c r="C701" s="1" t="n">
        <v>45343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50644-2023</t>
        </is>
      </c>
      <c r="B702" s="1" t="n">
        <v>45217</v>
      </c>
      <c r="C702" s="1" t="n">
        <v>45343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50683-2023</t>
        </is>
      </c>
      <c r="B703" s="1" t="n">
        <v>45217</v>
      </c>
      <c r="C703" s="1" t="n">
        <v>45343</v>
      </c>
      <c r="D703" t="inlineStr">
        <is>
          <t>UPPSALA LÄN</t>
        </is>
      </c>
      <c r="E703" t="inlineStr">
        <is>
          <t>TIERP</t>
        </is>
      </c>
      <c r="F703" t="inlineStr">
        <is>
          <t>Övriga Aktiebolag</t>
        </is>
      </c>
      <c r="G703" t="n">
        <v>28.8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50574-2023</t>
        </is>
      </c>
      <c r="B704" s="1" t="n">
        <v>45217</v>
      </c>
      <c r="C704" s="1" t="n">
        <v>45343</v>
      </c>
      <c r="D704" t="inlineStr">
        <is>
          <t>UPPSALA LÄN</t>
        </is>
      </c>
      <c r="E704" t="inlineStr">
        <is>
          <t>TIERP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50656-2023</t>
        </is>
      </c>
      <c r="B705" s="1" t="n">
        <v>45217</v>
      </c>
      <c r="C705" s="1" t="n">
        <v>45343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51030-2023</t>
        </is>
      </c>
      <c r="B706" s="1" t="n">
        <v>45218</v>
      </c>
      <c r="C706" s="1" t="n">
        <v>45343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51361-2023</t>
        </is>
      </c>
      <c r="B707" s="1" t="n">
        <v>45219</v>
      </c>
      <c r="C707" s="1" t="n">
        <v>45343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51364-2023</t>
        </is>
      </c>
      <c r="B708" s="1" t="n">
        <v>45219</v>
      </c>
      <c r="C708" s="1" t="n">
        <v>45343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51707-2023</t>
        </is>
      </c>
      <c r="B709" s="1" t="n">
        <v>45222</v>
      </c>
      <c r="C709" s="1" t="n">
        <v>45343</v>
      </c>
      <c r="D709" t="inlineStr">
        <is>
          <t>UPPSALA LÄN</t>
        </is>
      </c>
      <c r="E709" t="inlineStr">
        <is>
          <t>TIERP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51716-2023</t>
        </is>
      </c>
      <c r="B710" s="1" t="n">
        <v>45222</v>
      </c>
      <c r="C710" s="1" t="n">
        <v>45343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51755-2023</t>
        </is>
      </c>
      <c r="B711" s="1" t="n">
        <v>45222</v>
      </c>
      <c r="C711" s="1" t="n">
        <v>45343</v>
      </c>
      <c r="D711" t="inlineStr">
        <is>
          <t>UPPSALA LÄN</t>
        </is>
      </c>
      <c r="E711" t="inlineStr">
        <is>
          <t>TIERP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51767-2023</t>
        </is>
      </c>
      <c r="B712" s="1" t="n">
        <v>45222</v>
      </c>
      <c r="C712" s="1" t="n">
        <v>45343</v>
      </c>
      <c r="D712" t="inlineStr">
        <is>
          <t>UPPSALA LÄN</t>
        </is>
      </c>
      <c r="E712" t="inlineStr">
        <is>
          <t>TIERP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51756-2023</t>
        </is>
      </c>
      <c r="B713" s="1" t="n">
        <v>45222</v>
      </c>
      <c r="C713" s="1" t="n">
        <v>45343</v>
      </c>
      <c r="D713" t="inlineStr">
        <is>
          <t>UPPSALA LÄN</t>
        </is>
      </c>
      <c r="E713" t="inlineStr">
        <is>
          <t>TIERP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51741-2023</t>
        </is>
      </c>
      <c r="B714" s="1" t="n">
        <v>45222</v>
      </c>
      <c r="C714" s="1" t="n">
        <v>45343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51769-2023</t>
        </is>
      </c>
      <c r="B715" s="1" t="n">
        <v>45222</v>
      </c>
      <c r="C715" s="1" t="n">
        <v>45343</v>
      </c>
      <c r="D715" t="inlineStr">
        <is>
          <t>UPPSALA LÄN</t>
        </is>
      </c>
      <c r="E715" t="inlineStr">
        <is>
          <t>TIERP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51706-2023</t>
        </is>
      </c>
      <c r="B716" s="1" t="n">
        <v>45222</v>
      </c>
      <c r="C716" s="1" t="n">
        <v>45343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20.4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51738-2023</t>
        </is>
      </c>
      <c r="B717" s="1" t="n">
        <v>45222</v>
      </c>
      <c r="C717" s="1" t="n">
        <v>45343</v>
      </c>
      <c r="D717" t="inlineStr">
        <is>
          <t>UPPSALA LÄN</t>
        </is>
      </c>
      <c r="E717" t="inlineStr">
        <is>
          <t>TIERP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51974-2023</t>
        </is>
      </c>
      <c r="B718" s="1" t="n">
        <v>45223</v>
      </c>
      <c r="C718" s="1" t="n">
        <v>45343</v>
      </c>
      <c r="D718" t="inlineStr">
        <is>
          <t>UPPSALA LÄN</t>
        </is>
      </c>
      <c r="E718" t="inlineStr">
        <is>
          <t>TIERP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51984-2023</t>
        </is>
      </c>
      <c r="B719" s="1" t="n">
        <v>45223</v>
      </c>
      <c r="C719" s="1" t="n">
        <v>45343</v>
      </c>
      <c r="D719" t="inlineStr">
        <is>
          <t>UPPSALA LÄN</t>
        </is>
      </c>
      <c r="E719" t="inlineStr">
        <is>
          <t>TIERP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52380-2023</t>
        </is>
      </c>
      <c r="B720" s="1" t="n">
        <v>45224</v>
      </c>
      <c r="C720" s="1" t="n">
        <v>45343</v>
      </c>
      <c r="D720" t="inlineStr">
        <is>
          <t>UPPSALA LÄN</t>
        </is>
      </c>
      <c r="E720" t="inlineStr">
        <is>
          <t>TIERP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52969-2023</t>
        </is>
      </c>
      <c r="B721" s="1" t="n">
        <v>45226</v>
      </c>
      <c r="C721" s="1" t="n">
        <v>45343</v>
      </c>
      <c r="D721" t="inlineStr">
        <is>
          <t>UPPSALA LÄN</t>
        </is>
      </c>
      <c r="E721" t="inlineStr">
        <is>
          <t>TIERP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52966-2023</t>
        </is>
      </c>
      <c r="B722" s="1" t="n">
        <v>45226</v>
      </c>
      <c r="C722" s="1" t="n">
        <v>45343</v>
      </c>
      <c r="D722" t="inlineStr">
        <is>
          <t>UPPSALA LÄN</t>
        </is>
      </c>
      <c r="E722" t="inlineStr">
        <is>
          <t>TIERP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53490-2023</t>
        </is>
      </c>
      <c r="B723" s="1" t="n">
        <v>45229</v>
      </c>
      <c r="C723" s="1" t="n">
        <v>45343</v>
      </c>
      <c r="D723" t="inlineStr">
        <is>
          <t>UPPSALA LÄN</t>
        </is>
      </c>
      <c r="E723" t="inlineStr">
        <is>
          <t>TIERP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54737-2023</t>
        </is>
      </c>
      <c r="B724" s="1" t="n">
        <v>45229</v>
      </c>
      <c r="C724" s="1" t="n">
        <v>45343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53646-2023</t>
        </is>
      </c>
      <c r="B725" s="1" t="n">
        <v>45230</v>
      </c>
      <c r="C725" s="1" t="n">
        <v>45343</v>
      </c>
      <c r="D725" t="inlineStr">
        <is>
          <t>UPPSALA LÄN</t>
        </is>
      </c>
      <c r="E725" t="inlineStr">
        <is>
          <t>TIERP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54104-2023</t>
        </is>
      </c>
      <c r="B726" s="1" t="n">
        <v>45232</v>
      </c>
      <c r="C726" s="1" t="n">
        <v>45343</v>
      </c>
      <c r="D726" t="inlineStr">
        <is>
          <t>UPPSALA LÄN</t>
        </is>
      </c>
      <c r="E726" t="inlineStr">
        <is>
          <t>TIERP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54436-2023</t>
        </is>
      </c>
      <c r="B727" s="1" t="n">
        <v>45233</v>
      </c>
      <c r="C727" s="1" t="n">
        <v>45343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30.2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55252-2023</t>
        </is>
      </c>
      <c r="B728" s="1" t="n">
        <v>45237</v>
      </c>
      <c r="C728" s="1" t="n">
        <v>45343</v>
      </c>
      <c r="D728" t="inlineStr">
        <is>
          <t>UPPSALA LÄN</t>
        </is>
      </c>
      <c r="E728" t="inlineStr">
        <is>
          <t>TIERP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55530-2023</t>
        </is>
      </c>
      <c r="B729" s="1" t="n">
        <v>45238</v>
      </c>
      <c r="C729" s="1" t="n">
        <v>45343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55711-2023</t>
        </is>
      </c>
      <c r="B730" s="1" t="n">
        <v>45239</v>
      </c>
      <c r="C730" s="1" t="n">
        <v>45343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55807-2023</t>
        </is>
      </c>
      <c r="B731" s="1" t="n">
        <v>45239</v>
      </c>
      <c r="C731" s="1" t="n">
        <v>45343</v>
      </c>
      <c r="D731" t="inlineStr">
        <is>
          <t>UPPSALA LÄN</t>
        </is>
      </c>
      <c r="E731" t="inlineStr">
        <is>
          <t>TIERP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57201-2023</t>
        </is>
      </c>
      <c r="B732" s="1" t="n">
        <v>45239</v>
      </c>
      <c r="C732" s="1" t="n">
        <v>45343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55818-2023</t>
        </is>
      </c>
      <c r="B733" s="1" t="n">
        <v>45239</v>
      </c>
      <c r="C733" s="1" t="n">
        <v>45343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56292-2023</t>
        </is>
      </c>
      <c r="B734" s="1" t="n">
        <v>45242</v>
      </c>
      <c r="C734" s="1" t="n">
        <v>45343</v>
      </c>
      <c r="D734" t="inlineStr">
        <is>
          <t>UPPSALA LÄN</t>
        </is>
      </c>
      <c r="E734" t="inlineStr">
        <is>
          <t>TIERP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56497-2023</t>
        </is>
      </c>
      <c r="B735" s="1" t="n">
        <v>45243</v>
      </c>
      <c r="C735" s="1" t="n">
        <v>45343</v>
      </c>
      <c r="D735" t="inlineStr">
        <is>
          <t>UPPSALA LÄN</t>
        </is>
      </c>
      <c r="E735" t="inlineStr">
        <is>
          <t>TIERP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56583-2023</t>
        </is>
      </c>
      <c r="B736" s="1" t="n">
        <v>45243</v>
      </c>
      <c r="C736" s="1" t="n">
        <v>45343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56939-2023</t>
        </is>
      </c>
      <c r="B737" s="1" t="n">
        <v>45244</v>
      </c>
      <c r="C737" s="1" t="n">
        <v>45343</v>
      </c>
      <c r="D737" t="inlineStr">
        <is>
          <t>UPPSALA LÄN</t>
        </is>
      </c>
      <c r="E737" t="inlineStr">
        <is>
          <t>TIERP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56946-2023</t>
        </is>
      </c>
      <c r="B738" s="1" t="n">
        <v>45244</v>
      </c>
      <c r="C738" s="1" t="n">
        <v>45343</v>
      </c>
      <c r="D738" t="inlineStr">
        <is>
          <t>UPPSALA LÄN</t>
        </is>
      </c>
      <c r="E738" t="inlineStr">
        <is>
          <t>TIERP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56971-2023</t>
        </is>
      </c>
      <c r="B739" s="1" t="n">
        <v>45244</v>
      </c>
      <c r="C739" s="1" t="n">
        <v>45343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57142-2023</t>
        </is>
      </c>
      <c r="B740" s="1" t="n">
        <v>45245</v>
      </c>
      <c r="C740" s="1" t="n">
        <v>45343</v>
      </c>
      <c r="D740" t="inlineStr">
        <is>
          <t>UPPSALA LÄN</t>
        </is>
      </c>
      <c r="E740" t="inlineStr">
        <is>
          <t>TIERP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57144-2023</t>
        </is>
      </c>
      <c r="B741" s="1" t="n">
        <v>45245</v>
      </c>
      <c r="C741" s="1" t="n">
        <v>45343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57358-2023</t>
        </is>
      </c>
      <c r="B742" s="1" t="n">
        <v>45245</v>
      </c>
      <c r="C742" s="1" t="n">
        <v>45343</v>
      </c>
      <c r="D742" t="inlineStr">
        <is>
          <t>UPPSALA LÄN</t>
        </is>
      </c>
      <c r="E742" t="inlineStr">
        <is>
          <t>TIERP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57502-2023</t>
        </is>
      </c>
      <c r="B743" s="1" t="n">
        <v>45246</v>
      </c>
      <c r="C743" s="1" t="n">
        <v>45343</v>
      </c>
      <c r="D743" t="inlineStr">
        <is>
          <t>UPPSALA LÄN</t>
        </is>
      </c>
      <c r="E743" t="inlineStr">
        <is>
          <t>TIERP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57526-2023</t>
        </is>
      </c>
      <c r="B744" s="1" t="n">
        <v>45246</v>
      </c>
      <c r="C744" s="1" t="n">
        <v>45343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57638-2023</t>
        </is>
      </c>
      <c r="B745" s="1" t="n">
        <v>45246</v>
      </c>
      <c r="C745" s="1" t="n">
        <v>45343</v>
      </c>
      <c r="D745" t="inlineStr">
        <is>
          <t>UPPSALA LÄN</t>
        </is>
      </c>
      <c r="E745" t="inlineStr">
        <is>
          <t>TIERP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45343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45343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45343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45343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45343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45343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45343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45343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45343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45343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45343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45343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45343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59923-2023</t>
        </is>
      </c>
      <c r="B759" s="1" t="n">
        <v>45257</v>
      </c>
      <c r="C759" s="1" t="n">
        <v>45343</v>
      </c>
      <c r="D759" t="inlineStr">
        <is>
          <t>UPPSALA LÄN</t>
        </is>
      </c>
      <c r="E759" t="inlineStr">
        <is>
          <t>TIERP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59942-2023</t>
        </is>
      </c>
      <c r="B760" s="1" t="n">
        <v>45257</v>
      </c>
      <c r="C760" s="1" t="n">
        <v>45343</v>
      </c>
      <c r="D760" t="inlineStr">
        <is>
          <t>UPPSALA LÄN</t>
        </is>
      </c>
      <c r="E760" t="inlineStr">
        <is>
          <t>TIERP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45343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45343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45343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60993-2023</t>
        </is>
      </c>
      <c r="B764" s="1" t="n">
        <v>45259</v>
      </c>
      <c r="C764" s="1" t="n">
        <v>45343</v>
      </c>
      <c r="D764" t="inlineStr">
        <is>
          <t>UPPSALA LÄN</t>
        </is>
      </c>
      <c r="E764" t="inlineStr">
        <is>
          <t>TIERP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60989-2023</t>
        </is>
      </c>
      <c r="B765" s="1" t="n">
        <v>45259</v>
      </c>
      <c r="C765" s="1" t="n">
        <v>45343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45343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45343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45343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45343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63663-2023</t>
        </is>
      </c>
      <c r="B770" s="1" t="n">
        <v>45275</v>
      </c>
      <c r="C770" s="1" t="n">
        <v>45343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63649-2023</t>
        </is>
      </c>
      <c r="B771" s="1" t="n">
        <v>45275</v>
      </c>
      <c r="C771" s="1" t="n">
        <v>45343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45343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45343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45343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45343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64135-2023</t>
        </is>
      </c>
      <c r="B776" s="1" t="n">
        <v>45279</v>
      </c>
      <c r="C776" s="1" t="n">
        <v>45343</v>
      </c>
      <c r="D776" t="inlineStr">
        <is>
          <t>UPPSALA LÄN</t>
        </is>
      </c>
      <c r="E776" t="inlineStr">
        <is>
          <t>TIERP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64180-2023</t>
        </is>
      </c>
      <c r="B777" s="1" t="n">
        <v>45279</v>
      </c>
      <c r="C777" s="1" t="n">
        <v>45343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45343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45343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45343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45343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45343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64911-2023</t>
        </is>
      </c>
      <c r="B783" s="1" t="n">
        <v>45282</v>
      </c>
      <c r="C783" s="1" t="n">
        <v>45343</v>
      </c>
      <c r="D783" t="inlineStr">
        <is>
          <t>UPPSALA LÄN</t>
        </is>
      </c>
      <c r="E783" t="inlineStr">
        <is>
          <t>TIERP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45343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45343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45343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45343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45343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45343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45343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45343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2011-2024</t>
        </is>
      </c>
      <c r="B792" s="1" t="n">
        <v>45308</v>
      </c>
      <c r="C792" s="1" t="n">
        <v>45343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1951-2024</t>
        </is>
      </c>
      <c r="B793" s="1" t="n">
        <v>45308</v>
      </c>
      <c r="C793" s="1" t="n">
        <v>45343</v>
      </c>
      <c r="D793" t="inlineStr">
        <is>
          <t>UPPSALA LÄN</t>
        </is>
      </c>
      <c r="E793" t="inlineStr">
        <is>
          <t>TIERP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45343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45343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45343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45343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45343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45343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6395-2024</t>
        </is>
      </c>
      <c r="B800" s="1" t="n">
        <v>45338</v>
      </c>
      <c r="C800" s="1" t="n">
        <v>45343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6385-2024</t>
        </is>
      </c>
      <c r="B801" s="1" t="n">
        <v>45338</v>
      </c>
      <c r="C801" s="1" t="n">
        <v>45343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2024-02-21T06:58:21Z</dcterms:created>
  <dcterms:modified xmlns:dcterms="http://purl.org/dc/terms/" xmlns:xsi="http://www.w3.org/2001/XMLSchema-instance" xsi:type="dcterms:W3CDTF">2024-02-21T06:58:22Z</dcterms:modified>
</cp:coreProperties>
</file>