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45672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45672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45672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45672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45672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45672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45672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45672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45672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45672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45672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3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8</v>
      </c>
      <c r="R12" s="2" t="inlineStr">
        <is>
          <t>Svart taggsvamp
Anisspindling
Dropptaggsvamp
Guckusko
Olivspindling
Skarp dropptaggsvamp
Tvåblad
Nattviol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45672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45672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45672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9126-2023</t>
        </is>
      </c>
      <c r="B16" s="1" t="n">
        <v>44980</v>
      </c>
      <c r="C16" s="1" t="n">
        <v>45672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21.8</v>
      </c>
      <c r="H16" t="n">
        <v>6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Tjäder
Skogsödla
Blåsippa
Revlummer</t>
        </is>
      </c>
      <c r="S16">
        <f>HYPERLINK("https://klasma.github.io/Logging_0360/artfynd/A 9126-2023 artfynd.xlsx", "A 9126-2023")</f>
        <v/>
      </c>
      <c r="T16">
        <f>HYPERLINK("https://klasma.github.io/Logging_0360/kartor/A 9126-2023 karta.png", "A 9126-2023")</f>
        <v/>
      </c>
      <c r="U16">
        <f>HYPERLINK("https://klasma.github.io/Logging_0360/knärot/A 9126-2023 karta knärot.png", "A 9126-2023")</f>
        <v/>
      </c>
      <c r="V16">
        <f>HYPERLINK("https://klasma.github.io/Logging_0360/klagomål/A 9126-2023 FSC-klagomål.docx", "A 9126-2023")</f>
        <v/>
      </c>
      <c r="W16">
        <f>HYPERLINK("https://klasma.github.io/Logging_0360/klagomålsmail/A 9126-2023 FSC-klagomål mail.docx", "A 9126-2023")</f>
        <v/>
      </c>
      <c r="X16">
        <f>HYPERLINK("https://klasma.github.io/Logging_0360/tillsyn/A 9126-2023 tillsynsbegäran.docx", "A 9126-2023")</f>
        <v/>
      </c>
      <c r="Y16">
        <f>HYPERLINK("https://klasma.github.io/Logging_0360/tillsynsmail/A 9126-2023 tillsynsbegäran mail.docx", "A 9126-2023")</f>
        <v/>
      </c>
      <c r="Z16">
        <f>HYPERLINK("https://klasma.github.io/Logging_0360/fåglar/A 9126-2023 prioriterade fågelarter.docx", "A 9126-2023")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45672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45672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45672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45672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45672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45672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45672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45672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45672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45672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45672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45672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45672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45672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45672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45672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45672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45672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45672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45672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45672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45672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45672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45672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45672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45672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45672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45672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45672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45672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45672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14191-2023</t>
        </is>
      </c>
      <c r="B48" s="1" t="n">
        <v>45009</v>
      </c>
      <c r="C48" s="1" t="n">
        <v>45672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HYPERLINK("https://klasma.github.io/Logging_0360/artfynd/A 14191-2023 artfynd.xlsx", "A 14191-2023")</f>
        <v/>
      </c>
      <c r="T48">
        <f>HYPERLINK("https://klasma.github.io/Logging_0360/kartor/A 14191-2023 karta.png", "A 14191-2023")</f>
        <v/>
      </c>
      <c r="V48">
        <f>HYPERLINK("https://klasma.github.io/Logging_0360/klagomål/A 14191-2023 FSC-klagomål.docx", "A 14191-2023")</f>
        <v/>
      </c>
      <c r="W48">
        <f>HYPERLINK("https://klasma.github.io/Logging_0360/klagomålsmail/A 14191-2023 FSC-klagomål mail.docx", "A 14191-2023")</f>
        <v/>
      </c>
      <c r="X48">
        <f>HYPERLINK("https://klasma.github.io/Logging_0360/tillsyn/A 14191-2023 tillsynsbegäran.docx", "A 14191-2023")</f>
        <v/>
      </c>
      <c r="Y48">
        <f>HYPERLINK("https://klasma.github.io/Logging_0360/tillsynsmail/A 14191-2023 tillsynsbegäran mail.docx", "A 14191-2023")</f>
        <v/>
      </c>
      <c r="Z48">
        <f>HYPERLINK("https://klasma.github.io/Logging_0360/fåglar/A 14191-2023 prioriterade fågelarter.docx", "A 14191-2023")</f>
        <v/>
      </c>
    </row>
    <row r="49" ht="15" customHeight="1">
      <c r="A49" t="inlineStr">
        <is>
          <t>A 29226-2023</t>
        </is>
      </c>
      <c r="B49" s="1" t="n">
        <v>45105</v>
      </c>
      <c r="C49" s="1" t="n">
        <v>45672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Bronshjon
Blåsippa</t>
        </is>
      </c>
      <c r="S49">
        <f>HYPERLINK("https://klasma.github.io/Logging_0360/artfynd/A 29226-2023 artfynd.xlsx", "A 29226-2023")</f>
        <v/>
      </c>
      <c r="T49">
        <f>HYPERLINK("https://klasma.github.io/Logging_0360/kartor/A 29226-2023 karta.png", "A 29226-2023")</f>
        <v/>
      </c>
      <c r="V49">
        <f>HYPERLINK("https://klasma.github.io/Logging_0360/klagomål/A 29226-2023 FSC-klagomål.docx", "A 29226-2023")</f>
        <v/>
      </c>
      <c r="W49">
        <f>HYPERLINK("https://klasma.github.io/Logging_0360/klagomålsmail/A 29226-2023 FSC-klagomål mail.docx", "A 29226-2023")</f>
        <v/>
      </c>
      <c r="X49">
        <f>HYPERLINK("https://klasma.github.io/Logging_0360/tillsyn/A 29226-2023 tillsynsbegäran.docx", "A 29226-2023")</f>
        <v/>
      </c>
      <c r="Y49">
        <f>HYPERLINK("https://klasma.github.io/Logging_0360/tillsynsmail/A 29226-2023 tillsynsbegäran mail.docx", "A 29226-2023")</f>
        <v/>
      </c>
    </row>
    <row r="50" ht="15" customHeight="1">
      <c r="A50" t="inlineStr">
        <is>
          <t>A 34979-2023</t>
        </is>
      </c>
      <c r="B50" s="1" t="n">
        <v>45142</v>
      </c>
      <c r="C50" s="1" t="n">
        <v>45672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Vedticka</t>
        </is>
      </c>
      <c r="S50">
        <f>HYPERLINK("https://klasma.github.io/Logging_0360/artfynd/A 34979-2023 artfynd.xlsx", "A 34979-2023")</f>
        <v/>
      </c>
      <c r="T50">
        <f>HYPERLINK("https://klasma.github.io/Logging_0360/kartor/A 34979-2023 karta.png", "A 34979-2023")</f>
        <v/>
      </c>
      <c r="V50">
        <f>HYPERLINK("https://klasma.github.io/Logging_0360/klagomål/A 34979-2023 FSC-klagomål.docx", "A 34979-2023")</f>
        <v/>
      </c>
      <c r="W50">
        <f>HYPERLINK("https://klasma.github.io/Logging_0360/klagomålsmail/A 34979-2023 FSC-klagomål mail.docx", "A 34979-2023")</f>
        <v/>
      </c>
      <c r="X50">
        <f>HYPERLINK("https://klasma.github.io/Logging_0360/tillsyn/A 34979-2023 tillsynsbegäran.docx", "A 34979-2023")</f>
        <v/>
      </c>
      <c r="Y50">
        <f>HYPERLINK("https://klasma.github.io/Logging_0360/tillsynsmail/A 34979-2023 tillsynsbegäran mail.docx", "A 34979-2023")</f>
        <v/>
      </c>
    </row>
    <row r="51" ht="15" customHeight="1">
      <c r="A51" t="inlineStr">
        <is>
          <t>A 47948-2023</t>
        </is>
      </c>
      <c r="B51" s="1" t="n">
        <v>45204</v>
      </c>
      <c r="C51" s="1" t="n">
        <v>45672</v>
      </c>
      <c r="D51" t="inlineStr">
        <is>
          <t>UPPSALA LÄN</t>
        </is>
      </c>
      <c r="E51" t="inlineStr">
        <is>
          <t>TIERP</t>
        </is>
      </c>
      <c r="G51" t="n">
        <v>0.7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Gulvit blekspik
Liten blekspik</t>
        </is>
      </c>
      <c r="S51">
        <f>HYPERLINK("https://klasma.github.io/Logging_0360/artfynd/A 47948-2023 artfynd.xlsx", "A 47948-2023")</f>
        <v/>
      </c>
      <c r="T51">
        <f>HYPERLINK("https://klasma.github.io/Logging_0360/kartor/A 47948-2023 karta.png", "A 47948-2023")</f>
        <v/>
      </c>
      <c r="V51">
        <f>HYPERLINK("https://klasma.github.io/Logging_0360/klagomål/A 47948-2023 FSC-klagomål.docx", "A 47948-2023")</f>
        <v/>
      </c>
      <c r="W51">
        <f>HYPERLINK("https://klasma.github.io/Logging_0360/klagomålsmail/A 47948-2023 FSC-klagomål mail.docx", "A 47948-2023")</f>
        <v/>
      </c>
      <c r="X51">
        <f>HYPERLINK("https://klasma.github.io/Logging_0360/tillsyn/A 47948-2023 tillsynsbegäran.docx", "A 47948-2023")</f>
        <v/>
      </c>
      <c r="Y51">
        <f>HYPERLINK("https://klasma.github.io/Logging_0360/tillsynsmail/A 47948-2023 tillsynsbegäran mail.docx", "A 47948-2023")</f>
        <v/>
      </c>
    </row>
    <row r="52" ht="15" customHeight="1">
      <c r="A52" t="inlineStr">
        <is>
          <t>A 48917-2023</t>
        </is>
      </c>
      <c r="B52" s="1" t="n">
        <v>45209</v>
      </c>
      <c r="C52" s="1" t="n">
        <v>45672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3.4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Talltita</t>
        </is>
      </c>
      <c r="S52">
        <f>HYPERLINK("https://klasma.github.io/Logging_0360/artfynd/A 48917-2023 artfynd.xlsx", "A 48917-2023")</f>
        <v/>
      </c>
      <c r="T52">
        <f>HYPERLINK("https://klasma.github.io/Logging_0360/kartor/A 48917-2023 karta.png", "A 48917-2023")</f>
        <v/>
      </c>
      <c r="V52">
        <f>HYPERLINK("https://klasma.github.io/Logging_0360/klagomål/A 48917-2023 FSC-klagomål.docx", "A 48917-2023")</f>
        <v/>
      </c>
      <c r="W52">
        <f>HYPERLINK("https://klasma.github.io/Logging_0360/klagomålsmail/A 48917-2023 FSC-klagomål mail.docx", "A 48917-2023")</f>
        <v/>
      </c>
      <c r="X52">
        <f>HYPERLINK("https://klasma.github.io/Logging_0360/tillsyn/A 48917-2023 tillsynsbegäran.docx", "A 48917-2023")</f>
        <v/>
      </c>
      <c r="Y52">
        <f>HYPERLINK("https://klasma.github.io/Logging_0360/tillsynsmail/A 48917-2023 tillsynsbegäran mail.docx", "A 48917-2023")</f>
        <v/>
      </c>
      <c r="Z52">
        <f>HYPERLINK("https://klasma.github.io/Logging_0360/fåglar/A 48917-2023 prioriterade fågelarter.docx", "A 48917-2023")</f>
        <v/>
      </c>
    </row>
    <row r="53" ht="15" customHeight="1">
      <c r="A53" t="inlineStr">
        <is>
          <t>A 54436-2023</t>
        </is>
      </c>
      <c r="B53" s="1" t="n">
        <v>45233</v>
      </c>
      <c r="C53" s="1" t="n">
        <v>45672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30.2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Tvåblad</t>
        </is>
      </c>
      <c r="S53">
        <f>HYPERLINK("https://klasma.github.io/Logging_0360/artfynd/A 54436-2023 artfynd.xlsx", "A 54436-2023")</f>
        <v/>
      </c>
      <c r="T53">
        <f>HYPERLINK("https://klasma.github.io/Logging_0360/kartor/A 54436-2023 karta.png", "A 54436-2023")</f>
        <v/>
      </c>
      <c r="V53">
        <f>HYPERLINK("https://klasma.github.io/Logging_0360/klagomål/A 54436-2023 FSC-klagomål.docx", "A 54436-2023")</f>
        <v/>
      </c>
      <c r="W53">
        <f>HYPERLINK("https://klasma.github.io/Logging_0360/klagomålsmail/A 54436-2023 FSC-klagomål mail.docx", "A 54436-2023")</f>
        <v/>
      </c>
      <c r="X53">
        <f>HYPERLINK("https://klasma.github.io/Logging_0360/tillsyn/A 54436-2023 tillsynsbegäran.docx", "A 54436-2023")</f>
        <v/>
      </c>
      <c r="Y53">
        <f>HYPERLINK("https://klasma.github.io/Logging_0360/tillsynsmail/A 54436-2023 tillsynsbegäran mail.docx", "A 54436-2023")</f>
        <v/>
      </c>
    </row>
    <row r="54" ht="15" customHeight="1">
      <c r="A54" t="inlineStr">
        <is>
          <t>A 59949-2023</t>
        </is>
      </c>
      <c r="B54" s="1" t="n">
        <v>45257</v>
      </c>
      <c r="C54" s="1" t="n">
        <v>45672</v>
      </c>
      <c r="D54" t="inlineStr">
        <is>
          <t>UPPSALA LÄN</t>
        </is>
      </c>
      <c r="E54" t="inlineStr">
        <is>
          <t>TIERP</t>
        </is>
      </c>
      <c r="G54" t="n">
        <v>1.3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Svavelriska</t>
        </is>
      </c>
      <c r="S54">
        <f>HYPERLINK("https://klasma.github.io/Logging_0360/artfynd/A 59949-2023 artfynd.xlsx", "A 59949-2023")</f>
        <v/>
      </c>
      <c r="T54">
        <f>HYPERLINK("https://klasma.github.io/Logging_0360/kartor/A 59949-2023 karta.png", "A 59949-2023")</f>
        <v/>
      </c>
      <c r="V54">
        <f>HYPERLINK("https://klasma.github.io/Logging_0360/klagomål/A 59949-2023 FSC-klagomål.docx", "A 59949-2023")</f>
        <v/>
      </c>
      <c r="W54">
        <f>HYPERLINK("https://klasma.github.io/Logging_0360/klagomålsmail/A 59949-2023 FSC-klagomål mail.docx", "A 59949-2023")</f>
        <v/>
      </c>
      <c r="X54">
        <f>HYPERLINK("https://klasma.github.io/Logging_0360/tillsyn/A 59949-2023 tillsynsbegäran.docx", "A 59949-2023")</f>
        <v/>
      </c>
      <c r="Y54">
        <f>HYPERLINK("https://klasma.github.io/Logging_0360/tillsynsmail/A 59949-2023 tillsynsbegäran mail.docx", "A 59949-2023")</f>
        <v/>
      </c>
    </row>
    <row r="55" ht="15" customHeight="1">
      <c r="A55" t="inlineStr">
        <is>
          <t>A 140-2024</t>
        </is>
      </c>
      <c r="B55" s="1" t="n">
        <v>45294</v>
      </c>
      <c r="C55" s="1" t="n">
        <v>45672</v>
      </c>
      <c r="D55" t="inlineStr">
        <is>
          <t>UPPSALA LÄN</t>
        </is>
      </c>
      <c r="E55" t="inlineStr">
        <is>
          <t>TIERP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Ärtsångare</t>
        </is>
      </c>
      <c r="S55">
        <f>HYPERLINK("https://klasma.github.io/Logging_0360/artfynd/A 140-2024 artfynd.xlsx", "A 140-2024")</f>
        <v/>
      </c>
      <c r="T55">
        <f>HYPERLINK("https://klasma.github.io/Logging_0360/kartor/A 140-2024 karta.png", "A 140-2024")</f>
        <v/>
      </c>
      <c r="V55">
        <f>HYPERLINK("https://klasma.github.io/Logging_0360/klagomål/A 140-2024 FSC-klagomål.docx", "A 140-2024")</f>
        <v/>
      </c>
      <c r="W55">
        <f>HYPERLINK("https://klasma.github.io/Logging_0360/klagomålsmail/A 140-2024 FSC-klagomål mail.docx", "A 140-2024")</f>
        <v/>
      </c>
      <c r="X55">
        <f>HYPERLINK("https://klasma.github.io/Logging_0360/tillsyn/A 140-2024 tillsynsbegäran.docx", "A 140-2024")</f>
        <v/>
      </c>
      <c r="Y55">
        <f>HYPERLINK("https://klasma.github.io/Logging_0360/tillsynsmail/A 140-2024 tillsynsbegäran mail.docx", "A 140-2024")</f>
        <v/>
      </c>
      <c r="Z55">
        <f>HYPERLINK("https://klasma.github.io/Logging_0360/fåglar/A 140-2024 prioriterade fågelarter.docx", "A 140-2024")</f>
        <v/>
      </c>
    </row>
    <row r="56" ht="15" customHeight="1">
      <c r="A56" t="inlineStr">
        <is>
          <t>A 11449-2024</t>
        </is>
      </c>
      <c r="B56" s="1" t="n">
        <v>45372</v>
      </c>
      <c r="C56" s="1" t="n">
        <v>45672</v>
      </c>
      <c r="D56" t="inlineStr">
        <is>
          <t>UPPSALA LÄN</t>
        </is>
      </c>
      <c r="E56" t="inlineStr">
        <is>
          <t>TIERP</t>
        </is>
      </c>
      <c r="G56" t="n">
        <v>1.9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Blek fingersvamp
Rödgul trumpetsvamp</t>
        </is>
      </c>
      <c r="S56">
        <f>HYPERLINK("https://klasma.github.io/Logging_0360/artfynd/A 11449-2024 artfynd.xlsx", "A 11449-2024")</f>
        <v/>
      </c>
      <c r="T56">
        <f>HYPERLINK("https://klasma.github.io/Logging_0360/kartor/A 11449-2024 karta.png", "A 11449-2024")</f>
        <v/>
      </c>
      <c r="V56">
        <f>HYPERLINK("https://klasma.github.io/Logging_0360/klagomål/A 11449-2024 FSC-klagomål.docx", "A 11449-2024")</f>
        <v/>
      </c>
      <c r="W56">
        <f>HYPERLINK("https://klasma.github.io/Logging_0360/klagomålsmail/A 11449-2024 FSC-klagomål mail.docx", "A 11449-2024")</f>
        <v/>
      </c>
      <c r="X56">
        <f>HYPERLINK("https://klasma.github.io/Logging_0360/tillsyn/A 11449-2024 tillsynsbegäran.docx", "A 11449-2024")</f>
        <v/>
      </c>
      <c r="Y56">
        <f>HYPERLINK("https://klasma.github.io/Logging_0360/tillsynsmail/A 11449-2024 tillsynsbegäran mail.docx", "A 11449-2024")</f>
        <v/>
      </c>
    </row>
    <row r="57" ht="15" customHeight="1">
      <c r="A57" t="inlineStr">
        <is>
          <t>A 12971-2024</t>
        </is>
      </c>
      <c r="B57" s="1" t="n">
        <v>45385</v>
      </c>
      <c r="C57" s="1" t="n">
        <v>45672</v>
      </c>
      <c r="D57" t="inlineStr">
        <is>
          <t>UPPSALA LÄN</t>
        </is>
      </c>
      <c r="E57" t="inlineStr">
        <is>
          <t>TIERP</t>
        </is>
      </c>
      <c r="G57" t="n">
        <v>21.4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Entita
Rödvingetrast</t>
        </is>
      </c>
      <c r="S57">
        <f>HYPERLINK("https://klasma.github.io/Logging_0360/artfynd/A 12971-2024 artfynd.xlsx", "A 12971-2024")</f>
        <v/>
      </c>
      <c r="T57">
        <f>HYPERLINK("https://klasma.github.io/Logging_0360/kartor/A 12971-2024 karta.png", "A 12971-2024")</f>
        <v/>
      </c>
      <c r="V57">
        <f>HYPERLINK("https://klasma.github.io/Logging_0360/klagomål/A 12971-2024 FSC-klagomål.docx", "A 12971-2024")</f>
        <v/>
      </c>
      <c r="W57">
        <f>HYPERLINK("https://klasma.github.io/Logging_0360/klagomålsmail/A 12971-2024 FSC-klagomål mail.docx", "A 12971-2024")</f>
        <v/>
      </c>
      <c r="X57">
        <f>HYPERLINK("https://klasma.github.io/Logging_0360/tillsyn/A 12971-2024 tillsynsbegäran.docx", "A 12971-2024")</f>
        <v/>
      </c>
      <c r="Y57">
        <f>HYPERLINK("https://klasma.github.io/Logging_0360/tillsynsmail/A 12971-2024 tillsynsbegäran mail.docx", "A 12971-2024")</f>
        <v/>
      </c>
      <c r="Z57">
        <f>HYPERLINK("https://klasma.github.io/Logging_0360/fåglar/A 12971-2024 prioriterade fågelarter.docx", "A 12971-2024")</f>
        <v/>
      </c>
    </row>
    <row r="58" ht="15" customHeight="1">
      <c r="A58" t="inlineStr">
        <is>
          <t>A 15040-2024</t>
        </is>
      </c>
      <c r="B58" s="1" t="n">
        <v>45399</v>
      </c>
      <c r="C58" s="1" t="n">
        <v>45672</v>
      </c>
      <c r="D58" t="inlineStr">
        <is>
          <t>UPPSALA LÄN</t>
        </is>
      </c>
      <c r="E58" t="inlineStr">
        <is>
          <t>TIERP</t>
        </is>
      </c>
      <c r="G58" t="n">
        <v>7.2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Granbräken
Grönkulla</t>
        </is>
      </c>
      <c r="S58">
        <f>HYPERLINK("https://klasma.github.io/Logging_0360/artfynd/A 15040-2024 artfynd.xlsx", "A 15040-2024")</f>
        <v/>
      </c>
      <c r="T58">
        <f>HYPERLINK("https://klasma.github.io/Logging_0360/kartor/A 15040-2024 karta.png", "A 15040-2024")</f>
        <v/>
      </c>
      <c r="V58">
        <f>HYPERLINK("https://klasma.github.io/Logging_0360/klagomål/A 15040-2024 FSC-klagomål.docx", "A 15040-2024")</f>
        <v/>
      </c>
      <c r="W58">
        <f>HYPERLINK("https://klasma.github.io/Logging_0360/klagomålsmail/A 15040-2024 FSC-klagomål mail.docx", "A 15040-2024")</f>
        <v/>
      </c>
      <c r="X58">
        <f>HYPERLINK("https://klasma.github.io/Logging_0360/tillsyn/A 15040-2024 tillsynsbegäran.docx", "A 15040-2024")</f>
        <v/>
      </c>
      <c r="Y58">
        <f>HYPERLINK("https://klasma.github.io/Logging_0360/tillsynsmail/A 15040-2024 tillsynsbegäran mail.docx", "A 15040-2024")</f>
        <v/>
      </c>
    </row>
    <row r="59" ht="15" customHeight="1">
      <c r="A59" t="inlineStr">
        <is>
          <t>A 20710-2024</t>
        </is>
      </c>
      <c r="B59" s="1" t="n">
        <v>45436</v>
      </c>
      <c r="C59" s="1" t="n">
        <v>45672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21.4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Underviol
Gullviva</t>
        </is>
      </c>
      <c r="S59">
        <f>HYPERLINK("https://klasma.github.io/Logging_0360/artfynd/A 20710-2024 artfynd.xlsx", "A 20710-2024")</f>
        <v/>
      </c>
      <c r="T59">
        <f>HYPERLINK("https://klasma.github.io/Logging_0360/kartor/A 20710-2024 karta.png", "A 20710-2024")</f>
        <v/>
      </c>
      <c r="V59">
        <f>HYPERLINK("https://klasma.github.io/Logging_0360/klagomål/A 20710-2024 FSC-klagomål.docx", "A 20710-2024")</f>
        <v/>
      </c>
      <c r="W59">
        <f>HYPERLINK("https://klasma.github.io/Logging_0360/klagomålsmail/A 20710-2024 FSC-klagomål mail.docx", "A 20710-2024")</f>
        <v/>
      </c>
      <c r="X59">
        <f>HYPERLINK("https://klasma.github.io/Logging_0360/tillsyn/A 20710-2024 tillsynsbegäran.docx", "A 20710-2024")</f>
        <v/>
      </c>
      <c r="Y59">
        <f>HYPERLINK("https://klasma.github.io/Logging_0360/tillsynsmail/A 20710-2024 tillsynsbegäran mail.docx", "A 20710-2024")</f>
        <v/>
      </c>
    </row>
    <row r="60" ht="15" customHeight="1">
      <c r="A60" t="inlineStr">
        <is>
          <t>A 39018-2024</t>
        </is>
      </c>
      <c r="B60" s="1" t="n">
        <v>45548</v>
      </c>
      <c r="C60" s="1" t="n">
        <v>45672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19.1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Rödvingetrast
Talltita</t>
        </is>
      </c>
      <c r="S60">
        <f>HYPERLINK("https://klasma.github.io/Logging_0360/artfynd/A 39018-2024 artfynd.xlsx", "A 39018-2024")</f>
        <v/>
      </c>
      <c r="T60">
        <f>HYPERLINK("https://klasma.github.io/Logging_0360/kartor/A 39018-2024 karta.png", "A 39018-2024")</f>
        <v/>
      </c>
      <c r="V60">
        <f>HYPERLINK("https://klasma.github.io/Logging_0360/klagomål/A 39018-2024 FSC-klagomål.docx", "A 39018-2024")</f>
        <v/>
      </c>
      <c r="W60">
        <f>HYPERLINK("https://klasma.github.io/Logging_0360/klagomålsmail/A 39018-2024 FSC-klagomål mail.docx", "A 39018-2024")</f>
        <v/>
      </c>
      <c r="X60">
        <f>HYPERLINK("https://klasma.github.io/Logging_0360/tillsyn/A 39018-2024 tillsynsbegäran.docx", "A 39018-2024")</f>
        <v/>
      </c>
      <c r="Y60">
        <f>HYPERLINK("https://klasma.github.io/Logging_0360/tillsynsmail/A 39018-2024 tillsynsbegäran mail.docx", "A 39018-2024")</f>
        <v/>
      </c>
      <c r="Z60">
        <f>HYPERLINK("https://klasma.github.io/Logging_0360/fåglar/A 39018-2024 prioriterade fågelarter.docx", "A 39018-2024")</f>
        <v/>
      </c>
    </row>
    <row r="61" ht="15" customHeight="1">
      <c r="A61" t="inlineStr">
        <is>
          <t>A 43643-2024</t>
        </is>
      </c>
      <c r="B61" s="1" t="n">
        <v>45569</v>
      </c>
      <c r="C61" s="1" t="n">
        <v>45672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43643-2024 artfynd.xlsx", "A 43643-2024")</f>
        <v/>
      </c>
      <c r="T61">
        <f>HYPERLINK("https://klasma.github.io/Logging_0360/kartor/A 43643-2024 karta.png", "A 43643-2024")</f>
        <v/>
      </c>
      <c r="V61">
        <f>HYPERLINK("https://klasma.github.io/Logging_0360/klagomål/A 43643-2024 FSC-klagomål.docx", "A 43643-2024")</f>
        <v/>
      </c>
      <c r="W61">
        <f>HYPERLINK("https://klasma.github.io/Logging_0360/klagomålsmail/A 43643-2024 FSC-klagomål mail.docx", "A 43643-2024")</f>
        <v/>
      </c>
      <c r="X61">
        <f>HYPERLINK("https://klasma.github.io/Logging_0360/tillsyn/A 43643-2024 tillsynsbegäran.docx", "A 43643-2024")</f>
        <v/>
      </c>
      <c r="Y61">
        <f>HYPERLINK("https://klasma.github.io/Logging_0360/tillsynsmail/A 43643-2024 tillsynsbegäran mail.docx", "A 43643-2024")</f>
        <v/>
      </c>
      <c r="Z61">
        <f>HYPERLINK("https://klasma.github.io/Logging_0360/fåglar/A 43643-2024 prioriterade fågelarter.docx", "A 43643-2024")</f>
        <v/>
      </c>
    </row>
    <row r="62" ht="15" customHeight="1">
      <c r="A62" t="inlineStr">
        <is>
          <t>A 43645-2024</t>
        </is>
      </c>
      <c r="B62" s="1" t="n">
        <v>45569</v>
      </c>
      <c r="C62" s="1" t="n">
        <v>45672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43645-2024 artfynd.xlsx", "A 43645-2024")</f>
        <v/>
      </c>
      <c r="T62">
        <f>HYPERLINK("https://klasma.github.io/Logging_0360/kartor/A 43645-2024 karta.png", "A 43645-2024")</f>
        <v/>
      </c>
      <c r="V62">
        <f>HYPERLINK("https://klasma.github.io/Logging_0360/klagomål/A 43645-2024 FSC-klagomål.docx", "A 43645-2024")</f>
        <v/>
      </c>
      <c r="W62">
        <f>HYPERLINK("https://klasma.github.io/Logging_0360/klagomålsmail/A 43645-2024 FSC-klagomål mail.docx", "A 43645-2024")</f>
        <v/>
      </c>
      <c r="X62">
        <f>HYPERLINK("https://klasma.github.io/Logging_0360/tillsyn/A 43645-2024 tillsynsbegäran.docx", "A 43645-2024")</f>
        <v/>
      </c>
      <c r="Y62">
        <f>HYPERLINK("https://klasma.github.io/Logging_0360/tillsynsmail/A 43645-2024 tillsynsbegäran mail.docx", "A 43645-2024")</f>
        <v/>
      </c>
      <c r="Z62">
        <f>HYPERLINK("https://klasma.github.io/Logging_0360/fåglar/A 43645-2024 prioriterade fågelarter.docx", "A 43645-2024")</f>
        <v/>
      </c>
    </row>
    <row r="63" ht="15" customHeight="1">
      <c r="A63" t="inlineStr">
        <is>
          <t>A 43642-2024</t>
        </is>
      </c>
      <c r="B63" s="1" t="n">
        <v>45569</v>
      </c>
      <c r="C63" s="1" t="n">
        <v>45672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43642-2024 artfynd.xlsx", "A 43642-2024")</f>
        <v/>
      </c>
      <c r="T63">
        <f>HYPERLINK("https://klasma.github.io/Logging_0360/kartor/A 43642-2024 karta.png", "A 43642-2024")</f>
        <v/>
      </c>
      <c r="V63">
        <f>HYPERLINK("https://klasma.github.io/Logging_0360/klagomål/A 43642-2024 FSC-klagomål.docx", "A 43642-2024")</f>
        <v/>
      </c>
      <c r="W63">
        <f>HYPERLINK("https://klasma.github.io/Logging_0360/klagomålsmail/A 43642-2024 FSC-klagomål mail.docx", "A 43642-2024")</f>
        <v/>
      </c>
      <c r="X63">
        <f>HYPERLINK("https://klasma.github.io/Logging_0360/tillsyn/A 43642-2024 tillsynsbegäran.docx", "A 43642-2024")</f>
        <v/>
      </c>
      <c r="Y63">
        <f>HYPERLINK("https://klasma.github.io/Logging_0360/tillsynsmail/A 43642-2024 tillsynsbegäran mail.docx", "A 43642-2024")</f>
        <v/>
      </c>
      <c r="Z63">
        <f>HYPERLINK("https://klasma.github.io/Logging_0360/fåglar/A 43642-2024 prioriterade fågelarter.docx", "A 43642-2024")</f>
        <v/>
      </c>
    </row>
    <row r="64" ht="15" customHeight="1">
      <c r="A64" t="inlineStr">
        <is>
          <t>A 58146-2024</t>
        </is>
      </c>
      <c r="B64" s="1" t="n">
        <v>45632</v>
      </c>
      <c r="C64" s="1" t="n">
        <v>45672</v>
      </c>
      <c r="D64" t="inlineStr">
        <is>
          <t>UPPSALA LÄN</t>
        </is>
      </c>
      <c r="E64" t="inlineStr">
        <is>
          <t>TIERP</t>
        </is>
      </c>
      <c r="G64" t="n">
        <v>11.8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Vårärt
Blåsippa</t>
        </is>
      </c>
      <c r="S64">
        <f>HYPERLINK("https://klasma.github.io/Logging_0360/artfynd/A 58146-2024 artfynd.xlsx", "A 58146-2024")</f>
        <v/>
      </c>
      <c r="T64">
        <f>HYPERLINK("https://klasma.github.io/Logging_0360/kartor/A 58146-2024 karta.png", "A 58146-2024")</f>
        <v/>
      </c>
      <c r="V64">
        <f>HYPERLINK("https://klasma.github.io/Logging_0360/klagomål/A 58146-2024 FSC-klagomål.docx", "A 58146-2024")</f>
        <v/>
      </c>
      <c r="W64">
        <f>HYPERLINK("https://klasma.github.io/Logging_0360/klagomålsmail/A 58146-2024 FSC-klagomål mail.docx", "A 58146-2024")</f>
        <v/>
      </c>
      <c r="X64">
        <f>HYPERLINK("https://klasma.github.io/Logging_0360/tillsyn/A 58146-2024 tillsynsbegäran.docx", "A 58146-2024")</f>
        <v/>
      </c>
      <c r="Y64">
        <f>HYPERLINK("https://klasma.github.io/Logging_0360/tillsynsmail/A 58146-2024 tillsynsbegäran mail.docx", "A 58146-2024")</f>
        <v/>
      </c>
    </row>
    <row r="65" ht="15" customHeight="1">
      <c r="A65" t="inlineStr">
        <is>
          <t>A 30583-2019</t>
        </is>
      </c>
      <c r="B65" s="1" t="n">
        <v>43635</v>
      </c>
      <c r="C65" s="1" t="n">
        <v>45672</v>
      </c>
      <c r="D65" t="inlineStr">
        <is>
          <t>UPPSALA LÄN</t>
        </is>
      </c>
      <c r="E65" t="inlineStr">
        <is>
          <t>TIERP</t>
        </is>
      </c>
      <c r="G65" t="n">
        <v>1.9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Guckusko</t>
        </is>
      </c>
      <c r="S65">
        <f>HYPERLINK("https://klasma.github.io/Logging_0360/artfynd/A 30583-2019 artfynd.xlsx", "A 30583-2019")</f>
        <v/>
      </c>
      <c r="T65">
        <f>HYPERLINK("https://klasma.github.io/Logging_0360/kartor/A 30583-2019 karta.png", "A 30583-2019")</f>
        <v/>
      </c>
      <c r="V65">
        <f>HYPERLINK("https://klasma.github.io/Logging_0360/klagomål/A 30583-2019 FSC-klagomål.docx", "A 30583-2019")</f>
        <v/>
      </c>
      <c r="W65">
        <f>HYPERLINK("https://klasma.github.io/Logging_0360/klagomålsmail/A 30583-2019 FSC-klagomål mail.docx", "A 30583-2019")</f>
        <v/>
      </c>
      <c r="X65">
        <f>HYPERLINK("https://klasma.github.io/Logging_0360/tillsyn/A 30583-2019 tillsynsbegäran.docx", "A 30583-2019")</f>
        <v/>
      </c>
      <c r="Y65">
        <f>HYPERLINK("https://klasma.github.io/Logging_0360/tillsynsmail/A 30583-2019 tillsynsbegäran mail.docx", "A 30583-2019")</f>
        <v/>
      </c>
    </row>
    <row r="66" ht="15" customHeight="1">
      <c r="A66" t="inlineStr">
        <is>
          <t>A 33753-2019</t>
        </is>
      </c>
      <c r="B66" s="1" t="n">
        <v>43651</v>
      </c>
      <c r="C66" s="1" t="n">
        <v>45672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HYPERLINK("https://klasma.github.io/Logging_0360/artfynd/A 33753-2019 artfynd.xlsx", "A 33753-2019")</f>
        <v/>
      </c>
      <c r="T66">
        <f>HYPERLINK("https://klasma.github.io/Logging_0360/kartor/A 33753-2019 karta.png", "A 33753-2019")</f>
        <v/>
      </c>
      <c r="V66">
        <f>HYPERLINK("https://klasma.github.io/Logging_0360/klagomål/A 33753-2019 FSC-klagomål.docx", "A 33753-2019")</f>
        <v/>
      </c>
      <c r="W66">
        <f>HYPERLINK("https://klasma.github.io/Logging_0360/klagomålsmail/A 33753-2019 FSC-klagomål mail.docx", "A 33753-2019")</f>
        <v/>
      </c>
      <c r="X66">
        <f>HYPERLINK("https://klasma.github.io/Logging_0360/tillsyn/A 33753-2019 tillsynsbegäran.docx", "A 33753-2019")</f>
        <v/>
      </c>
      <c r="Y66">
        <f>HYPERLINK("https://klasma.github.io/Logging_0360/tillsynsmail/A 33753-2019 tillsynsbegäran mail.docx", "A 33753-2019")</f>
        <v/>
      </c>
    </row>
    <row r="67" ht="15" customHeight="1">
      <c r="A67" t="inlineStr">
        <is>
          <t>A 2391-2020</t>
        </is>
      </c>
      <c r="B67" s="1" t="n">
        <v>43847</v>
      </c>
      <c r="C67" s="1" t="n">
        <v>45672</v>
      </c>
      <c r="D67" t="inlineStr">
        <is>
          <t>UPPSALA LÄN</t>
        </is>
      </c>
      <c r="E67" t="inlineStr">
        <is>
          <t>TIERP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Äggspindling</t>
        </is>
      </c>
      <c r="S67">
        <f>HYPERLINK("https://klasma.github.io/Logging_0360/artfynd/A 2391-2020 artfynd.xlsx", "A 2391-2020")</f>
        <v/>
      </c>
      <c r="T67">
        <f>HYPERLINK("https://klasma.github.io/Logging_0360/kartor/A 2391-2020 karta.png", "A 2391-2020")</f>
        <v/>
      </c>
      <c r="V67">
        <f>HYPERLINK("https://klasma.github.io/Logging_0360/klagomål/A 2391-2020 FSC-klagomål.docx", "A 2391-2020")</f>
        <v/>
      </c>
      <c r="W67">
        <f>HYPERLINK("https://klasma.github.io/Logging_0360/klagomålsmail/A 2391-2020 FSC-klagomål mail.docx", "A 2391-2020")</f>
        <v/>
      </c>
      <c r="X67">
        <f>HYPERLINK("https://klasma.github.io/Logging_0360/tillsyn/A 2391-2020 tillsynsbegäran.docx", "A 2391-2020")</f>
        <v/>
      </c>
      <c r="Y67">
        <f>HYPERLINK("https://klasma.github.io/Logging_0360/tillsynsmail/A 2391-2020 tillsynsbegäran mail.docx", "A 2391-2020")</f>
        <v/>
      </c>
    </row>
    <row r="68" ht="15" customHeight="1">
      <c r="A68" t="inlineStr">
        <is>
          <t>A 2835-2020</t>
        </is>
      </c>
      <c r="B68" s="1" t="n">
        <v>43850</v>
      </c>
      <c r="C68" s="1" t="n">
        <v>45672</v>
      </c>
      <c r="D68" t="inlineStr">
        <is>
          <t>UPPSALA LÄN</t>
        </is>
      </c>
      <c r="E68" t="inlineStr">
        <is>
          <t>TIERP</t>
        </is>
      </c>
      <c r="G68" t="n">
        <v>7.6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Kamjordstjärna</t>
        </is>
      </c>
      <c r="S68">
        <f>HYPERLINK("https://klasma.github.io/Logging_0360/artfynd/A 2835-2020 artfynd.xlsx", "A 2835-2020")</f>
        <v/>
      </c>
      <c r="T68">
        <f>HYPERLINK("https://klasma.github.io/Logging_0360/kartor/A 2835-2020 karta.png", "A 2835-2020")</f>
        <v/>
      </c>
      <c r="V68">
        <f>HYPERLINK("https://klasma.github.io/Logging_0360/klagomål/A 2835-2020 FSC-klagomål.docx", "A 2835-2020")</f>
        <v/>
      </c>
      <c r="W68">
        <f>HYPERLINK("https://klasma.github.io/Logging_0360/klagomålsmail/A 2835-2020 FSC-klagomål mail.docx", "A 2835-2020")</f>
        <v/>
      </c>
      <c r="X68">
        <f>HYPERLINK("https://klasma.github.io/Logging_0360/tillsyn/A 2835-2020 tillsynsbegäran.docx", "A 2835-2020")</f>
        <v/>
      </c>
      <c r="Y68">
        <f>HYPERLINK("https://klasma.github.io/Logging_0360/tillsynsmail/A 2835-2020 tillsynsbegäran mail.docx", "A 2835-2020")</f>
        <v/>
      </c>
    </row>
    <row r="69" ht="15" customHeight="1">
      <c r="A69" t="inlineStr">
        <is>
          <t>A 5316-2020</t>
        </is>
      </c>
      <c r="B69" s="1" t="n">
        <v>43860</v>
      </c>
      <c r="C69" s="1" t="n">
        <v>45672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18.2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HYPERLINK("https://klasma.github.io/Logging_0360/artfynd/A 5316-2020 artfynd.xlsx", "A 5316-2020")</f>
        <v/>
      </c>
      <c r="T69">
        <f>HYPERLINK("https://klasma.github.io/Logging_0360/kartor/A 5316-2020 karta.png", "A 5316-2020")</f>
        <v/>
      </c>
      <c r="V69">
        <f>HYPERLINK("https://klasma.github.io/Logging_0360/klagomål/A 5316-2020 FSC-klagomål.docx", "A 5316-2020")</f>
        <v/>
      </c>
      <c r="W69">
        <f>HYPERLINK("https://klasma.github.io/Logging_0360/klagomålsmail/A 5316-2020 FSC-klagomål mail.docx", "A 5316-2020")</f>
        <v/>
      </c>
      <c r="X69">
        <f>HYPERLINK("https://klasma.github.io/Logging_0360/tillsyn/A 5316-2020 tillsynsbegäran.docx", "A 5316-2020")</f>
        <v/>
      </c>
      <c r="Y69">
        <f>HYPERLINK("https://klasma.github.io/Logging_0360/tillsynsmail/A 5316-2020 tillsynsbegäran mail.docx", "A 5316-2020")</f>
        <v/>
      </c>
      <c r="Z69">
        <f>HYPERLINK("https://klasma.github.io/Logging_0360/fåglar/A 5316-2020 prioriterade fågelarter.docx", "A 5316-2020")</f>
        <v/>
      </c>
    </row>
    <row r="70" ht="15" customHeight="1">
      <c r="A70" t="inlineStr">
        <is>
          <t>A 14008-2020</t>
        </is>
      </c>
      <c r="B70" s="1" t="n">
        <v>43906</v>
      </c>
      <c r="C70" s="1" t="n">
        <v>45672</v>
      </c>
      <c r="D70" t="inlineStr">
        <is>
          <t>UPPSALA LÄN</t>
        </is>
      </c>
      <c r="E70" t="inlineStr">
        <is>
          <t>TIERP</t>
        </is>
      </c>
      <c r="G70" t="n">
        <v>22.3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HYPERLINK("https://klasma.github.io/Logging_0360/artfynd/A 14008-2020 artfynd.xlsx", "A 14008-2020")</f>
        <v/>
      </c>
      <c r="T70">
        <f>HYPERLINK("https://klasma.github.io/Logging_0360/kartor/A 14008-2020 karta.png", "A 14008-2020")</f>
        <v/>
      </c>
      <c r="V70">
        <f>HYPERLINK("https://klasma.github.io/Logging_0360/klagomål/A 14008-2020 FSC-klagomål.docx", "A 14008-2020")</f>
        <v/>
      </c>
      <c r="W70">
        <f>HYPERLINK("https://klasma.github.io/Logging_0360/klagomålsmail/A 14008-2020 FSC-klagomål mail.docx", "A 14008-2020")</f>
        <v/>
      </c>
      <c r="X70">
        <f>HYPERLINK("https://klasma.github.io/Logging_0360/tillsyn/A 14008-2020 tillsynsbegäran.docx", "A 14008-2020")</f>
        <v/>
      </c>
      <c r="Y70">
        <f>HYPERLINK("https://klasma.github.io/Logging_0360/tillsynsmail/A 14008-2020 tillsynsbegäran mail.docx", "A 14008-2020")</f>
        <v/>
      </c>
    </row>
    <row r="71" ht="15" customHeight="1">
      <c r="A71" t="inlineStr">
        <is>
          <t>A 18773-2020</t>
        </is>
      </c>
      <c r="B71" s="1" t="n">
        <v>43930</v>
      </c>
      <c r="C71" s="1" t="n">
        <v>45672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HYPERLINK("https://klasma.github.io/Logging_0360/artfynd/A 18773-2020 artfynd.xlsx", "A 18773-2020")</f>
        <v/>
      </c>
      <c r="T71">
        <f>HYPERLINK("https://klasma.github.io/Logging_0360/kartor/A 18773-2020 karta.png", "A 18773-2020")</f>
        <v/>
      </c>
      <c r="V71">
        <f>HYPERLINK("https://klasma.github.io/Logging_0360/klagomål/A 18773-2020 FSC-klagomål.docx", "A 18773-2020")</f>
        <v/>
      </c>
      <c r="W71">
        <f>HYPERLINK("https://klasma.github.io/Logging_0360/klagomålsmail/A 18773-2020 FSC-klagomål mail.docx", "A 18773-2020")</f>
        <v/>
      </c>
      <c r="X71">
        <f>HYPERLINK("https://klasma.github.io/Logging_0360/tillsyn/A 18773-2020 tillsynsbegäran.docx", "A 18773-2020")</f>
        <v/>
      </c>
      <c r="Y71">
        <f>HYPERLINK("https://klasma.github.io/Logging_0360/tillsynsmail/A 18773-2020 tillsynsbegäran mail.docx", "A 18773-2020")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45672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45672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45672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45672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45672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45672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45672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45672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45672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45672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45672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45672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45672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4544-2023</t>
        </is>
      </c>
      <c r="B85" s="1" t="n">
        <v>44956</v>
      </c>
      <c r="C85" s="1" t="n">
        <v>45672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4544-2023 artfynd.xlsx", "A 4544-2023")</f>
        <v/>
      </c>
      <c r="T85">
        <f>HYPERLINK("https://klasma.github.io/Logging_0360/kartor/A 4544-2023 karta.png", "A 4544-2023")</f>
        <v/>
      </c>
      <c r="V85">
        <f>HYPERLINK("https://klasma.github.io/Logging_0360/klagomål/A 4544-2023 FSC-klagomål.docx", "A 4544-2023")</f>
        <v/>
      </c>
      <c r="W85">
        <f>HYPERLINK("https://klasma.github.io/Logging_0360/klagomålsmail/A 4544-2023 FSC-klagomål mail.docx", "A 4544-2023")</f>
        <v/>
      </c>
      <c r="X85">
        <f>HYPERLINK("https://klasma.github.io/Logging_0360/tillsyn/A 4544-2023 tillsynsbegäran.docx", "A 4544-2023")</f>
        <v/>
      </c>
      <c r="Y85">
        <f>HYPERLINK("https://klasma.github.io/Logging_0360/tillsynsmail/A 4544-2023 tillsynsbegäran mail.docx", "A 4544-2023")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45672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45672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45672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45672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45672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45672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45672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45672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45672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45672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45672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45672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45672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45672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45672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45672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45672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45672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45672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45672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45672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45672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45672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45672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45672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45672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45672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45672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45672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45672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45672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45672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45672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45672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45672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45672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45672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45672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45672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45672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45672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45672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45672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45672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45672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45672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45672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45672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45672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45672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45672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45672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45672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45672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45672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45672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45672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45672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45672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45672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45672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45672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45672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45672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45672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45672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45672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45672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45672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45672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45672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45672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45672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45672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45672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45672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45672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45672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45672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45672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45672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45672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45672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45672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45672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45672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45672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45672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45672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45672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45672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45672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45672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45672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45672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45672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45672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45672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45672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45672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45672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45672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45672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45672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45672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45672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45672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45672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45672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45672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45672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45672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45672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45672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45672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45672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45672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45672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45672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45672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45672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45672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45672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45672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45672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45672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45672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45672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45672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45672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45672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45672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45672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45672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45672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45672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45672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45672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45672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45672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45672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45672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45672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45672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45672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45672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45672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45672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45672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45672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45672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45672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45672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45672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45672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45672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45672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45672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45672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45672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45672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45672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45672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45672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45672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45672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45672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45672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45672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45672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45672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45672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45672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45672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45672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45672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45672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45672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45672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45672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45672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45672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45672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45672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45672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45672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45672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45672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45672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45672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45672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45672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45672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45672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45672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45672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45672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45672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45672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45672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45672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45672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45672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45672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45672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45672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45672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45672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45672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45672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45672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45672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45672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45672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45672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45672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45672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45672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45672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45672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45672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45672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45672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45672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45672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45672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45672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45672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45672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45672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45672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45672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45672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45672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45672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45672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45672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45672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45672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45672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45672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45672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45672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45672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45672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45672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45672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45672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45672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45672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45672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45672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45672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45672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45672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45672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45672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45672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45672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45672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45672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45672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45672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45672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45672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45672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45672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45672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45672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45672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45672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45672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45672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45672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45672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45672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45672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45672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45672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45672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45672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45672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45672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45672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45672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45672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45672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45672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45672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45672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45672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45672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45672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45672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45672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45672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45672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45672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45672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45672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45672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45672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45672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45672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45672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45672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45672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45672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45672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45672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45672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45672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45672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45672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45672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45672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45672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45672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45672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45672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45672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45672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45672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45672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45672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45672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45672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45672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45672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45672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45672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45672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45672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45672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45672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45672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45672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45672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45672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45672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45672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45672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45672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45672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45672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45672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45672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45672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45672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45672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45672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45672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45672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45672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45672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45672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45672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45672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45672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45672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45672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45672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45672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45672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45672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45672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45672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45672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45672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45672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45672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45672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45672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45672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45672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45672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45672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45672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45672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45672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45672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45672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45672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45672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45672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45672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45672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45672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45672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45672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45672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45672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45672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45672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45672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45672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45672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45672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45672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45672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45672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45672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45672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45672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45672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45672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45672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45672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45672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45672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45672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45672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45672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45672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45672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45672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45672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45672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45672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45672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45672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45672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45672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45672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45672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45672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45672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45672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45672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45672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45672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45672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45672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45672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45672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45672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45672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45672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45672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45672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45672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45672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45672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45672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45672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45672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45672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45672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45672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45672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45672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45672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45672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45672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45672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45672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45672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45672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45672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45672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45672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45672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45672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45672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45672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45672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45672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45672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45672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45672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45672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45672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45672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45672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45672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45672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45672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45672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45672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45672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45672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45672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45672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45672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45672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45672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45672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45672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45672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45672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45672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45672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45672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45672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45672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45672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45672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45672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45672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45672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45672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45672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45672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45672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45672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45672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45672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45672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45672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45672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45672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45672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45672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45672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45672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45672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45672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45672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45672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45672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45672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45672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45672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45672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45672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45672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45672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45672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45672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45672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45672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45672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45672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45672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45672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45672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45672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45672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45672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45672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45672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45672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45672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45672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45672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45672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45672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45672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45672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45672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45672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45672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45672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45672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45672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45672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45672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45672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45672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45672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45672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45672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45672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45672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45672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45672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45672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45672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45672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45672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45672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45672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45672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45672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45672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45672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45672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45672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45672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45672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45672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45672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45672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45672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45672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45672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45672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45672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45672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45672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45672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45672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45672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45672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45672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45672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45672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45672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45672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45672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45672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45672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45672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45672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45672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45672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45672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45672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45672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45672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45672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45672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45672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45672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45672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45672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45672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45672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45672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45672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45672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45672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45672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45672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45672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45672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45672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45672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45672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45672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45672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45672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45672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45672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45672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45672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45672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45672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45672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45672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45672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45672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45672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45672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45672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45672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45672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45672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45672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45672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45672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45672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45672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45672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45672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45672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45672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45672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45672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45672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45672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45672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45672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45672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45672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45672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45672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45672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45672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45672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45672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45672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45672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45672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45672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45672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45672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45672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45672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45672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45672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45672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45672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45672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45672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45672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45672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45672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45672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45672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45672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45672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45672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45672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45672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45672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45672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45672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45672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45672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45672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45672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45672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45672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45672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45672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45672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45672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45672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45672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45672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45672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45672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45672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45672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45672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45672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45672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45672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45672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45672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45672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45672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45672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45672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45672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45672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45672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45672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45672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45672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45672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45672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45672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45672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45672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45672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45672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45672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45672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45672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45672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45672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45672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45672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45672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45672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45672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45672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45672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45672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45672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45672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45672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45672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45672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45672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45672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45672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45672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45672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45672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45672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45672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45672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45672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45672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45672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45672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45672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45672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45672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45672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45672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45672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45672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45672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45672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45672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45672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45672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45672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45672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45672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45672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45672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45672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45672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45672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45672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45672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45672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45672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45672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45672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45672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45672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45672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45672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45672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45672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45672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45672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45672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45672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45672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45672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45672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45672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45672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45672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45672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45672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45672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45672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45672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45672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45672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45672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45672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45672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45672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45672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45672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45672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45672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45672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45672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45672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45672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45672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45672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45672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45672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45672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45672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45672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45672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45672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45672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45672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45672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45672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45672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45672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45672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45672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45672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45672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45672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45672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45672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45672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45672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45672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45672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45672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45672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45672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45672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45672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45672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45672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45672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45672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45672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45672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45672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45672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45672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45672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45672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45672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45672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45672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45672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45672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45672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45672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45672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45672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45672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45672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45672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45672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45672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45672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45672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45672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45672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45672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45672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45672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45672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45672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45672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45672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45672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45672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45672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45672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45672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45672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45672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45672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45672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45672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45672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45672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45672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45672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45672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45672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45672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45672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45672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45672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45672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45672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45672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45672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45672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45672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45672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45672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45672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45672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45672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45672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45672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45672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45672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45672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45672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45672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45672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45672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45672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45672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45672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45672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45672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45672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45672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45672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45672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45672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45672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45672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45672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45672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45672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57829-2024</t>
        </is>
      </c>
      <c r="B1038" s="1" t="n">
        <v>45631</v>
      </c>
      <c r="C1038" s="1" t="n">
        <v>45672</v>
      </c>
      <c r="D1038" t="inlineStr">
        <is>
          <t>UPPSALA LÄN</t>
        </is>
      </c>
      <c r="E1038" t="inlineStr">
        <is>
          <t>TIERP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57961-2024</t>
        </is>
      </c>
      <c r="B1039" s="1" t="n">
        <v>45631</v>
      </c>
      <c r="C1039" s="1" t="n">
        <v>45672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57931-2024</t>
        </is>
      </c>
      <c r="B1040" s="1" t="n">
        <v>45631</v>
      </c>
      <c r="C1040" s="1" t="n">
        <v>45672</v>
      </c>
      <c r="D1040" t="inlineStr">
        <is>
          <t>UPPSALA LÄN</t>
        </is>
      </c>
      <c r="E1040" t="inlineStr">
        <is>
          <t>TIERP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57934-2024</t>
        </is>
      </c>
      <c r="B1041" s="1" t="n">
        <v>45631</v>
      </c>
      <c r="C1041" s="1" t="n">
        <v>45672</v>
      </c>
      <c r="D1041" t="inlineStr">
        <is>
          <t>UPPSALA LÄN</t>
        </is>
      </c>
      <c r="E1041" t="inlineStr">
        <is>
          <t>TIERP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57938-2024</t>
        </is>
      </c>
      <c r="B1042" s="1" t="n">
        <v>45631</v>
      </c>
      <c r="C1042" s="1" t="n">
        <v>45672</v>
      </c>
      <c r="D1042" t="inlineStr">
        <is>
          <t>UPPSALA LÄN</t>
        </is>
      </c>
      <c r="E1042" t="inlineStr">
        <is>
          <t>TIERP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58252-2024</t>
        </is>
      </c>
      <c r="B1043" s="1" t="n">
        <v>45632</v>
      </c>
      <c r="C1043" s="1" t="n">
        <v>45672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58264-2024</t>
        </is>
      </c>
      <c r="B1044" s="1" t="n">
        <v>45632</v>
      </c>
      <c r="C1044" s="1" t="n">
        <v>45672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58232-2024</t>
        </is>
      </c>
      <c r="B1045" s="1" t="n">
        <v>45632</v>
      </c>
      <c r="C1045" s="1" t="n">
        <v>45672</v>
      </c>
      <c r="D1045" t="inlineStr">
        <is>
          <t>UPPSALA LÄN</t>
        </is>
      </c>
      <c r="E1045" t="inlineStr">
        <is>
          <t>TIERP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45672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45672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45672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59211-2024</t>
        </is>
      </c>
      <c r="B1049" s="1" t="n">
        <v>45637</v>
      </c>
      <c r="C1049" s="1" t="n">
        <v>45672</v>
      </c>
      <c r="D1049" t="inlineStr">
        <is>
          <t>UPPSALA LÄN</t>
        </is>
      </c>
      <c r="E1049" t="inlineStr">
        <is>
          <t>TIERP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59244-2024</t>
        </is>
      </c>
      <c r="B1050" s="1" t="n">
        <v>45637</v>
      </c>
      <c r="C1050" s="1" t="n">
        <v>45672</v>
      </c>
      <c r="D1050" t="inlineStr">
        <is>
          <t>UPPSALA LÄN</t>
        </is>
      </c>
      <c r="E1050" t="inlineStr">
        <is>
          <t>TIERP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59267-2024</t>
        </is>
      </c>
      <c r="B1051" s="1" t="n">
        <v>45637</v>
      </c>
      <c r="C1051" s="1" t="n">
        <v>45672</v>
      </c>
      <c r="D1051" t="inlineStr">
        <is>
          <t>UPPSALA LÄN</t>
        </is>
      </c>
      <c r="E1051" t="inlineStr">
        <is>
          <t>TIERP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45672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45672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60123-2024</t>
        </is>
      </c>
      <c r="B1054" s="1" t="n">
        <v>45642</v>
      </c>
      <c r="C1054" s="1" t="n">
        <v>45672</v>
      </c>
      <c r="D1054" t="inlineStr">
        <is>
          <t>UPPSALA LÄN</t>
        </is>
      </c>
      <c r="E1054" t="inlineStr">
        <is>
          <t>TIERP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60129-2024</t>
        </is>
      </c>
      <c r="B1055" s="1" t="n">
        <v>45642</v>
      </c>
      <c r="C1055" s="1" t="n">
        <v>45672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60136-2024</t>
        </is>
      </c>
      <c r="B1056" s="1" t="n">
        <v>45642</v>
      </c>
      <c r="C1056" s="1" t="n">
        <v>45672</v>
      </c>
      <c r="D1056" t="inlineStr">
        <is>
          <t>UPPSALA LÄN</t>
        </is>
      </c>
      <c r="E1056" t="inlineStr">
        <is>
          <t>TIERP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60011-2024</t>
        </is>
      </c>
      <c r="B1057" s="1" t="n">
        <v>45642</v>
      </c>
      <c r="C1057" s="1" t="n">
        <v>45672</v>
      </c>
      <c r="D1057" t="inlineStr">
        <is>
          <t>UPPSALA LÄN</t>
        </is>
      </c>
      <c r="E1057" t="inlineStr">
        <is>
          <t>TIERP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60014-2024</t>
        </is>
      </c>
      <c r="B1058" s="1" t="n">
        <v>45642</v>
      </c>
      <c r="C1058" s="1" t="n">
        <v>45672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60314-2024</t>
        </is>
      </c>
      <c r="B1059" s="1" t="n">
        <v>45643</v>
      </c>
      <c r="C1059" s="1" t="n">
        <v>45672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60304-2024</t>
        </is>
      </c>
      <c r="B1060" s="1" t="n">
        <v>45643</v>
      </c>
      <c r="C1060" s="1" t="n">
        <v>45672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60357-2024</t>
        </is>
      </c>
      <c r="B1061" s="1" t="n">
        <v>45643</v>
      </c>
      <c r="C1061" s="1" t="n">
        <v>45672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45672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61156-2024</t>
        </is>
      </c>
      <c r="B1063" s="1" t="n">
        <v>45645</v>
      </c>
      <c r="C1063" s="1" t="n">
        <v>45672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61230-2024</t>
        </is>
      </c>
      <c r="B1064" s="1" t="n">
        <v>45645</v>
      </c>
      <c r="C1064" s="1" t="n">
        <v>45672</v>
      </c>
      <c r="D1064" t="inlineStr">
        <is>
          <t>UPPSALA LÄN</t>
        </is>
      </c>
      <c r="E1064" t="inlineStr">
        <is>
          <t>TIERP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HYPERLINK("https://klasma.github.io/Logging_0360/knärot/A 61230-2024 karta knärot.png", "A 61230-2024")</f>
        <v/>
      </c>
      <c r="V1064">
        <f>HYPERLINK("https://klasma.github.io/Logging_0360/klagomål/A 61230-2024 FSC-klagomål.docx", "A 61230-2024")</f>
        <v/>
      </c>
      <c r="W1064">
        <f>HYPERLINK("https://klasma.github.io/Logging_0360/klagomålsmail/A 61230-2024 FSC-klagomål mail.docx", "A 61230-2024")</f>
        <v/>
      </c>
      <c r="X1064">
        <f>HYPERLINK("https://klasma.github.io/Logging_0360/tillsyn/A 61230-2024 tillsynsbegäran.docx", "A 61230-2024")</f>
        <v/>
      </c>
      <c r="Y1064">
        <f>HYPERLINK("https://klasma.github.io/Logging_0360/tillsynsmail/A 61230-2024 tillsynsbegäran mail.docx", "A 61230-2024")</f>
        <v/>
      </c>
    </row>
    <row r="1065" ht="15" customHeight="1">
      <c r="A1065" t="inlineStr">
        <is>
          <t>A 61152-2024</t>
        </is>
      </c>
      <c r="B1065" s="1" t="n">
        <v>45645</v>
      </c>
      <c r="C1065" s="1" t="n">
        <v>45672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61248-2024</t>
        </is>
      </c>
      <c r="B1066" s="1" t="n">
        <v>45645</v>
      </c>
      <c r="C1066" s="1" t="n">
        <v>45672</v>
      </c>
      <c r="D1066" t="inlineStr">
        <is>
          <t>UPPSALA LÄN</t>
        </is>
      </c>
      <c r="E1066" t="inlineStr">
        <is>
          <t>TIERP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61280-2024</t>
        </is>
      </c>
      <c r="B1067" s="1" t="n">
        <v>45645</v>
      </c>
      <c r="C1067" s="1" t="n">
        <v>45672</v>
      </c>
      <c r="D1067" t="inlineStr">
        <is>
          <t>UPPSALA LÄN</t>
        </is>
      </c>
      <c r="E1067" t="inlineStr">
        <is>
          <t>TIERP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60985-2024</t>
        </is>
      </c>
      <c r="B1068" s="1" t="n">
        <v>45645</v>
      </c>
      <c r="C1068" s="1" t="n">
        <v>45672</v>
      </c>
      <c r="D1068" t="inlineStr">
        <is>
          <t>UPPSALA LÄN</t>
        </is>
      </c>
      <c r="E1068" t="inlineStr">
        <is>
          <t>TIERP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61149-2024</t>
        </is>
      </c>
      <c r="B1069" s="1" t="n">
        <v>45645</v>
      </c>
      <c r="C1069" s="1" t="n">
        <v>45672</v>
      </c>
      <c r="D1069" t="inlineStr">
        <is>
          <t>UPPSALA LÄN</t>
        </is>
      </c>
      <c r="E1069" t="inlineStr">
        <is>
          <t>TIERP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61154-2024</t>
        </is>
      </c>
      <c r="B1070" s="1" t="n">
        <v>45645</v>
      </c>
      <c r="C1070" s="1" t="n">
        <v>45672</v>
      </c>
      <c r="D1070" t="inlineStr">
        <is>
          <t>UPPSALA LÄN</t>
        </is>
      </c>
      <c r="E1070" t="inlineStr">
        <is>
          <t>TIERP</t>
        </is>
      </c>
      <c r="F1070" t="inlineStr">
        <is>
          <t>Bergvik skog väst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61246-2024</t>
        </is>
      </c>
      <c r="B1071" s="1" t="n">
        <v>45645</v>
      </c>
      <c r="C1071" s="1" t="n">
        <v>45672</v>
      </c>
      <c r="D1071" t="inlineStr">
        <is>
          <t>UPPSALA LÄN</t>
        </is>
      </c>
      <c r="E1071" t="inlineStr">
        <is>
          <t>TIERP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61412-2024</t>
        </is>
      </c>
      <c r="B1072" s="1" t="n">
        <v>45646</v>
      </c>
      <c r="C1072" s="1" t="n">
        <v>45672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61518-2024</t>
        </is>
      </c>
      <c r="B1073" s="1" t="n">
        <v>45646</v>
      </c>
      <c r="C1073" s="1" t="n">
        <v>45672</v>
      </c>
      <c r="D1073" t="inlineStr">
        <is>
          <t>UPPSALA LÄN</t>
        </is>
      </c>
      <c r="E1073" t="inlineStr">
        <is>
          <t>TIERP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61526-2024</t>
        </is>
      </c>
      <c r="B1074" s="1" t="n">
        <v>45646</v>
      </c>
      <c r="C1074" s="1" t="n">
        <v>45672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61395-2024</t>
        </is>
      </c>
      <c r="B1075" s="1" t="n">
        <v>45646</v>
      </c>
      <c r="C1075" s="1" t="n">
        <v>45672</v>
      </c>
      <c r="D1075" t="inlineStr">
        <is>
          <t>UPPSALA LÄN</t>
        </is>
      </c>
      <c r="E1075" t="inlineStr">
        <is>
          <t>TIERP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61739-2024</t>
        </is>
      </c>
      <c r="B1076" s="1" t="n">
        <v>45649</v>
      </c>
      <c r="C1076" s="1" t="n">
        <v>45672</v>
      </c>
      <c r="D1076" t="inlineStr">
        <is>
          <t>UPPSALA LÄN</t>
        </is>
      </c>
      <c r="E1076" t="inlineStr">
        <is>
          <t>TIERP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61827-2024</t>
        </is>
      </c>
      <c r="B1077" s="1" t="n">
        <v>45649</v>
      </c>
      <c r="C1077" s="1" t="n">
        <v>45672</v>
      </c>
      <c r="D1077" t="inlineStr">
        <is>
          <t>UPPSALA LÄN</t>
        </is>
      </c>
      <c r="E1077" t="inlineStr">
        <is>
          <t>TIERP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61842-2024</t>
        </is>
      </c>
      <c r="B1078" s="1" t="n">
        <v>45649</v>
      </c>
      <c r="C1078" s="1" t="n">
        <v>45672</v>
      </c>
      <c r="D1078" t="inlineStr">
        <is>
          <t>UPPSALA LÄN</t>
        </is>
      </c>
      <c r="E1078" t="inlineStr">
        <is>
          <t>TIERP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61832-2024</t>
        </is>
      </c>
      <c r="B1079" s="1" t="n">
        <v>45649</v>
      </c>
      <c r="C1079" s="1" t="n">
        <v>45672</v>
      </c>
      <c r="D1079" t="inlineStr">
        <is>
          <t>UPPSALA LÄN</t>
        </is>
      </c>
      <c r="E1079" t="inlineStr">
        <is>
          <t>TIERP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61836-2024</t>
        </is>
      </c>
      <c r="B1080" s="1" t="n">
        <v>45649</v>
      </c>
      <c r="C1080" s="1" t="n">
        <v>45672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61956-2024</t>
        </is>
      </c>
      <c r="B1081" s="1" t="n">
        <v>45653</v>
      </c>
      <c r="C1081" s="1" t="n">
        <v>45672</v>
      </c>
      <c r="D1081" t="inlineStr">
        <is>
          <t>UPPSALA LÄN</t>
        </is>
      </c>
      <c r="E1081" t="inlineStr">
        <is>
          <t>TIERP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62006-2024</t>
        </is>
      </c>
      <c r="B1082" s="1" t="n">
        <v>45655</v>
      </c>
      <c r="C1082" s="1" t="n">
        <v>45672</v>
      </c>
      <c r="D1082" t="inlineStr">
        <is>
          <t>UPPSALA LÄN</t>
        </is>
      </c>
      <c r="E1082" t="inlineStr">
        <is>
          <t>TIERP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62078-2024</t>
        </is>
      </c>
      <c r="B1083" s="1" t="n">
        <v>45656</v>
      </c>
      <c r="C1083" s="1" t="n">
        <v>45672</v>
      </c>
      <c r="D1083" t="inlineStr">
        <is>
          <t>UPPSALA LÄN</t>
        </is>
      </c>
      <c r="E1083" t="inlineStr">
        <is>
          <t>TIERP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130-2025</t>
        </is>
      </c>
      <c r="B1084" s="1" t="n">
        <v>45659</v>
      </c>
      <c r="C1084" s="1" t="n">
        <v>45672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66-2025</t>
        </is>
      </c>
      <c r="B1085" s="1" t="n">
        <v>45659</v>
      </c>
      <c r="C1085" s="1" t="n">
        <v>45672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128-2025</t>
        </is>
      </c>
      <c r="B1086" s="1" t="n">
        <v>45659</v>
      </c>
      <c r="C1086" s="1" t="n">
        <v>45672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129-2025</t>
        </is>
      </c>
      <c r="B1087" s="1" t="n">
        <v>45659</v>
      </c>
      <c r="C1087" s="1" t="n">
        <v>45672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162-2025</t>
        </is>
      </c>
      <c r="B1088" s="1" t="n">
        <v>45659</v>
      </c>
      <c r="C1088" s="1" t="n">
        <v>45672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22.4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220-2025</t>
        </is>
      </c>
      <c r="B1089" s="1" t="n">
        <v>45660</v>
      </c>
      <c r="C1089" s="1" t="n">
        <v>45672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234-2025</t>
        </is>
      </c>
      <c r="B1090" s="1" t="n">
        <v>45660</v>
      </c>
      <c r="C1090" s="1" t="n">
        <v>45672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697-2025</t>
        </is>
      </c>
      <c r="B1091" s="1" t="n">
        <v>45665</v>
      </c>
      <c r="C1091" s="1" t="n">
        <v>45672</v>
      </c>
      <c r="D1091" t="inlineStr">
        <is>
          <t>UPPSALA LÄN</t>
        </is>
      </c>
      <c r="E1091" t="inlineStr">
        <is>
          <t>TIERP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1056-2025</t>
        </is>
      </c>
      <c r="B1092" s="1" t="n">
        <v>45666</v>
      </c>
      <c r="C1092" s="1" t="n">
        <v>45672</v>
      </c>
      <c r="D1092" t="inlineStr">
        <is>
          <t>UPPSALA LÄN</t>
        </is>
      </c>
      <c r="E1092" t="inlineStr">
        <is>
          <t>TIERP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1229-2025</t>
        </is>
      </c>
      <c r="B1093" s="1" t="n">
        <v>45667</v>
      </c>
      <c r="C1093" s="1" t="n">
        <v>45672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7.7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1245-2025</t>
        </is>
      </c>
      <c r="B1094" s="1" t="n">
        <v>45667</v>
      </c>
      <c r="C1094" s="1" t="n">
        <v>45672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1202-2025</t>
        </is>
      </c>
      <c r="B1095" s="1" t="n">
        <v>45667</v>
      </c>
      <c r="C1095" s="1" t="n">
        <v>45672</v>
      </c>
      <c r="D1095" t="inlineStr">
        <is>
          <t>UPPSALA LÄN</t>
        </is>
      </c>
      <c r="E1095" t="inlineStr">
        <is>
          <t>TIERP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2025-01-15T15:59:24Z</dcterms:created>
  <dcterms:modified xmlns:dcterms="http://purl.org/dc/terms/" xmlns:xsi="http://www.w3.org/2001/XMLSchema-instance" xsi:type="dcterms:W3CDTF">2025-01-15T15:59:25Z</dcterms:modified>
</cp:coreProperties>
</file>