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45667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45667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45667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45667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45667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45667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45667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45667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45667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45667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45667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45667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45667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45667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45667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45667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45667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45667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45667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45667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45667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45667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45667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45667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45667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45667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45667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45667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45667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45667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45667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45667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45667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45667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45667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45667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45667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45667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45667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45667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45667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45667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45667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45667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45667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45667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45667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45667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45667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45667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45667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45667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45667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45667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45667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45667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45667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45667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45667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45667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45667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45667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45667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45667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45667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45667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45667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45667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45667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45667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45667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45667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45667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45667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45667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45667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45667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45667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45667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45667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45667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45667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45667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45667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45667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45667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45667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45667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45667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45667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45667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45667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45667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45667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45667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45667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45667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45667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45667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45667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45667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45667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45667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45667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45667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45667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45667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45667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45667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45667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45667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45667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45667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45667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45667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45667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45667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45667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45667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45667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45667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45667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45667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45667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45667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45667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45667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45667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45667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45667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45667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45667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45667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45667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45667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45667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45667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45667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45667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45667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45667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45667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45667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45667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45667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45667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45667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45667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45667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45667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45667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45667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45667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45667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45667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45667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45667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45667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45667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45667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45667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45667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45667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45667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45667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45667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45667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45667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45667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45667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45667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45667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45667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45667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45667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45667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45667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45667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45667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45667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45667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45667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45667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45667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45667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45667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45667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45667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45667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45667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45667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45667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45667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45667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45667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45667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45667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45667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45667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45667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45667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45667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45667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45667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45667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45667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45667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45667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45667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45667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45667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45667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45667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45667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45667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45667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45667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45667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45667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45667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45667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45667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45667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45667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45667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45667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45667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45667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45667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45667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45667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45667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45667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45667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45667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45667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45667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45667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45667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45667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45667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45667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45667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45667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45667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45667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45667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45667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45667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45667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45667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45667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45667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45667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45667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45667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45667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45667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45667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45667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45667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45667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45667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45667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45667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45667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45667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45667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45667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45667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45667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45667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45667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45667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45667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45667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45667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45667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45667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45667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45667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45667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45667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45667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45667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45667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45667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45667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45667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45667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45667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45667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45667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45667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45667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45667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45667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45667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45667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45667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45667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45667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45667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45667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45667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45667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45667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45667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45667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45667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45667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45667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45667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45667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45667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45667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45667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45667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45667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45667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45667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45667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45667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45667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45667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45667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45667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45667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45667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45667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45667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45667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45667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45667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45667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45667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45667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45667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45667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45667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45667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45667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45667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45667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45667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45667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45667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45667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45667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45667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45667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45667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45667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45667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45667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45667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45667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45667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45667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45667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45667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45667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45667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45667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45667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45667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45667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45667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45667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45667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45667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45667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45667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45667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45667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45667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45667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45667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45667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45667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45667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45667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45667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45667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45667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45667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45667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45667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45667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45667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45667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45667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45667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45667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45667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45667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45667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45667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45667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45667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45667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45667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45667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45667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45667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45667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45667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45667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45667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45667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45667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45667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45667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45667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45667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45667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45667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45667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45667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45667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45667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45667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45667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45667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45667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45667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45667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45667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45667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45667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45667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45667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45667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45667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45667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45667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45667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45667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45667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45667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45667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45667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45667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45667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45667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45667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45667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45667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45667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45667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45667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45667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45667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45667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45667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45667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45667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45667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45667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45667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45667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45667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45667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45667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45667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45667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45667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45667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45667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45667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45667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45667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45667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45667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45667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45667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45667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45667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45667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45667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45667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45667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45667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45667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45667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45667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45667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45667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45667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45667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45667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45667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45667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45667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45667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45667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45667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45667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45667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45667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45667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45667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45667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45667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45667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45667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45667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45667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45667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45667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45667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45667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45667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45667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45667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45667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45667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45667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45667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45667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45667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45667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45667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45667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45667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45667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45667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45667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45667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45667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45667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45667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45667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45667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45667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45667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45667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45667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45667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45667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45667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45667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45667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45667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45667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45667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45667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45667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45667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45667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45667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45667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45667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45667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45667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45667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45667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45667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45667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45667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45667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45667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45667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45667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45667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45667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45667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45667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45667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45667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45667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45667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45667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45667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45667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45667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45667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45667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45667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45667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45667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45667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45667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45667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45667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45667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45667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45667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45667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45667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45667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45667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45667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45667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45667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45667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45667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45667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45667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45667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45667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45667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45667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45667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45667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45667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45667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45667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45667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45667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45667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45667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45667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45667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45667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45667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45667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45667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45667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45667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45667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45667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45667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45667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45667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45667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45667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45667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45667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45667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45667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45667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45667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45667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45667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45667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45667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45667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45667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45667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45667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45667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45667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45667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45667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45667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45667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45667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45667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45667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45667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45667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45667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45667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45667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45667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45667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45667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45667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45667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45667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45667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45667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45667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45667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45667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45667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45667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45667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45667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45667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45667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45667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45667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45667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45667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45667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45667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45667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45667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45667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45667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45667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45667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45667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45667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45667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45667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45667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45667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45667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45667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45667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45667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45667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45667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45667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45667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45667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45667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45667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45667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45667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45667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45667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45667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45667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45667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45667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45667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45667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45667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45667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45667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45667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45667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45667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45667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45667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45667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45667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45667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45667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45667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45667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45667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45667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45667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45667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45667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45667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45667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45667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45667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45667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45667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45667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45667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45667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45667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45667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45667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45667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45667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45667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45667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45667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45667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45667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45667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45667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45667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45667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45667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45667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45667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45667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45667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45667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45667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45667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45667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45667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45667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45667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45667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45667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45667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45667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45667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45667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45667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45667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45667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45667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45667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45667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45667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45667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45667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45667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45667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45667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45667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45667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45667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45667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45667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45667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45667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45667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45667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45667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45667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45667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45667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45667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45667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45667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45667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45667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45667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45667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45667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45667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45667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45667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45667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45667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45667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45667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45667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45667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45667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45667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45667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45667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45667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45667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45667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45667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45667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45667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45667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45667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45667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45667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45667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45667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45667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45667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45667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45667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45667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45667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45667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45667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45667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45667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45667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45667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45667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45667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45667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45667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45667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45667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45667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45667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45667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45667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45667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45667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45667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45667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45667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45667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45667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45667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45667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45667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45667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45667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45667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45667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45667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45667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45667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45667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45667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45667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45667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45667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45667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45667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45667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45667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45667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45667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45667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45667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45667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45667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45667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45667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45667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45667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45667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45667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45667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45667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45667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45667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45667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45667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45667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45667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45667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45667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45667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45667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45667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45667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45667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45667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45667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45667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45667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45667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45667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45667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45667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45667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45667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45667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45667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45667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45667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45667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45667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45667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45667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45667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45667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45667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45667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45667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45667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45667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45667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45667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45667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45667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45667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45667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45667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45667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45667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45667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45667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45667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45667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45667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45667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45667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45667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45667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45667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45667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45667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45667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45667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45667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45667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45667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45667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45667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45667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45667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45667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45667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45667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45667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45667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45667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45667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45667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45667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45667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45667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45667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45667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45667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45667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45667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45667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45667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45667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45667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45667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45667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45667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45667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45667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45667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45667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45667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45667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45667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45667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45667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45667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45667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45667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45667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45667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45667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45667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45667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45667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45667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45667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45667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45667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45667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45667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45667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45667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45667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45667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45667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45667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45667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45667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45667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45667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45667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45667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45667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45667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45667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45667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45667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45667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45667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45667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45667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45667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45667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45667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45667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45667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45667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45667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45667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45667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45667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45667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45667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45667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45667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45667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45667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45667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45667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45667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45667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59211-2024</t>
        </is>
      </c>
      <c r="B1049" s="1" t="n">
        <v>45637</v>
      </c>
      <c r="C1049" s="1" t="n">
        <v>45667</v>
      </c>
      <c r="D1049" t="inlineStr">
        <is>
          <t>UPPSALA LÄN</t>
        </is>
      </c>
      <c r="E1049" t="inlineStr">
        <is>
          <t>TIERP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59244-2024</t>
        </is>
      </c>
      <c r="B1050" s="1" t="n">
        <v>45637</v>
      </c>
      <c r="C1050" s="1" t="n">
        <v>45667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59267-2024</t>
        </is>
      </c>
      <c r="B1051" s="1" t="n">
        <v>45637</v>
      </c>
      <c r="C1051" s="1" t="n">
        <v>45667</v>
      </c>
      <c r="D1051" t="inlineStr">
        <is>
          <t>UPPSALA LÄN</t>
        </is>
      </c>
      <c r="E1051" t="inlineStr">
        <is>
          <t>TIERP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45667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45667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60011-2024</t>
        </is>
      </c>
      <c r="B1054" s="1" t="n">
        <v>45642</v>
      </c>
      <c r="C1054" s="1" t="n">
        <v>45667</v>
      </c>
      <c r="D1054" t="inlineStr">
        <is>
          <t>UPPSALA LÄN</t>
        </is>
      </c>
      <c r="E1054" t="inlineStr">
        <is>
          <t>TIERP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60129-2024</t>
        </is>
      </c>
      <c r="B1055" s="1" t="n">
        <v>45642</v>
      </c>
      <c r="C1055" s="1" t="n">
        <v>45667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60136-2024</t>
        </is>
      </c>
      <c r="B1056" s="1" t="n">
        <v>45642</v>
      </c>
      <c r="C1056" s="1" t="n">
        <v>45667</v>
      </c>
      <c r="D1056" t="inlineStr">
        <is>
          <t>UPPSALA LÄN</t>
        </is>
      </c>
      <c r="E1056" t="inlineStr">
        <is>
          <t>TIERP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60014-2024</t>
        </is>
      </c>
      <c r="B1057" s="1" t="n">
        <v>45642</v>
      </c>
      <c r="C1057" s="1" t="n">
        <v>45667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60123-2024</t>
        </is>
      </c>
      <c r="B1058" s="1" t="n">
        <v>45642</v>
      </c>
      <c r="C1058" s="1" t="n">
        <v>45667</v>
      </c>
      <c r="D1058" t="inlineStr">
        <is>
          <t>UPPSALA LÄN</t>
        </is>
      </c>
      <c r="E1058" t="inlineStr">
        <is>
          <t>TIERP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60357-2024</t>
        </is>
      </c>
      <c r="B1059" s="1" t="n">
        <v>45643</v>
      </c>
      <c r="C1059" s="1" t="n">
        <v>45667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60304-2024</t>
        </is>
      </c>
      <c r="B1060" s="1" t="n">
        <v>45643</v>
      </c>
      <c r="C1060" s="1" t="n">
        <v>45667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60314-2024</t>
        </is>
      </c>
      <c r="B1061" s="1" t="n">
        <v>45643</v>
      </c>
      <c r="C1061" s="1" t="n">
        <v>45667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45667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60985-2024</t>
        </is>
      </c>
      <c r="B1063" s="1" t="n">
        <v>45645</v>
      </c>
      <c r="C1063" s="1" t="n">
        <v>45667</v>
      </c>
      <c r="D1063" t="inlineStr">
        <is>
          <t>UPPSALA LÄN</t>
        </is>
      </c>
      <c r="E1063" t="inlineStr">
        <is>
          <t>TIERP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61149-2024</t>
        </is>
      </c>
      <c r="B1064" s="1" t="n">
        <v>45645</v>
      </c>
      <c r="C1064" s="1" t="n">
        <v>45667</v>
      </c>
      <c r="D1064" t="inlineStr">
        <is>
          <t>UPPSALA LÄN</t>
        </is>
      </c>
      <c r="E1064" t="inlineStr">
        <is>
          <t>TIERP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61156-2024</t>
        </is>
      </c>
      <c r="B1065" s="1" t="n">
        <v>45645</v>
      </c>
      <c r="C1065" s="1" t="n">
        <v>45667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10.6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61230-2024</t>
        </is>
      </c>
      <c r="B1066" s="1" t="n">
        <v>45645</v>
      </c>
      <c r="C1066" s="1" t="n">
        <v>45667</v>
      </c>
      <c r="D1066" t="inlineStr">
        <is>
          <t>UPPSALA LÄN</t>
        </is>
      </c>
      <c r="E1066" t="inlineStr">
        <is>
          <t>TIERP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  <c r="U1066">
        <f>HYPERLINK("https://klasma.github.io/Logging_0360/knärot/A 61230-2024 karta knärot.png", "A 61230-2024")</f>
        <v/>
      </c>
      <c r="V1066">
        <f>HYPERLINK("https://klasma.github.io/Logging_0360/klagomål/A 61230-2024 FSC-klagomål.docx", "A 61230-2024")</f>
        <v/>
      </c>
      <c r="W1066">
        <f>HYPERLINK("https://klasma.github.io/Logging_0360/klagomålsmail/A 61230-2024 FSC-klagomål mail.docx", "A 61230-2024")</f>
        <v/>
      </c>
      <c r="X1066">
        <f>HYPERLINK("https://klasma.github.io/Logging_0360/tillsyn/A 61230-2024 tillsynsbegäran.docx", "A 61230-2024")</f>
        <v/>
      </c>
      <c r="Y1066">
        <f>HYPERLINK("https://klasma.github.io/Logging_0360/tillsynsmail/A 61230-2024 tillsynsbegäran mail.docx", "A 61230-2024")</f>
        <v/>
      </c>
    </row>
    <row r="1067" ht="15" customHeight="1">
      <c r="A1067" t="inlineStr">
        <is>
          <t>A 61152-2024</t>
        </is>
      </c>
      <c r="B1067" s="1" t="n">
        <v>45645</v>
      </c>
      <c r="C1067" s="1" t="n">
        <v>45667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61248-2024</t>
        </is>
      </c>
      <c r="B1068" s="1" t="n">
        <v>45645</v>
      </c>
      <c r="C1068" s="1" t="n">
        <v>45667</v>
      </c>
      <c r="D1068" t="inlineStr">
        <is>
          <t>UPPSALA LÄN</t>
        </is>
      </c>
      <c r="E1068" t="inlineStr">
        <is>
          <t>TIERP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61280-2024</t>
        </is>
      </c>
      <c r="B1069" s="1" t="n">
        <v>45645</v>
      </c>
      <c r="C1069" s="1" t="n">
        <v>45667</v>
      </c>
      <c r="D1069" t="inlineStr">
        <is>
          <t>UPPSALA LÄN</t>
        </is>
      </c>
      <c r="E1069" t="inlineStr">
        <is>
          <t>TIERP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61154-2024</t>
        </is>
      </c>
      <c r="B1070" s="1" t="n">
        <v>45645</v>
      </c>
      <c r="C1070" s="1" t="n">
        <v>45667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61246-2024</t>
        </is>
      </c>
      <c r="B1071" s="1" t="n">
        <v>45645</v>
      </c>
      <c r="C1071" s="1" t="n">
        <v>45667</v>
      </c>
      <c r="D1071" t="inlineStr">
        <is>
          <t>UPPSALA LÄN</t>
        </is>
      </c>
      <c r="E1071" t="inlineStr">
        <is>
          <t>TIERP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61395-2024</t>
        </is>
      </c>
      <c r="B1072" s="1" t="n">
        <v>45646</v>
      </c>
      <c r="C1072" s="1" t="n">
        <v>45667</v>
      </c>
      <c r="D1072" t="inlineStr">
        <is>
          <t>UPPSALA LÄN</t>
        </is>
      </c>
      <c r="E1072" t="inlineStr">
        <is>
          <t>TIERP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61412-2024</t>
        </is>
      </c>
      <c r="B1073" s="1" t="n">
        <v>45646</v>
      </c>
      <c r="C1073" s="1" t="n">
        <v>45667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61518-2024</t>
        </is>
      </c>
      <c r="B1074" s="1" t="n">
        <v>45646</v>
      </c>
      <c r="C1074" s="1" t="n">
        <v>45667</v>
      </c>
      <c r="D1074" t="inlineStr">
        <is>
          <t>UPPSALA LÄN</t>
        </is>
      </c>
      <c r="E1074" t="inlineStr">
        <is>
          <t>TIERP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61526-2024</t>
        </is>
      </c>
      <c r="B1075" s="1" t="n">
        <v>45646</v>
      </c>
      <c r="C1075" s="1" t="n">
        <v>45667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61739-2024</t>
        </is>
      </c>
      <c r="B1076" s="1" t="n">
        <v>45649</v>
      </c>
      <c r="C1076" s="1" t="n">
        <v>45667</v>
      </c>
      <c r="D1076" t="inlineStr">
        <is>
          <t>UPPSALA LÄN</t>
        </is>
      </c>
      <c r="E1076" t="inlineStr">
        <is>
          <t>TIERP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61832-2024</t>
        </is>
      </c>
      <c r="B1077" s="1" t="n">
        <v>45649</v>
      </c>
      <c r="C1077" s="1" t="n">
        <v>45667</v>
      </c>
      <c r="D1077" t="inlineStr">
        <is>
          <t>UPPSALA LÄN</t>
        </is>
      </c>
      <c r="E1077" t="inlineStr">
        <is>
          <t>TIERP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61836-2024</t>
        </is>
      </c>
      <c r="B1078" s="1" t="n">
        <v>45649</v>
      </c>
      <c r="C1078" s="1" t="n">
        <v>45667</v>
      </c>
      <c r="D1078" t="inlineStr">
        <is>
          <t>UPPSALA LÄN</t>
        </is>
      </c>
      <c r="E1078" t="inlineStr">
        <is>
          <t>TIERP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61827-2024</t>
        </is>
      </c>
      <c r="B1079" s="1" t="n">
        <v>45649</v>
      </c>
      <c r="C1079" s="1" t="n">
        <v>45667</v>
      </c>
      <c r="D1079" t="inlineStr">
        <is>
          <t>UPPSALA LÄN</t>
        </is>
      </c>
      <c r="E1079" t="inlineStr">
        <is>
          <t>TIERP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61842-2024</t>
        </is>
      </c>
      <c r="B1080" s="1" t="n">
        <v>45649</v>
      </c>
      <c r="C1080" s="1" t="n">
        <v>45667</v>
      </c>
      <c r="D1080" t="inlineStr">
        <is>
          <t>UPPSALA LÄN</t>
        </is>
      </c>
      <c r="E1080" t="inlineStr">
        <is>
          <t>TIERP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45667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45667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45667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66-2025</t>
        </is>
      </c>
      <c r="B1084" s="1" t="n">
        <v>45659</v>
      </c>
      <c r="C1084" s="1" t="n">
        <v>45667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128-2025</t>
        </is>
      </c>
      <c r="B1085" s="1" t="n">
        <v>45659</v>
      </c>
      <c r="C1085" s="1" t="n">
        <v>45667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129-2025</t>
        </is>
      </c>
      <c r="B1086" s="1" t="n">
        <v>45659</v>
      </c>
      <c r="C1086" s="1" t="n">
        <v>45667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162-2025</t>
        </is>
      </c>
      <c r="B1087" s="1" t="n">
        <v>45659</v>
      </c>
      <c r="C1087" s="1" t="n">
        <v>45667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22.4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130-2025</t>
        </is>
      </c>
      <c r="B1088" s="1" t="n">
        <v>45659</v>
      </c>
      <c r="C1088" s="1" t="n">
        <v>45667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220-2025</t>
        </is>
      </c>
      <c r="B1089" s="1" t="n">
        <v>45660</v>
      </c>
      <c r="C1089" s="1" t="n">
        <v>45667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234-2025</t>
        </is>
      </c>
      <c r="B1090" s="1" t="n">
        <v>45660</v>
      </c>
      <c r="C1090" s="1" t="n">
        <v>45667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697-2025</t>
        </is>
      </c>
      <c r="B1091" s="1" t="n">
        <v>45665</v>
      </c>
      <c r="C1091" s="1" t="n">
        <v>45667</v>
      </c>
      <c r="D1091" t="inlineStr">
        <is>
          <t>UPPSALA LÄN</t>
        </is>
      </c>
      <c r="E1091" t="inlineStr">
        <is>
          <t>TIERP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>
      <c r="A1092" t="inlineStr">
        <is>
          <t>A 1056-2025</t>
        </is>
      </c>
      <c r="B1092" s="1" t="n">
        <v>45666</v>
      </c>
      <c r="C1092" s="1" t="n">
        <v>45667</v>
      </c>
      <c r="D1092" t="inlineStr">
        <is>
          <t>UPPSALA LÄN</t>
        </is>
      </c>
      <c r="E1092" t="inlineStr">
        <is>
          <t>TIERP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2025-01-10T16:17:15Z</dcterms:created>
  <dcterms:modified xmlns:dcterms="http://purl.org/dc/terms/" xmlns:xsi="http://www.w3.org/2001/XMLSchema-instance" xsi:type="dcterms:W3CDTF">2025-01-10T16:17:16Z</dcterms:modified>
</cp:coreProperties>
</file>