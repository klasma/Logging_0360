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162-2025</t>
        </is>
      </c>
      <c r="B2" t="inlineStr">
        <is>
          <t>avverkningsanmälan</t>
        </is>
      </c>
      <c r="C2" t="inlineStr">
        <is>
          <t>Föryngringsavverkning</t>
        </is>
      </c>
      <c r="D2" s="1" t="n">
        <v>45659</v>
      </c>
      <c r="E2" s="1" t="n">
        <v>46220</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HYPERLINK("https://klasma.github.io/Logging_0360/knärot/A 162-2025 karta knärot.png", "A 162-2025")</f>
        <v/>
      </c>
      <c r="Y2">
        <f>HYPERLINK("https://klasma.github.io/Logging_0360/klagomål/A 162-2025 FSC-klagomål.docx", "A 162-2025")</f>
        <v/>
      </c>
      <c r="Z2">
        <f>HYPERLINK("https://klasma.github.io/Logging_0360/klagomålsmail/A 162-2025 FSC-klagomål mail.docx", "A 162-2025")</f>
        <v/>
      </c>
      <c r="AA2">
        <f>HYPERLINK("https://klasma.github.io/Logging_0360/tillsyn/A 162-2025 tillsynsbegäran.docx", "A 162-2025")</f>
        <v/>
      </c>
      <c r="AB2">
        <f>HYPERLINK("https://klasma.github.io/Logging_0360/tillsynsmail/A 162-2025 tillsynsbegäran mail.docx", "A 162-2025")</f>
        <v/>
      </c>
      <c r="AC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46220</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HYPERLINK("https://klasma.github.io/Logging_0360/knärot/A 51096-2025 karta knärot.png", "A 51096-2025")</f>
        <v/>
      </c>
      <c r="Y3">
        <f>HYPERLINK("https://klasma.github.io/Logging_0360/klagomål/A 51096-2025 FSC-klagomål.docx", "A 51096-2025")</f>
        <v/>
      </c>
      <c r="Z3">
        <f>HYPERLINK("https://klasma.github.io/Logging_0360/klagomålsmail/A 51096-2025 FSC-klagomål mail.docx", "A 51096-2025")</f>
        <v/>
      </c>
      <c r="AA3">
        <f>HYPERLINK("https://klasma.github.io/Logging_0360/tillsyn/A 51096-2025 tillsynsbegäran.docx", "A 51096-2025")</f>
        <v/>
      </c>
      <c r="AB3">
        <f>HYPERLINK("https://klasma.github.io/Logging_0360/tillsynsmail/A 51096-2025 tillsynsbegäran mail.docx", "A 51096-2025")</f>
        <v/>
      </c>
      <c r="AC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46220</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46220</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46220</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46220</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46220</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46220</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HYPERLINK("https://klasma.github.io/Logging_0360/knärot/A 7125-2023 karta knärot.png", "A 7125-2023")</f>
        <v/>
      </c>
      <c r="Y9">
        <f>HYPERLINK("https://klasma.github.io/Logging_0360/klagomål/A 7125-2023 FSC-klagomål.docx", "A 7125-2023")</f>
        <v/>
      </c>
      <c r="Z9">
        <f>HYPERLINK("https://klasma.github.io/Logging_0360/klagomålsmail/A 7125-2023 FSC-klagomål mail.docx", "A 7125-2023")</f>
        <v/>
      </c>
      <c r="AA9">
        <f>HYPERLINK("https://klasma.github.io/Logging_0360/tillsyn/A 7125-2023 tillsynsbegäran.docx", "A 7125-2023")</f>
        <v/>
      </c>
      <c r="AB9">
        <f>HYPERLINK("https://klasma.github.io/Logging_0360/tillsynsmail/A 7125-2023 tillsynsbegäran mail.docx", "A 7125-2023")</f>
        <v/>
      </c>
      <c r="AC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46220</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HYPERLINK("https://klasma.github.io/Logging_0360/knärot/A 43609-2023 karta knärot.png", "A 43609-2023")</f>
        <v/>
      </c>
      <c r="Y10">
        <f>HYPERLINK("https://klasma.github.io/Logging_0360/klagomål/A 43609-2023 FSC-klagomål.docx", "A 43609-2023")</f>
        <v/>
      </c>
      <c r="Z10">
        <f>HYPERLINK("https://klasma.github.io/Logging_0360/klagomålsmail/A 43609-2023 FSC-klagomål mail.docx", "A 43609-2023")</f>
        <v/>
      </c>
      <c r="AA10">
        <f>HYPERLINK("https://klasma.github.io/Logging_0360/tillsyn/A 43609-2023 tillsynsbegäran.docx", "A 43609-2023")</f>
        <v/>
      </c>
      <c r="AB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46220</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s="2" t="inlineStr">
        <is>
          <t>Knärot
Fjällig taggsvamp s.str.
Orange taggsvamp
Skarp dropptaggsvamp
Ullticka
Grönpyrola
Rödgul trumpetsvamp
Skogshakmossa
Stubbspretmossa
Svart trolldruva
Blåsippa
Järpe</t>
        </is>
      </c>
      <c r="V11">
        <f>HYPERLINK("https://klasma.github.io/Logging_0360/artfynd/A 21038-2023 artfynd.xlsx", "A 21038-2023")</f>
        <v/>
      </c>
      <c r="W11">
        <f>HYPERLINK("https://klasma.github.io/Logging_0360/kartor/A 21038-2023 karta.png", "A 21038-2023")</f>
        <v/>
      </c>
      <c r="X11">
        <f>HYPERLINK("https://klasma.github.io/Logging_0360/knärot/A 21038-2023 karta knärot.png", "A 21038-2023")</f>
        <v/>
      </c>
      <c r="Y11">
        <f>HYPERLINK("https://klasma.github.io/Logging_0360/klagomål/A 21038-2023 FSC-klagomål.docx", "A 21038-2023")</f>
        <v/>
      </c>
      <c r="Z11">
        <f>HYPERLINK("https://klasma.github.io/Logging_0360/klagomålsmail/A 21038-2023 FSC-klagomål mail.docx", "A 21038-2023")</f>
        <v/>
      </c>
      <c r="AA11">
        <f>HYPERLINK("https://klasma.github.io/Logging_0360/tillsyn/A 21038-2023 tillsynsbegäran.docx", "A 21038-2023")</f>
        <v/>
      </c>
      <c r="AB11">
        <f>HYPERLINK("https://klasma.github.io/Logging_0360/tillsynsmail/A 21038-2023 tillsynsbegäran mail.docx", "A 21038-2023")</f>
        <v/>
      </c>
      <c r="AC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46220</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s="2" t="inlineStr">
        <is>
          <t>Kopparspindling
Dropptaggsvamp
Fjällig taggsvamp s.str.
Kattfotslav
Orange taggsvamp
Puderspindling
Skarp dropptaggsvamp
Sparvuggla
Anisspindling
Olivspindling
Rödgul trumpetsvamp
Svavelriska</t>
        </is>
      </c>
      <c r="V12">
        <f>HYPERLINK("https://klasma.github.io/Logging_0360/artfynd/A 6086-2026 artfynd.xlsx", "A 6086-2026")</f>
        <v/>
      </c>
      <c r="W12">
        <f>HYPERLINK("https://klasma.github.io/Logging_0360/kartor/A 6086-2026 karta.png", "A 6086-2026")</f>
        <v/>
      </c>
      <c r="Y12">
        <f>HYPERLINK("https://klasma.github.io/Logging_0360/klagomål/A 6086-2026 FSC-klagomål.docx", "A 6086-2026")</f>
        <v/>
      </c>
      <c r="Z12">
        <f>HYPERLINK("https://klasma.github.io/Logging_0360/klagomålsmail/A 6086-2026 FSC-klagomål mail.docx", "A 6086-2026")</f>
        <v/>
      </c>
      <c r="AA12">
        <f>HYPERLINK("https://klasma.github.io/Logging_0360/tillsyn/A 6086-2026 tillsynsbegäran.docx", "A 6086-2026")</f>
        <v/>
      </c>
      <c r="AB12">
        <f>HYPERLINK("https://klasma.github.io/Logging_0360/tillsynsmail/A 6086-2026 tillsynsbegäran mail.docx", "A 6086-2026")</f>
        <v/>
      </c>
      <c r="AC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46220</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46220</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46220</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46220</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46220</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46220</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46220</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46220</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46220</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46220</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Y22">
        <f>HYPERLINK("https://klasma.github.io/Logging_0360/klagomål/A 1110-2026 FSC-klagomål.docx", "A 1110-2026")</f>
        <v/>
      </c>
      <c r="Z22">
        <f>HYPERLINK("https://klasma.github.io/Logging_0360/klagomålsmail/A 1110-2026 FSC-klagomål mail.docx", "A 1110-2026")</f>
        <v/>
      </c>
      <c r="AA22">
        <f>HYPERLINK("https://klasma.github.io/Logging_0360/tillsyn/A 1110-2026 tillsynsbegäran.docx", "A 1110-2026")</f>
        <v/>
      </c>
      <c r="AB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46220</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46220</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HYPERLINK("https://klasma.github.io/Logging_0360/knärot/A 7366-2023 karta knärot.png", "A 7366-2023")</f>
        <v/>
      </c>
      <c r="Y24">
        <f>HYPERLINK("https://klasma.github.io/Logging_0360/klagomål/A 7366-2023 FSC-klagomål.docx", "A 7366-2023")</f>
        <v/>
      </c>
      <c r="Z24">
        <f>HYPERLINK("https://klasma.github.io/Logging_0360/klagomålsmail/A 7366-2023 FSC-klagomål mail.docx", "A 7366-2023")</f>
        <v/>
      </c>
      <c r="AA24">
        <f>HYPERLINK("https://klasma.github.io/Logging_0360/tillsyn/A 7366-2023 tillsynsbegäran.docx", "A 7366-2023")</f>
        <v/>
      </c>
      <c r="AB24">
        <f>HYPERLINK("https://klasma.github.io/Logging_0360/tillsynsmail/A 7366-2023 tillsynsbegäran mail.docx", "A 7366-2023")</f>
        <v/>
      </c>
    </row>
    <row r="25" ht="15" customHeight="1">
      <c r="A25" t="inlineStr">
        <is>
          <t>A 64002-2025</t>
        </is>
      </c>
      <c r="B25" t="inlineStr">
        <is>
          <t>avverkningsanmälan</t>
        </is>
      </c>
      <c r="C25" t="inlineStr">
        <is>
          <t>Föryngringsavverkning</t>
        </is>
      </c>
      <c r="D25" s="1" t="n">
        <v>46021</v>
      </c>
      <c r="E25" s="1" t="n">
        <v>46220</v>
      </c>
      <c r="F25" t="inlineStr">
        <is>
          <t>UPPSALA LÄN</t>
        </is>
      </c>
      <c r="G25" t="inlineStr">
        <is>
          <t>TIERP</t>
        </is>
      </c>
      <c r="H25" t="inlineStr">
        <is>
          <t>Bergvik skog öst AB</t>
        </is>
      </c>
      <c r="I25" t="n">
        <v>6.2</v>
      </c>
      <c r="J25" t="n">
        <v>2</v>
      </c>
      <c r="K25" t="n">
        <v>4</v>
      </c>
      <c r="L25" t="n">
        <v>2</v>
      </c>
      <c r="M25" t="n">
        <v>0</v>
      </c>
      <c r="N25" t="n">
        <v>0</v>
      </c>
      <c r="O25" t="n">
        <v>0</v>
      </c>
      <c r="P25" t="n">
        <v>0</v>
      </c>
      <c r="Q25" t="n">
        <v>2</v>
      </c>
      <c r="R25" t="n">
        <v>0</v>
      </c>
      <c r="S25" t="n">
        <v>7</v>
      </c>
      <c r="T25" t="n">
        <v>9</v>
      </c>
      <c r="U25" s="2" t="inlineStr">
        <is>
          <t>Gullpudra
Loppstarr
Axag
Nästrot
Svart trolldruva
Tibast
Nattviol</t>
        </is>
      </c>
      <c r="V25">
        <f>HYPERLINK("https://klasma.github.io/Logging_0360/artfynd/A 64002-2025 artfynd.xlsx", "A 64002-2025")</f>
        <v/>
      </c>
      <c r="W25">
        <f>HYPERLINK("https://klasma.github.io/Logging_0360/kartor/A 64002-2025 karta.png", "A 64002-2025")</f>
        <v/>
      </c>
      <c r="Y25">
        <f>HYPERLINK("https://klasma.github.io/Logging_0360/klagomål/A 64002-2025 FSC-klagomål.docx", "A 64002-2025")</f>
        <v/>
      </c>
      <c r="Z25">
        <f>HYPERLINK("https://klasma.github.io/Logging_0360/klagomålsmail/A 64002-2025 FSC-klagomål mail.docx", "A 64002-2025")</f>
        <v/>
      </c>
      <c r="AA25">
        <f>HYPERLINK("https://klasma.github.io/Logging_0360/tillsyn/A 64002-2025 tillsynsbegäran.docx", "A 64002-2025")</f>
        <v/>
      </c>
      <c r="AB25">
        <f>HYPERLINK("https://klasma.github.io/Logging_0360/tillsynsmail/A 64002-2025 tillsynsbegäran mail.docx", "A 64002-2025")</f>
        <v/>
      </c>
    </row>
    <row r="26" ht="15" customHeight="1">
      <c r="A26" t="inlineStr">
        <is>
          <t>A 20997-2022</t>
        </is>
      </c>
      <c r="B26" t="inlineStr">
        <is>
          <t>avverkningsanmälan</t>
        </is>
      </c>
      <c r="C26" t="inlineStr">
        <is>
          <t>Föryngringsavverkning</t>
        </is>
      </c>
      <c r="D26" s="1" t="n">
        <v>44701</v>
      </c>
      <c r="E26" s="1" t="n">
        <v>46220</v>
      </c>
      <c r="F26" t="inlineStr">
        <is>
          <t>UPPSALA LÄN</t>
        </is>
      </c>
      <c r="G26" t="inlineStr">
        <is>
          <t>TIERP</t>
        </is>
      </c>
      <c r="H26" t="inlineStr">
        <is>
          <t>Bergvik skog väst AB</t>
        </is>
      </c>
      <c r="I26" t="n">
        <v>40</v>
      </c>
      <c r="J26" t="n">
        <v>3</v>
      </c>
      <c r="K26" t="n">
        <v>4</v>
      </c>
      <c r="L26" t="n">
        <v>1</v>
      </c>
      <c r="M26" t="n">
        <v>1</v>
      </c>
      <c r="N26" t="n">
        <v>0</v>
      </c>
      <c r="O26" t="n">
        <v>0</v>
      </c>
      <c r="P26" t="n">
        <v>0</v>
      </c>
      <c r="Q26" t="n">
        <v>2</v>
      </c>
      <c r="R26" t="n">
        <v>1</v>
      </c>
      <c r="S26" t="n">
        <v>7</v>
      </c>
      <c r="T26" t="n">
        <v>10</v>
      </c>
      <c r="U26" s="2" t="inlineStr">
        <is>
          <t>Knärot
Vedtrappmossa
Grön sköldmossa
Gulnål
Stubbspretmossa
Vågbandad barkbock
Blåsippa</t>
        </is>
      </c>
      <c r="V26">
        <f>HYPERLINK("https://klasma.github.io/Logging_0360/artfynd/A 20997-2022 artfynd.xlsx", "A 20997-2022")</f>
        <v/>
      </c>
      <c r="W26">
        <f>HYPERLINK("https://klasma.github.io/Logging_0360/kartor/A 20997-2022 karta.png", "A 20997-2022")</f>
        <v/>
      </c>
      <c r="X26">
        <f>HYPERLINK("https://klasma.github.io/Logging_0360/knärot/A 20997-2022 karta knärot.png", "A 20997-2022")</f>
        <v/>
      </c>
      <c r="Y26">
        <f>HYPERLINK("https://klasma.github.io/Logging_0360/klagomål/A 20997-2022 FSC-klagomål.docx", "A 20997-2022")</f>
        <v/>
      </c>
      <c r="Z26">
        <f>HYPERLINK("https://klasma.github.io/Logging_0360/klagomålsmail/A 20997-2022 FSC-klagomål mail.docx", "A 20997-2022")</f>
        <v/>
      </c>
      <c r="AA26">
        <f>HYPERLINK("https://klasma.github.io/Logging_0360/tillsyn/A 20997-2022 tillsynsbegäran.docx", "A 20997-2022")</f>
        <v/>
      </c>
      <c r="AB26">
        <f>HYPERLINK("https://klasma.github.io/Logging_0360/tillsynsmail/A 20997-2022 tillsynsbegäran mail.docx", "A 20997-2022")</f>
        <v/>
      </c>
    </row>
    <row r="27" ht="15" customHeight="1">
      <c r="A27" t="inlineStr">
        <is>
          <t>A 5967-2023</t>
        </is>
      </c>
      <c r="B27" t="inlineStr">
        <is>
          <t>avverkningsanmälan</t>
        </is>
      </c>
      <c r="C27" t="inlineStr">
        <is>
          <t>Föryngringsavverkning</t>
        </is>
      </c>
      <c r="D27" s="1" t="n">
        <v>44964</v>
      </c>
      <c r="E27" s="1" t="n">
        <v>46220</v>
      </c>
      <c r="F27" t="inlineStr">
        <is>
          <t>UPPSALA LÄN</t>
        </is>
      </c>
      <c r="G27" t="inlineStr">
        <is>
          <t>TIERP</t>
        </is>
      </c>
      <c r="I27" t="n">
        <v>2.1</v>
      </c>
      <c r="J27" t="n">
        <v>0</v>
      </c>
      <c r="K27" t="n">
        <v>3</v>
      </c>
      <c r="L27" t="n">
        <v>2</v>
      </c>
      <c r="M27" t="n">
        <v>0</v>
      </c>
      <c r="N27" t="n">
        <v>2</v>
      </c>
      <c r="O27" t="n">
        <v>0</v>
      </c>
      <c r="P27" t="n">
        <v>0</v>
      </c>
      <c r="Q27" t="n">
        <v>4</v>
      </c>
      <c r="R27" t="n">
        <v>2</v>
      </c>
      <c r="S27" t="n">
        <v>7</v>
      </c>
      <c r="T27" t="n">
        <v>7</v>
      </c>
      <c r="U27" s="2" t="inlineStr">
        <is>
          <t>Lilaköttig taggsvamp
Ruttaggsvamp
Dropptaggsvamp
Svartvit taggsvamp
Brandmusseron
Rödgul trumpetsvamp
Trådticka</t>
        </is>
      </c>
      <c r="V27">
        <f>HYPERLINK("https://klasma.github.io/Logging_0360/artfynd/A 5967-2023 artfynd.xlsx", "A 5967-2023")</f>
        <v/>
      </c>
      <c r="W27">
        <f>HYPERLINK("https://klasma.github.io/Logging_0360/kartor/A 5967-2023 karta.png", "A 5967-2023")</f>
        <v/>
      </c>
      <c r="Y27">
        <f>HYPERLINK("https://klasma.github.io/Logging_0360/klagomål/A 5967-2023 FSC-klagomål.docx", "A 5967-2023")</f>
        <v/>
      </c>
      <c r="Z27">
        <f>HYPERLINK("https://klasma.github.io/Logging_0360/klagomålsmail/A 5967-2023 FSC-klagomål mail.docx", "A 5967-2023")</f>
        <v/>
      </c>
      <c r="AA27">
        <f>HYPERLINK("https://klasma.github.io/Logging_0360/tillsyn/A 5967-2023 tillsynsbegäran.docx", "A 5967-2023")</f>
        <v/>
      </c>
      <c r="AB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46220</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Y28">
        <f>HYPERLINK("https://klasma.github.io/Logging_0360/klagomål/A 30958-2026 FSC-klagomål.docx", "A 30958-2026")</f>
        <v/>
      </c>
      <c r="Z28">
        <f>HYPERLINK("https://klasma.github.io/Logging_0360/klagomålsmail/A 30958-2026 FSC-klagomål mail.docx", "A 30958-2026")</f>
        <v/>
      </c>
      <c r="AA28">
        <f>HYPERLINK("https://klasma.github.io/Logging_0360/tillsyn/A 30958-2026 tillsynsbegäran.docx", "A 30958-2026")</f>
        <v/>
      </c>
      <c r="AB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46220</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46220</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Y30">
        <f>HYPERLINK("https://klasma.github.io/Logging_0360/klagomål/A 48687-2023 FSC-klagomål.docx", "A 48687-2023")</f>
        <v/>
      </c>
      <c r="Z30">
        <f>HYPERLINK("https://klasma.github.io/Logging_0360/klagomålsmail/A 48687-2023 FSC-klagomål mail.docx", "A 48687-2023")</f>
        <v/>
      </c>
      <c r="AA30">
        <f>HYPERLINK("https://klasma.github.io/Logging_0360/tillsyn/A 48687-2023 tillsynsbegäran.docx", "A 48687-2023")</f>
        <v/>
      </c>
      <c r="AB30">
        <f>HYPERLINK("https://klasma.github.io/Logging_0360/tillsynsmail/A 48687-2023 tillsynsbegäran mail.docx", "A 48687-2023")</f>
        <v/>
      </c>
      <c r="AC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46220</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s="2" t="inlineStr">
        <is>
          <t>Rödgul trumpetsvamp
Skogsknipprot
Tibast
Tvåblad
Blåsippa
Fläcknycklar</t>
        </is>
      </c>
      <c r="V31">
        <f>HYPERLINK("https://klasma.github.io/Logging_0360/artfynd/A 10853-2025 artfynd.xlsx", "A 10853-2025")</f>
        <v/>
      </c>
      <c r="W31">
        <f>HYPERLINK("https://klasma.github.io/Logging_0360/kartor/A 10853-2025 karta.png", "A 10853-2025")</f>
        <v/>
      </c>
      <c r="Y31">
        <f>HYPERLINK("https://klasma.github.io/Logging_0360/klagomål/A 10853-2025 FSC-klagomål.docx", "A 10853-2025")</f>
        <v/>
      </c>
      <c r="Z31">
        <f>HYPERLINK("https://klasma.github.io/Logging_0360/klagomålsmail/A 10853-2025 FSC-klagomål mail.docx", "A 10853-2025")</f>
        <v/>
      </c>
      <c r="AA31">
        <f>HYPERLINK("https://klasma.github.io/Logging_0360/tillsyn/A 10853-2025 tillsynsbegäran.docx", "A 10853-2025")</f>
        <v/>
      </c>
      <c r="AB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46220</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s="2" t="inlineStr">
        <is>
          <t>Violgubbe
Dofttaggsvamp
Dropptaggsvamp
Flattoppad klubbsvamp
Orange taggsvamp
Spillkråka</t>
        </is>
      </c>
      <c r="V32">
        <f>HYPERLINK("https://klasma.github.io/Logging_0360/artfynd/A 8507-2023 artfynd.xlsx", "A 8507-2023")</f>
        <v/>
      </c>
      <c r="W32">
        <f>HYPERLINK("https://klasma.github.io/Logging_0360/kartor/A 8507-2023 karta.png", "A 8507-2023")</f>
        <v/>
      </c>
      <c r="Y32">
        <f>HYPERLINK("https://klasma.github.io/Logging_0360/klagomål/A 8507-2023 FSC-klagomål.docx", "A 8507-2023")</f>
        <v/>
      </c>
      <c r="Z32">
        <f>HYPERLINK("https://klasma.github.io/Logging_0360/klagomålsmail/A 8507-2023 FSC-klagomål mail.docx", "A 8507-2023")</f>
        <v/>
      </c>
      <c r="AA32">
        <f>HYPERLINK("https://klasma.github.io/Logging_0360/tillsyn/A 8507-2023 tillsynsbegäran.docx", "A 8507-2023")</f>
        <v/>
      </c>
      <c r="AB32">
        <f>HYPERLINK("https://klasma.github.io/Logging_0360/tillsynsmail/A 8507-2023 tillsynsbegäran mail.docx", "A 8507-2023")</f>
        <v/>
      </c>
      <c r="AC32">
        <f>HYPERLINK("https://klasma.github.io/Logging_0360/fåglar/A 8507-2023 prioriterade fågelarter.docx", "A 8507-2023")</f>
        <v/>
      </c>
    </row>
    <row r="33" ht="15" customHeight="1">
      <c r="A33" t="inlineStr">
        <is>
          <t>A 73325-2021</t>
        </is>
      </c>
      <c r="B33" t="inlineStr">
        <is>
          <t>avverkningsanmälan</t>
        </is>
      </c>
      <c r="C33" t="inlineStr">
        <is>
          <t>Föryngringsavverkning</t>
        </is>
      </c>
      <c r="D33" s="1" t="n">
        <v>44551</v>
      </c>
      <c r="E33" s="1" t="n">
        <v>46220</v>
      </c>
      <c r="F33" t="inlineStr">
        <is>
          <t>UPPSALA LÄN</t>
        </is>
      </c>
      <c r="G33" t="inlineStr">
        <is>
          <t>TIERP</t>
        </is>
      </c>
      <c r="I33" t="n">
        <v>3.7</v>
      </c>
      <c r="J33" t="n">
        <v>0</v>
      </c>
      <c r="K33" t="n">
        <v>1</v>
      </c>
      <c r="L33" t="n">
        <v>2</v>
      </c>
      <c r="M33" t="n">
        <v>1</v>
      </c>
      <c r="N33" t="n">
        <v>1</v>
      </c>
      <c r="O33" t="n">
        <v>0</v>
      </c>
      <c r="P33" t="n">
        <v>0</v>
      </c>
      <c r="Q33" t="n">
        <v>4</v>
      </c>
      <c r="R33" t="n">
        <v>2</v>
      </c>
      <c r="S33" t="n">
        <v>5</v>
      </c>
      <c r="T33" t="n">
        <v>5</v>
      </c>
      <c r="U33" s="2" t="inlineStr">
        <is>
          <t>Koppartaggsvamp
Taggfingersvamp
Kattfotslav
Äggspindling
Rödgul trumpetsvamp</t>
        </is>
      </c>
      <c r="V33">
        <f>HYPERLINK("https://klasma.github.io/Logging_0360/artfynd/A 73325-2021 artfynd.xlsx", "A 73325-2021")</f>
        <v/>
      </c>
      <c r="W33">
        <f>HYPERLINK("https://klasma.github.io/Logging_0360/kartor/A 73325-2021 karta.png", "A 73325-2021")</f>
        <v/>
      </c>
      <c r="Y33">
        <f>HYPERLINK("https://klasma.github.io/Logging_0360/klagomål/A 73325-2021 FSC-klagomål.docx", "A 73325-2021")</f>
        <v/>
      </c>
      <c r="Z33">
        <f>HYPERLINK("https://klasma.github.io/Logging_0360/klagomålsmail/A 73325-2021 FSC-klagomål mail.docx", "A 73325-2021")</f>
        <v/>
      </c>
      <c r="AA33">
        <f>HYPERLINK("https://klasma.github.io/Logging_0360/tillsyn/A 73325-2021 tillsynsbegäran.docx", "A 73325-2021")</f>
        <v/>
      </c>
      <c r="AB33">
        <f>HYPERLINK("https://klasma.github.io/Logging_0360/tillsynsmail/A 73325-2021 tillsynsbegäran mail.docx", "A 73325-2021")</f>
        <v/>
      </c>
    </row>
    <row r="34" ht="15" customHeight="1">
      <c r="A34" t="inlineStr">
        <is>
          <t>A 33180-2025</t>
        </is>
      </c>
      <c r="B34" t="inlineStr">
        <is>
          <t>avverkningsanmälan</t>
        </is>
      </c>
      <c r="C34" t="inlineStr">
        <is>
          <t>Föryngringsavverkning</t>
        </is>
      </c>
      <c r="D34" s="1" t="n">
        <v>45840</v>
      </c>
      <c r="E34" s="1" t="n">
        <v>46220</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s="2" t="inlineStr">
        <is>
          <t>Månlåsbräken
Oxtungssvamp
Brun nållav
Gulpudrad spiklav
Sotlav</t>
        </is>
      </c>
      <c r="V34">
        <f>HYPERLINK("https://klasma.github.io/Logging_0360/artfynd/A 33180-2025 artfynd.xlsx", "A 33180-2025")</f>
        <v/>
      </c>
      <c r="W34">
        <f>HYPERLINK("https://klasma.github.io/Logging_0360/kartor/A 33180-2025 karta.png", "A 33180-2025")</f>
        <v/>
      </c>
      <c r="Y34">
        <f>HYPERLINK("https://klasma.github.io/Logging_0360/klagomål/A 33180-2025 FSC-klagomål.docx", "A 33180-2025")</f>
        <v/>
      </c>
      <c r="Z34">
        <f>HYPERLINK("https://klasma.github.io/Logging_0360/klagomålsmail/A 33180-2025 FSC-klagomål mail.docx", "A 33180-2025")</f>
        <v/>
      </c>
      <c r="AA34">
        <f>HYPERLINK("https://klasma.github.io/Logging_0360/tillsyn/A 33180-2025 tillsynsbegäran.docx", "A 33180-2025")</f>
        <v/>
      </c>
      <c r="AB34">
        <f>HYPERLINK("https://klasma.github.io/Logging_0360/tillsynsmail/A 33180-2025 tillsynsbegäran mail.docx", "A 33180-2025")</f>
        <v/>
      </c>
    </row>
    <row r="35" ht="15" customHeight="1">
      <c r="A35" t="inlineStr">
        <is>
          <t>A 45851-2022</t>
        </is>
      </c>
      <c r="B35" t="inlineStr">
        <is>
          <t>avverkningsanmälan</t>
        </is>
      </c>
      <c r="C35" t="inlineStr">
        <is>
          <t>Föryngringsavverkning</t>
        </is>
      </c>
      <c r="D35" s="1" t="n">
        <v>44846</v>
      </c>
      <c r="E35" s="1" t="n">
        <v>46220</v>
      </c>
      <c r="F35" t="inlineStr">
        <is>
          <t>UPPSALA LÄN</t>
        </is>
      </c>
      <c r="G35" t="inlineStr">
        <is>
          <t>TIERP</t>
        </is>
      </c>
      <c r="I35" t="n">
        <v>2.6</v>
      </c>
      <c r="J35" t="n">
        <v>0</v>
      </c>
      <c r="K35" t="n">
        <v>3</v>
      </c>
      <c r="L35" t="n">
        <v>1</v>
      </c>
      <c r="M35" t="n">
        <v>1</v>
      </c>
      <c r="N35" t="n">
        <v>0</v>
      </c>
      <c r="O35" t="n">
        <v>0</v>
      </c>
      <c r="P35" t="n">
        <v>0</v>
      </c>
      <c r="Q35" t="n">
        <v>2</v>
      </c>
      <c r="R35" t="n">
        <v>1</v>
      </c>
      <c r="S35" t="n">
        <v>5</v>
      </c>
      <c r="T35" t="n">
        <v>5</v>
      </c>
      <c r="U35" s="2" t="inlineStr">
        <is>
          <t>Duvspindling
Äggspindling
Olivspindling
Rödgul trumpetsvamp
Svavelriska</t>
        </is>
      </c>
      <c r="V35">
        <f>HYPERLINK("https://klasma.github.io/Logging_0360/artfynd/A 45851-2022 artfynd.xlsx", "A 45851-2022")</f>
        <v/>
      </c>
      <c r="W35">
        <f>HYPERLINK("https://klasma.github.io/Logging_0360/kartor/A 45851-2022 karta.png", "A 45851-2022")</f>
        <v/>
      </c>
      <c r="Y35">
        <f>HYPERLINK("https://klasma.github.io/Logging_0360/klagomål/A 45851-2022 FSC-klagomål.docx", "A 45851-2022")</f>
        <v/>
      </c>
      <c r="Z35">
        <f>HYPERLINK("https://klasma.github.io/Logging_0360/klagomålsmail/A 45851-2022 FSC-klagomål mail.docx", "A 45851-2022")</f>
        <v/>
      </c>
      <c r="AA35">
        <f>HYPERLINK("https://klasma.github.io/Logging_0360/tillsyn/A 45851-2022 tillsynsbegäran.docx", "A 45851-2022")</f>
        <v/>
      </c>
      <c r="AB35">
        <f>HYPERLINK("https://klasma.github.io/Logging_0360/tillsynsmail/A 45851-2022 tillsynsbegäran mail.docx", "A 45851-2022")</f>
        <v/>
      </c>
    </row>
    <row r="36" ht="15" customHeight="1">
      <c r="A36" t="inlineStr">
        <is>
          <t>A 16733-2025</t>
        </is>
      </c>
      <c r="B36" t="inlineStr">
        <is>
          <t>avverkningsanmälan</t>
        </is>
      </c>
      <c r="C36" t="inlineStr">
        <is>
          <t>Föryngringsavverkning</t>
        </is>
      </c>
      <c r="D36" s="1" t="n">
        <v>45754</v>
      </c>
      <c r="E36" s="1" t="n">
        <v>46220</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s="2" t="inlineStr">
        <is>
          <t>Ekticka
Rutskinn
Rödbrun blekspik
Gulpudrad spiklav
Hasselticka</t>
        </is>
      </c>
      <c r="V36">
        <f>HYPERLINK("https://klasma.github.io/Logging_0360/artfynd/A 16733-2025 artfynd.xlsx", "A 16733-2025")</f>
        <v/>
      </c>
      <c r="W36">
        <f>HYPERLINK("https://klasma.github.io/Logging_0360/kartor/A 16733-2025 karta.png", "A 16733-2025")</f>
        <v/>
      </c>
      <c r="Y36">
        <f>HYPERLINK("https://klasma.github.io/Logging_0360/klagomål/A 16733-2025 FSC-klagomål.docx", "A 16733-2025")</f>
        <v/>
      </c>
      <c r="Z36">
        <f>HYPERLINK("https://klasma.github.io/Logging_0360/klagomålsmail/A 16733-2025 FSC-klagomål mail.docx", "A 16733-2025")</f>
        <v/>
      </c>
      <c r="AA36">
        <f>HYPERLINK("https://klasma.github.io/Logging_0360/tillsyn/A 16733-2025 tillsynsbegäran.docx", "A 16733-2025")</f>
        <v/>
      </c>
      <c r="AB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46220</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s="2" t="inlineStr">
        <is>
          <t>Hornuggla
Huggorm
Skogsödla
Vanlig padda
Vanlig snok</t>
        </is>
      </c>
      <c r="V37">
        <f>HYPERLINK("https://klasma.github.io/Logging_0360/artfynd/A 29320-2026 artfynd.xlsx", "A 29320-2026")</f>
        <v/>
      </c>
      <c r="W37">
        <f>HYPERLINK("https://klasma.github.io/Logging_0360/kartor/A 29320-2026 karta.png", "A 29320-2026")</f>
        <v/>
      </c>
      <c r="Y37">
        <f>HYPERLINK("https://klasma.github.io/Logging_0360/klagomål/A 29320-2026 FSC-klagomål.docx", "A 29320-2026")</f>
        <v/>
      </c>
      <c r="Z37">
        <f>HYPERLINK("https://klasma.github.io/Logging_0360/klagomålsmail/A 29320-2026 FSC-klagomål mail.docx", "A 29320-2026")</f>
        <v/>
      </c>
      <c r="AA37">
        <f>HYPERLINK("https://klasma.github.io/Logging_0360/tillsyn/A 29320-2026 tillsynsbegäran.docx", "A 29320-2026")</f>
        <v/>
      </c>
      <c r="AB37">
        <f>HYPERLINK("https://klasma.github.io/Logging_0360/tillsynsmail/A 29320-2026 tillsynsbegäran mail.docx", "A 29320-2026")</f>
        <v/>
      </c>
      <c r="AC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46220</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35188-2025</t>
        </is>
      </c>
      <c r="B39" t="inlineStr">
        <is>
          <t>avverkningsanmälan</t>
        </is>
      </c>
      <c r="C39" t="inlineStr">
        <is>
          <t>Föryngringsavverkning</t>
        </is>
      </c>
      <c r="D39" s="1" t="n">
        <v>45853</v>
      </c>
      <c r="E39" s="1" t="n">
        <v>46220</v>
      </c>
      <c r="F39" t="inlineStr">
        <is>
          <t>UPPSALA LÄN</t>
        </is>
      </c>
      <c r="G39" t="inlineStr">
        <is>
          <t>TIERP</t>
        </is>
      </c>
      <c r="I39" t="n">
        <v>1.8</v>
      </c>
      <c r="J39" t="n">
        <v>3</v>
      </c>
      <c r="K39" t="n">
        <v>1</v>
      </c>
      <c r="L39" t="n">
        <v>1</v>
      </c>
      <c r="M39" t="n">
        <v>0</v>
      </c>
      <c r="N39" t="n">
        <v>0</v>
      </c>
      <c r="O39" t="n">
        <v>0</v>
      </c>
      <c r="P39" t="n">
        <v>0</v>
      </c>
      <c r="Q39" t="n">
        <v>1</v>
      </c>
      <c r="R39" t="n">
        <v>0</v>
      </c>
      <c r="S39" t="n">
        <v>4</v>
      </c>
      <c r="T39" t="n">
        <v>4</v>
      </c>
      <c r="U39" s="2" t="inlineStr">
        <is>
          <t>Klasefibbla
Skogsknipprot
Fläcknycklar
Gullviva</t>
        </is>
      </c>
      <c r="V39">
        <f>HYPERLINK("https://klasma.github.io/Logging_0360/artfynd/A 35188-2025 artfynd.xlsx", "A 35188-2025")</f>
        <v/>
      </c>
      <c r="W39">
        <f>HYPERLINK("https://klasma.github.io/Logging_0360/kartor/A 35188-2025 karta.png", "A 35188-2025")</f>
        <v/>
      </c>
      <c r="Y39">
        <f>HYPERLINK("https://klasma.github.io/Logging_0360/klagomål/A 35188-2025 FSC-klagomål.docx", "A 35188-2025")</f>
        <v/>
      </c>
      <c r="Z39">
        <f>HYPERLINK("https://klasma.github.io/Logging_0360/klagomålsmail/A 35188-2025 FSC-klagomål mail.docx", "A 35188-2025")</f>
        <v/>
      </c>
      <c r="AA39">
        <f>HYPERLINK("https://klasma.github.io/Logging_0360/tillsyn/A 35188-2025 tillsynsbegäran.docx", "A 35188-2025")</f>
        <v/>
      </c>
      <c r="AB39">
        <f>HYPERLINK("https://klasma.github.io/Logging_0360/tillsynsmail/A 35188-2025 tillsynsbegäran mail.docx", "A 35188-2025")</f>
        <v/>
      </c>
    </row>
    <row r="40" ht="15" customHeight="1">
      <c r="A40" t="inlineStr">
        <is>
          <t>A 36561-2022</t>
        </is>
      </c>
      <c r="B40" t="inlineStr">
        <is>
          <t>avverkningsanmälan</t>
        </is>
      </c>
      <c r="C40" t="inlineStr">
        <is>
          <t>Föryngringsavverkning</t>
        </is>
      </c>
      <c r="D40" s="1" t="n">
        <v>44804</v>
      </c>
      <c r="E40" s="1" t="n">
        <v>46220</v>
      </c>
      <c r="F40" t="inlineStr">
        <is>
          <t>UPPSALA LÄN</t>
        </is>
      </c>
      <c r="G40" t="inlineStr">
        <is>
          <t>TIERP</t>
        </is>
      </c>
      <c r="I40" t="n">
        <v>4.6</v>
      </c>
      <c r="J40" t="n">
        <v>3</v>
      </c>
      <c r="K40" t="n">
        <v>0</v>
      </c>
      <c r="L40" t="n">
        <v>1</v>
      </c>
      <c r="M40" t="n">
        <v>0</v>
      </c>
      <c r="N40" t="n">
        <v>0</v>
      </c>
      <c r="O40" t="n">
        <v>0</v>
      </c>
      <c r="P40" t="n">
        <v>0</v>
      </c>
      <c r="Q40" t="n">
        <v>1</v>
      </c>
      <c r="R40" t="n">
        <v>0</v>
      </c>
      <c r="S40" t="n">
        <v>4</v>
      </c>
      <c r="T40" t="n">
        <v>4</v>
      </c>
      <c r="U40" s="2" t="inlineStr">
        <is>
          <t>Jungfrulin
Mattlummer
Fläcknycklar
Revlummer</t>
        </is>
      </c>
      <c r="V40">
        <f>HYPERLINK("https://klasma.github.io/Logging_0360/artfynd/A 36561-2022 artfynd.xlsx", "A 36561-2022")</f>
        <v/>
      </c>
      <c r="W40">
        <f>HYPERLINK("https://klasma.github.io/Logging_0360/kartor/A 36561-2022 karta.png", "A 36561-2022")</f>
        <v/>
      </c>
      <c r="Y40">
        <f>HYPERLINK("https://klasma.github.io/Logging_0360/klagomål/A 36561-2022 FSC-klagomål.docx", "A 36561-2022")</f>
        <v/>
      </c>
      <c r="Z40">
        <f>HYPERLINK("https://klasma.github.io/Logging_0360/klagomålsmail/A 36561-2022 FSC-klagomål mail.docx", "A 36561-2022")</f>
        <v/>
      </c>
      <c r="AA40">
        <f>HYPERLINK("https://klasma.github.io/Logging_0360/tillsyn/A 36561-2022 tillsynsbegäran.docx", "A 36561-2022")</f>
        <v/>
      </c>
      <c r="AB40">
        <f>HYPERLINK("https://klasma.github.io/Logging_0360/tillsynsmail/A 36561-2022 tillsynsbegäran mail.docx", "A 36561-2022")</f>
        <v/>
      </c>
    </row>
    <row r="41" ht="15" customHeight="1">
      <c r="A41" t="inlineStr">
        <is>
          <t>A 32296-2025</t>
        </is>
      </c>
      <c r="B41" t="inlineStr">
        <is>
          <t>avverkningsanmälan</t>
        </is>
      </c>
      <c r="C41" t="inlineStr">
        <is>
          <t>Föryngringsavverkning</t>
        </is>
      </c>
      <c r="D41" s="1" t="n">
        <v>45835</v>
      </c>
      <c r="E41" s="1" t="n">
        <v>46220</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s="2" t="inlineStr">
        <is>
          <t>Enkelbeckasin
Rödvingetrast
Kungsfågel
Orre</t>
        </is>
      </c>
      <c r="V41">
        <f>HYPERLINK("https://klasma.github.io/Logging_0360/artfynd/A 32296-2025 artfynd.xlsx", "A 32296-2025")</f>
        <v/>
      </c>
      <c r="W41">
        <f>HYPERLINK("https://klasma.github.io/Logging_0360/kartor/A 32296-2025 karta.png", "A 32296-2025")</f>
        <v/>
      </c>
      <c r="Y41">
        <f>HYPERLINK("https://klasma.github.io/Logging_0360/klagomål/A 32296-2025 FSC-klagomål.docx", "A 32296-2025")</f>
        <v/>
      </c>
      <c r="Z41">
        <f>HYPERLINK("https://klasma.github.io/Logging_0360/klagomålsmail/A 32296-2025 FSC-klagomål mail.docx", "A 32296-2025")</f>
        <v/>
      </c>
      <c r="AA41">
        <f>HYPERLINK("https://klasma.github.io/Logging_0360/tillsyn/A 32296-2025 tillsynsbegäran.docx", "A 32296-2025")</f>
        <v/>
      </c>
      <c r="AB41">
        <f>HYPERLINK("https://klasma.github.io/Logging_0360/tillsynsmail/A 32296-2025 tillsynsbegäran mail.docx", "A 32296-2025")</f>
        <v/>
      </c>
      <c r="AC41">
        <f>HYPERLINK("https://klasma.github.io/Logging_0360/fåglar/A 32296-2025 prioriterade fågelarter.docx", "A 32296-2025")</f>
        <v/>
      </c>
    </row>
    <row r="42" ht="15" customHeight="1">
      <c r="A42" t="inlineStr">
        <is>
          <t>A 17748-2025</t>
        </is>
      </c>
      <c r="B42" t="inlineStr">
        <is>
          <t>avverkningsanmälan</t>
        </is>
      </c>
      <c r="C42" t="inlineStr">
        <is>
          <t>Föryngringsavverkning</t>
        </is>
      </c>
      <c r="D42" s="1" t="n">
        <v>45758</v>
      </c>
      <c r="E42" s="1" t="n">
        <v>46220</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Y42">
        <f>HYPERLINK("https://klasma.github.io/Logging_0360/klagomål/A 17748-2025 FSC-klagomål.docx", "A 17748-2025")</f>
        <v/>
      </c>
      <c r="Z42">
        <f>HYPERLINK("https://klasma.github.io/Logging_0360/klagomålsmail/A 17748-2025 FSC-klagomål mail.docx", "A 17748-2025")</f>
        <v/>
      </c>
      <c r="AA42">
        <f>HYPERLINK("https://klasma.github.io/Logging_0360/tillsyn/A 17748-2025 tillsynsbegäran.docx", "A 17748-2025")</f>
        <v/>
      </c>
      <c r="AB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46220</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s="2" t="inlineStr">
        <is>
          <t>Ullticka
Blodticka
Spillkråka
Tjäder</t>
        </is>
      </c>
      <c r="V43">
        <f>HYPERLINK("https://klasma.github.io/Logging_0360/artfynd/A 54831-2025 artfynd.xlsx", "A 54831-2025")</f>
        <v/>
      </c>
      <c r="W43">
        <f>HYPERLINK("https://klasma.github.io/Logging_0360/kartor/A 54831-2025 karta.png", "A 54831-2025")</f>
        <v/>
      </c>
      <c r="Y43">
        <f>HYPERLINK("https://klasma.github.io/Logging_0360/klagomål/A 54831-2025 FSC-klagomål.docx", "A 54831-2025")</f>
        <v/>
      </c>
      <c r="Z43">
        <f>HYPERLINK("https://klasma.github.io/Logging_0360/klagomålsmail/A 54831-2025 FSC-klagomål mail.docx", "A 54831-2025")</f>
        <v/>
      </c>
      <c r="AA43">
        <f>HYPERLINK("https://klasma.github.io/Logging_0360/tillsyn/A 54831-2025 tillsynsbegäran.docx", "A 54831-2025")</f>
        <v/>
      </c>
      <c r="AB43">
        <f>HYPERLINK("https://klasma.github.io/Logging_0360/tillsynsmail/A 54831-2025 tillsynsbegäran mail.docx", "A 54831-2025")</f>
        <v/>
      </c>
      <c r="AC43">
        <f>HYPERLINK("https://klasma.github.io/Logging_0360/fåglar/A 54831-2025 prioriterade fågelarter.docx", "A 54831-2025")</f>
        <v/>
      </c>
    </row>
    <row r="44" ht="15" customHeight="1">
      <c r="A44" t="inlineStr">
        <is>
          <t>A 10848-2025</t>
        </is>
      </c>
      <c r="B44" t="inlineStr">
        <is>
          <t>avverkningsanmälan</t>
        </is>
      </c>
      <c r="C44" t="inlineStr">
        <is>
          <t>Föryngringsavverkning</t>
        </is>
      </c>
      <c r="D44" s="1" t="n">
        <v>45722</v>
      </c>
      <c r="E44" s="1" t="n">
        <v>46220</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s="2" t="inlineStr">
        <is>
          <t>Talltita
Blåsippa
Tjäder
Grönsiska</t>
        </is>
      </c>
      <c r="V44">
        <f>HYPERLINK("https://klasma.github.io/Logging_0360/artfynd/A 10848-2025 artfynd.xlsx", "A 10848-2025")</f>
        <v/>
      </c>
      <c r="W44">
        <f>HYPERLINK("https://klasma.github.io/Logging_0360/kartor/A 10848-2025 karta.png", "A 10848-2025")</f>
        <v/>
      </c>
      <c r="Y44">
        <f>HYPERLINK("https://klasma.github.io/Logging_0360/klagomål/A 10848-2025 FSC-klagomål.docx", "A 10848-2025")</f>
        <v/>
      </c>
      <c r="Z44">
        <f>HYPERLINK("https://klasma.github.io/Logging_0360/klagomålsmail/A 10848-2025 FSC-klagomål mail.docx", "A 10848-2025")</f>
        <v/>
      </c>
      <c r="AA44">
        <f>HYPERLINK("https://klasma.github.io/Logging_0360/tillsyn/A 10848-2025 tillsynsbegäran.docx", "A 10848-2025")</f>
        <v/>
      </c>
      <c r="AB44">
        <f>HYPERLINK("https://klasma.github.io/Logging_0360/tillsynsmail/A 10848-2025 tillsynsbegäran mail.docx", "A 10848-2025")</f>
        <v/>
      </c>
      <c r="AC44">
        <f>HYPERLINK("https://klasma.github.io/Logging_0360/fåglar/A 10848-2025 prioriterade fågelarter.docx", "A 10848-2025")</f>
        <v/>
      </c>
    </row>
    <row r="45" ht="15" customHeight="1">
      <c r="A45" t="inlineStr">
        <is>
          <t>A 17577-2026</t>
        </is>
      </c>
      <c r="B45" t="inlineStr">
        <is>
          <t>avverkningsanmälan</t>
        </is>
      </c>
      <c r="C45" t="inlineStr">
        <is>
          <t>Föryngringsavverkning</t>
        </is>
      </c>
      <c r="D45" s="1" t="n">
        <v>46121</v>
      </c>
      <c r="E45" s="1" t="n">
        <v>46220</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s="2" t="inlineStr">
        <is>
          <t>Väddnätfjäril
Gullgröppa
Tibast
Fläcknycklar</t>
        </is>
      </c>
      <c r="V45">
        <f>HYPERLINK("https://klasma.github.io/Logging_0360/artfynd/A 17577-2026 artfynd.xlsx", "A 17577-2026")</f>
        <v/>
      </c>
      <c r="W45">
        <f>HYPERLINK("https://klasma.github.io/Logging_0360/kartor/A 17577-2026 karta.png", "A 17577-2026")</f>
        <v/>
      </c>
      <c r="Y45">
        <f>HYPERLINK("https://klasma.github.io/Logging_0360/klagomål/A 17577-2026 FSC-klagomål.docx", "A 17577-2026")</f>
        <v/>
      </c>
      <c r="Z45">
        <f>HYPERLINK("https://klasma.github.io/Logging_0360/klagomålsmail/A 17577-2026 FSC-klagomål mail.docx", "A 17577-2026")</f>
        <v/>
      </c>
      <c r="AA45">
        <f>HYPERLINK("https://klasma.github.io/Logging_0360/tillsyn/A 17577-2026 tillsynsbegäran.docx", "A 17577-2026")</f>
        <v/>
      </c>
      <c r="AB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46220</v>
      </c>
      <c r="F46" t="inlineStr">
        <is>
          <t>UPPSALA LÄN</t>
        </is>
      </c>
      <c r="G46" t="inlineStr">
        <is>
          <t>TIERP</t>
        </is>
      </c>
      <c r="I46" t="n">
        <v>1.6</v>
      </c>
      <c r="J46" t="n">
        <v>2</v>
      </c>
      <c r="K46" t="n">
        <v>1</v>
      </c>
      <c r="L46" t="n">
        <v>2</v>
      </c>
      <c r="M46" t="n">
        <v>0</v>
      </c>
      <c r="N46" t="n">
        <v>0</v>
      </c>
      <c r="O46" t="n">
        <v>0</v>
      </c>
      <c r="P46" t="n">
        <v>0</v>
      </c>
      <c r="Q46" t="n">
        <v>2</v>
      </c>
      <c r="R46" t="n">
        <v>0</v>
      </c>
      <c r="S46" t="n">
        <v>4</v>
      </c>
      <c r="T46" t="n">
        <v>6</v>
      </c>
      <c r="U46" s="2" t="inlineStr">
        <is>
          <t>Vedtrappmossa
Vårärt
Skogsknipprot
Blåsippa</t>
        </is>
      </c>
      <c r="V46">
        <f>HYPERLINK("https://klasma.github.io/Logging_0360/artfynd/A 5700-2024 artfynd.xlsx", "A 5700-2024")</f>
        <v/>
      </c>
      <c r="W46">
        <f>HYPERLINK("https://klasma.github.io/Logging_0360/kartor/A 5700-2024 karta.png", "A 5700-2024")</f>
        <v/>
      </c>
      <c r="Y46">
        <f>HYPERLINK("https://klasma.github.io/Logging_0360/klagomål/A 5700-2024 FSC-klagomål.docx", "A 5700-2024")</f>
        <v/>
      </c>
      <c r="Z46">
        <f>HYPERLINK("https://klasma.github.io/Logging_0360/klagomålsmail/A 5700-2024 FSC-klagomål mail.docx", "A 5700-2024")</f>
        <v/>
      </c>
      <c r="AA46">
        <f>HYPERLINK("https://klasma.github.io/Logging_0360/tillsyn/A 5700-2024 tillsynsbegäran.docx", "A 5700-2024")</f>
        <v/>
      </c>
      <c r="AB46">
        <f>HYPERLINK("https://klasma.github.io/Logging_0360/tillsynsmail/A 5700-2024 tillsynsbegäran mail.docx", "A 5700-2024")</f>
        <v/>
      </c>
    </row>
    <row r="47" ht="15" customHeight="1">
      <c r="A47" t="inlineStr">
        <is>
          <t>A 23133-2026</t>
        </is>
      </c>
      <c r="B47" t="inlineStr">
        <is>
          <t>avverkningsanmälan</t>
        </is>
      </c>
      <c r="C47" t="inlineStr">
        <is>
          <t>Föryngringsavverkning</t>
        </is>
      </c>
      <c r="D47" s="1" t="n">
        <v>46161</v>
      </c>
      <c r="E47" s="1" t="n">
        <v>46220</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s="2" t="inlineStr">
        <is>
          <t>Ask
Skogsalm
Brandticka
Blåsippa</t>
        </is>
      </c>
      <c r="V47">
        <f>HYPERLINK("https://klasma.github.io/Logging_0360/artfynd/A 23133-2026 artfynd.xlsx", "A 23133-2026")</f>
        <v/>
      </c>
      <c r="W47">
        <f>HYPERLINK("https://klasma.github.io/Logging_0360/kartor/A 23133-2026 karta.png", "A 23133-2026")</f>
        <v/>
      </c>
      <c r="Y47">
        <f>HYPERLINK("https://klasma.github.io/Logging_0360/klagomål/A 23133-2026 FSC-klagomål.docx", "A 23133-2026")</f>
        <v/>
      </c>
      <c r="Z47">
        <f>HYPERLINK("https://klasma.github.io/Logging_0360/klagomålsmail/A 23133-2026 FSC-klagomål mail.docx", "A 23133-2026")</f>
        <v/>
      </c>
      <c r="AA47">
        <f>HYPERLINK("https://klasma.github.io/Logging_0360/tillsyn/A 23133-2026 tillsynsbegäran.docx", "A 23133-2026")</f>
        <v/>
      </c>
      <c r="AB47">
        <f>HYPERLINK("https://klasma.github.io/Logging_0360/tillsynsmail/A 23133-2026 tillsynsbegäran mail.docx", "A 23133-2026")</f>
        <v/>
      </c>
    </row>
    <row r="48" ht="15" customHeight="1">
      <c r="A48" t="inlineStr">
        <is>
          <t>A 12424-2024</t>
        </is>
      </c>
      <c r="B48" t="inlineStr">
        <is>
          <t>avverkningsanmälan</t>
        </is>
      </c>
      <c r="C48" t="inlineStr">
        <is>
          <t>Föryngringsavverkning</t>
        </is>
      </c>
      <c r="D48" s="1" t="n">
        <v>45379</v>
      </c>
      <c r="E48" s="1" t="n">
        <v>46220</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s="2" t="inlineStr">
        <is>
          <t>Violgubbe
Fyrflikig jordstjärna
Anisspindling
Olivspindling</t>
        </is>
      </c>
      <c r="V48">
        <f>HYPERLINK("https://klasma.github.io/Logging_0360/artfynd/A 12424-2024 artfynd.xlsx", "A 12424-2024")</f>
        <v/>
      </c>
      <c r="W48">
        <f>HYPERLINK("https://klasma.github.io/Logging_0360/kartor/A 12424-2024 karta.png", "A 12424-2024")</f>
        <v/>
      </c>
      <c r="Y48">
        <f>HYPERLINK("https://klasma.github.io/Logging_0360/klagomål/A 12424-2024 FSC-klagomål.docx", "A 12424-2024")</f>
        <v/>
      </c>
      <c r="Z48">
        <f>HYPERLINK("https://klasma.github.io/Logging_0360/klagomålsmail/A 12424-2024 FSC-klagomål mail.docx", "A 12424-2024")</f>
        <v/>
      </c>
      <c r="AA48">
        <f>HYPERLINK("https://klasma.github.io/Logging_0360/tillsyn/A 12424-2024 tillsynsbegäran.docx", "A 12424-2024")</f>
        <v/>
      </c>
      <c r="AB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46220</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46220</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s="2" t="inlineStr">
        <is>
          <t>Skogsknipprot
Tibast
Blåsippa</t>
        </is>
      </c>
      <c r="V50">
        <f>HYPERLINK("https://klasma.github.io/Logging_0360/artfynd/A 15592-2022 artfynd.xlsx", "A 15592-2022")</f>
        <v/>
      </c>
      <c r="W50">
        <f>HYPERLINK("https://klasma.github.io/Logging_0360/kartor/A 15592-2022 karta.png", "A 15592-2022")</f>
        <v/>
      </c>
      <c r="Y50">
        <f>HYPERLINK("https://klasma.github.io/Logging_0360/klagomål/A 15592-2022 FSC-klagomål.docx", "A 15592-2022")</f>
        <v/>
      </c>
      <c r="Z50">
        <f>HYPERLINK("https://klasma.github.io/Logging_0360/klagomålsmail/A 15592-2022 FSC-klagomål mail.docx", "A 15592-2022")</f>
        <v/>
      </c>
      <c r="AA50">
        <f>HYPERLINK("https://klasma.github.io/Logging_0360/tillsyn/A 15592-2022 tillsynsbegäran.docx", "A 15592-2022")</f>
        <v/>
      </c>
      <c r="AB50">
        <f>HYPERLINK("https://klasma.github.io/Logging_0360/tillsynsmail/A 15592-2022 tillsynsbegäran mail.docx", "A 15592-2022")</f>
        <v/>
      </c>
    </row>
    <row r="51" ht="15" customHeight="1">
      <c r="A51" t="inlineStr">
        <is>
          <t>A 25013-2025</t>
        </is>
      </c>
      <c r="B51" t="inlineStr">
        <is>
          <t>avverkningsanmälan</t>
        </is>
      </c>
      <c r="C51" t="inlineStr">
        <is>
          <t>Föryngringsavverkning</t>
        </is>
      </c>
      <c r="D51" s="1" t="n">
        <v>45799</v>
      </c>
      <c r="E51" s="1" t="n">
        <v>46220</v>
      </c>
      <c r="F51" t="inlineStr">
        <is>
          <t>UPPSALA LÄN</t>
        </is>
      </c>
      <c r="G51" t="inlineStr">
        <is>
          <t>TIERP</t>
        </is>
      </c>
      <c r="I51" t="n">
        <v>0.5</v>
      </c>
      <c r="J51" t="n">
        <v>0</v>
      </c>
      <c r="K51" t="n">
        <v>1</v>
      </c>
      <c r="L51" t="n">
        <v>0</v>
      </c>
      <c r="M51" t="n">
        <v>1</v>
      </c>
      <c r="N51" t="n">
        <v>1</v>
      </c>
      <c r="O51" t="n">
        <v>0</v>
      </c>
      <c r="P51" t="n">
        <v>0</v>
      </c>
      <c r="Q51" t="n">
        <v>2</v>
      </c>
      <c r="R51" t="n">
        <v>2</v>
      </c>
      <c r="S51" t="n">
        <v>3</v>
      </c>
      <c r="T51" t="n">
        <v>4</v>
      </c>
      <c r="U51" s="2" t="inlineStr">
        <is>
          <t>Violgubbe
Gul taggsvamp
Rödgul trumpetsvamp</t>
        </is>
      </c>
      <c r="V51">
        <f>HYPERLINK("https://klasma.github.io/Logging_0360/artfynd/A 25013-2025 artfynd.xlsx", "A 25013-2025")</f>
        <v/>
      </c>
      <c r="W51">
        <f>HYPERLINK("https://klasma.github.io/Logging_0360/kartor/A 25013-2025 karta.png", "A 25013-2025")</f>
        <v/>
      </c>
      <c r="Y51">
        <f>HYPERLINK("https://klasma.github.io/Logging_0360/klagomål/A 25013-2025 FSC-klagomål.docx", "A 25013-2025")</f>
        <v/>
      </c>
      <c r="Z51">
        <f>HYPERLINK("https://klasma.github.io/Logging_0360/klagomålsmail/A 25013-2025 FSC-klagomål mail.docx", "A 25013-2025")</f>
        <v/>
      </c>
      <c r="AA51">
        <f>HYPERLINK("https://klasma.github.io/Logging_0360/tillsyn/A 25013-2025 tillsynsbegäran.docx", "A 25013-2025")</f>
        <v/>
      </c>
      <c r="AB51">
        <f>HYPERLINK("https://klasma.github.io/Logging_0360/tillsynsmail/A 25013-2025 tillsynsbegäran mail.docx", "A 25013-2025")</f>
        <v/>
      </c>
    </row>
    <row r="52" ht="15" customHeight="1">
      <c r="A52" t="inlineStr">
        <is>
          <t>A 42363-2025</t>
        </is>
      </c>
      <c r="B52" t="inlineStr">
        <is>
          <t>avverkningsanmälan</t>
        </is>
      </c>
      <c r="C52" t="inlineStr">
        <is>
          <t>Föryngringsavverkning</t>
        </is>
      </c>
      <c r="D52" s="1" t="n">
        <v>45905</v>
      </c>
      <c r="E52" s="1" t="n">
        <v>46220</v>
      </c>
      <c r="F52" t="inlineStr">
        <is>
          <t>UPPSALA LÄN</t>
        </is>
      </c>
      <c r="G52" t="inlineStr">
        <is>
          <t>TIERP</t>
        </is>
      </c>
      <c r="I52" t="n">
        <v>8.4</v>
      </c>
      <c r="J52" t="n">
        <v>1</v>
      </c>
      <c r="K52" t="n">
        <v>0</v>
      </c>
      <c r="L52" t="n">
        <v>2</v>
      </c>
      <c r="M52" t="n">
        <v>0</v>
      </c>
      <c r="N52" t="n">
        <v>0</v>
      </c>
      <c r="O52" t="n">
        <v>0</v>
      </c>
      <c r="P52" t="n">
        <v>0</v>
      </c>
      <c r="Q52" t="n">
        <v>2</v>
      </c>
      <c r="R52" t="n">
        <v>0</v>
      </c>
      <c r="S52" t="n">
        <v>3</v>
      </c>
      <c r="T52" t="n">
        <v>4</v>
      </c>
      <c r="U52" s="2" t="inlineStr">
        <is>
          <t>Rynkskinn
Ullticka
Spillkråka</t>
        </is>
      </c>
      <c r="V52">
        <f>HYPERLINK("https://klasma.github.io/Logging_0360/artfynd/A 42363-2025 artfynd.xlsx", "A 42363-2025")</f>
        <v/>
      </c>
      <c r="W52">
        <f>HYPERLINK("https://klasma.github.io/Logging_0360/kartor/A 42363-2025 karta.png", "A 42363-2025")</f>
        <v/>
      </c>
      <c r="Y52">
        <f>HYPERLINK("https://klasma.github.io/Logging_0360/klagomål/A 42363-2025 FSC-klagomål.docx", "A 42363-2025")</f>
        <v/>
      </c>
      <c r="Z52">
        <f>HYPERLINK("https://klasma.github.io/Logging_0360/klagomålsmail/A 42363-2025 FSC-klagomål mail.docx", "A 42363-2025")</f>
        <v/>
      </c>
      <c r="AA52">
        <f>HYPERLINK("https://klasma.github.io/Logging_0360/tillsyn/A 42363-2025 tillsynsbegäran.docx", "A 42363-2025")</f>
        <v/>
      </c>
      <c r="AB52">
        <f>HYPERLINK("https://klasma.github.io/Logging_0360/tillsynsmail/A 42363-2025 tillsynsbegäran mail.docx", "A 42363-2025")</f>
        <v/>
      </c>
      <c r="AC52">
        <f>HYPERLINK("https://klasma.github.io/Logging_0360/fåglar/A 42363-2025 prioriterade fågelarter.docx", "A 42363-2025")</f>
        <v/>
      </c>
    </row>
    <row r="53" ht="15" customHeight="1">
      <c r="A53" t="inlineStr">
        <is>
          <t>A 1117-2026</t>
        </is>
      </c>
      <c r="B53" t="inlineStr">
        <is>
          <t>avverkningsanmälan</t>
        </is>
      </c>
      <c r="C53" t="inlineStr">
        <is>
          <t>Föryngringsavverkning</t>
        </is>
      </c>
      <c r="D53" s="1" t="n">
        <v>46029</v>
      </c>
      <c r="E53" s="1" t="n">
        <v>46220</v>
      </c>
      <c r="F53" t="inlineStr">
        <is>
          <t>UPPSALA LÄN</t>
        </is>
      </c>
      <c r="G53" t="inlineStr">
        <is>
          <t>TIERP</t>
        </is>
      </c>
      <c r="H53" t="inlineStr">
        <is>
          <t>Naturvårdsverket</t>
        </is>
      </c>
      <c r="I53" t="n">
        <v>2.8</v>
      </c>
      <c r="J53" t="n">
        <v>1</v>
      </c>
      <c r="K53" t="n">
        <v>1</v>
      </c>
      <c r="L53" t="n">
        <v>0</v>
      </c>
      <c r="M53" t="n">
        <v>1</v>
      </c>
      <c r="N53" t="n">
        <v>0</v>
      </c>
      <c r="O53" t="n">
        <v>0</v>
      </c>
      <c r="P53" t="n">
        <v>0</v>
      </c>
      <c r="Q53" t="n">
        <v>1</v>
      </c>
      <c r="R53" t="n">
        <v>1</v>
      </c>
      <c r="S53" t="n">
        <v>3</v>
      </c>
      <c r="T53" t="n">
        <v>3</v>
      </c>
      <c r="U53" s="2" t="inlineStr">
        <is>
          <t>Garnlav
Stor aspticka
Blåsippa</t>
        </is>
      </c>
      <c r="V53">
        <f>HYPERLINK("https://klasma.github.io/Logging_0360/artfynd/A 1117-2026 artfynd.xlsx", "A 1117-2026")</f>
        <v/>
      </c>
      <c r="W53">
        <f>HYPERLINK("https://klasma.github.io/Logging_0360/kartor/A 1117-2026 karta.png", "A 1117-2026")</f>
        <v/>
      </c>
      <c r="Y53">
        <f>HYPERLINK("https://klasma.github.io/Logging_0360/klagomål/A 1117-2026 FSC-klagomål.docx", "A 1117-2026")</f>
        <v/>
      </c>
      <c r="Z53">
        <f>HYPERLINK("https://klasma.github.io/Logging_0360/klagomålsmail/A 1117-2026 FSC-klagomål mail.docx", "A 1117-2026")</f>
        <v/>
      </c>
      <c r="AA53">
        <f>HYPERLINK("https://klasma.github.io/Logging_0360/tillsyn/A 1117-2026 tillsynsbegäran.docx", "A 1117-2026")</f>
        <v/>
      </c>
      <c r="AB53">
        <f>HYPERLINK("https://klasma.github.io/Logging_0360/tillsynsmail/A 1117-2026 tillsynsbegäran mail.docx", "A 1117-2026")</f>
        <v/>
      </c>
    </row>
    <row r="54" ht="15" customHeight="1">
      <c r="A54" t="inlineStr">
        <is>
          <t>A 1105-2026</t>
        </is>
      </c>
      <c r="B54" t="inlineStr">
        <is>
          <t>avverkningsanmälan</t>
        </is>
      </c>
      <c r="C54" t="inlineStr">
        <is>
          <t>Föryngringsavverkning</t>
        </is>
      </c>
      <c r="D54" s="1" t="n">
        <v>46029</v>
      </c>
      <c r="E54" s="1" t="n">
        <v>46220</v>
      </c>
      <c r="F54" t="inlineStr">
        <is>
          <t>UPPSALA LÄN</t>
        </is>
      </c>
      <c r="G54" t="inlineStr">
        <is>
          <t>TIERP</t>
        </is>
      </c>
      <c r="H54" t="inlineStr">
        <is>
          <t>Naturvårdsverket</t>
        </is>
      </c>
      <c r="I54" t="n">
        <v>2</v>
      </c>
      <c r="J54" t="n">
        <v>0</v>
      </c>
      <c r="K54" t="n">
        <v>2</v>
      </c>
      <c r="L54" t="n">
        <v>1</v>
      </c>
      <c r="M54" t="n">
        <v>0</v>
      </c>
      <c r="N54" t="n">
        <v>0</v>
      </c>
      <c r="O54" t="n">
        <v>0</v>
      </c>
      <c r="P54" t="n">
        <v>0</v>
      </c>
      <c r="Q54" t="n">
        <v>1</v>
      </c>
      <c r="R54" t="n">
        <v>0</v>
      </c>
      <c r="S54" t="n">
        <v>3</v>
      </c>
      <c r="T54" t="n">
        <v>4</v>
      </c>
      <c r="U54" s="2" t="inlineStr">
        <is>
          <t>Vedtrappmossa
Granbräken
Tibast</t>
        </is>
      </c>
      <c r="V54">
        <f>HYPERLINK("https://klasma.github.io/Logging_0360/artfynd/A 1105-2026 artfynd.xlsx", "A 1105-2026")</f>
        <v/>
      </c>
      <c r="W54">
        <f>HYPERLINK("https://klasma.github.io/Logging_0360/kartor/A 1105-2026 karta.png", "A 1105-2026")</f>
        <v/>
      </c>
      <c r="Y54">
        <f>HYPERLINK("https://klasma.github.io/Logging_0360/klagomål/A 1105-2026 FSC-klagomål.docx", "A 1105-2026")</f>
        <v/>
      </c>
      <c r="Z54">
        <f>HYPERLINK("https://klasma.github.io/Logging_0360/klagomålsmail/A 1105-2026 FSC-klagomål mail.docx", "A 1105-2026")</f>
        <v/>
      </c>
      <c r="AA54">
        <f>HYPERLINK("https://klasma.github.io/Logging_0360/tillsyn/A 1105-2026 tillsynsbegäran.docx", "A 1105-2026")</f>
        <v/>
      </c>
      <c r="AB54">
        <f>HYPERLINK("https://klasma.github.io/Logging_0360/tillsynsmail/A 1105-2026 tillsynsbegäran mail.docx", "A 1105-2026")</f>
        <v/>
      </c>
    </row>
    <row r="55" ht="15" customHeight="1">
      <c r="A55" t="inlineStr">
        <is>
          <t>A 54835-2025</t>
        </is>
      </c>
      <c r="B55" t="inlineStr">
        <is>
          <t>avverkningsanmälan</t>
        </is>
      </c>
      <c r="C55" t="inlineStr">
        <is>
          <t>Föryngringsavverkning</t>
        </is>
      </c>
      <c r="D55" s="1" t="n">
        <v>45966</v>
      </c>
      <c r="E55" s="1" t="n">
        <v>46220</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s="2" t="inlineStr">
        <is>
          <t>Knärot
Spillkråka
Tjäder</t>
        </is>
      </c>
      <c r="V55">
        <f>HYPERLINK("https://klasma.github.io/Logging_0360/artfynd/A 54835-2025 artfynd.xlsx", "A 54835-2025")</f>
        <v/>
      </c>
      <c r="W55">
        <f>HYPERLINK("https://klasma.github.io/Logging_0360/kartor/A 54835-2025 karta.png", "A 54835-2025")</f>
        <v/>
      </c>
      <c r="X55">
        <f>HYPERLINK("https://klasma.github.io/Logging_0360/knärot/A 54835-2025 karta knärot.png", "A 54835-2025")</f>
        <v/>
      </c>
      <c r="Y55">
        <f>HYPERLINK("https://klasma.github.io/Logging_0360/klagomål/A 54835-2025 FSC-klagomål.docx", "A 54835-2025")</f>
        <v/>
      </c>
      <c r="Z55">
        <f>HYPERLINK("https://klasma.github.io/Logging_0360/klagomålsmail/A 54835-2025 FSC-klagomål mail.docx", "A 54835-2025")</f>
        <v/>
      </c>
      <c r="AA55">
        <f>HYPERLINK("https://klasma.github.io/Logging_0360/tillsyn/A 54835-2025 tillsynsbegäran.docx", "A 54835-2025")</f>
        <v/>
      </c>
      <c r="AB55">
        <f>HYPERLINK("https://klasma.github.io/Logging_0360/tillsynsmail/A 54835-2025 tillsynsbegäran mail.docx", "A 54835-2025")</f>
        <v/>
      </c>
      <c r="AC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46220</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s="2" t="inlineStr">
        <is>
          <t>Garnlav
Flagellkvastmossa
Vågbandad barkbock</t>
        </is>
      </c>
      <c r="V56">
        <f>HYPERLINK("https://klasma.github.io/Logging_0360/artfynd/A 54537-2025 artfynd.xlsx", "A 54537-2025")</f>
        <v/>
      </c>
      <c r="W56">
        <f>HYPERLINK("https://klasma.github.io/Logging_0360/kartor/A 54537-2025 karta.png", "A 54537-2025")</f>
        <v/>
      </c>
      <c r="Y56">
        <f>HYPERLINK("https://klasma.github.io/Logging_0360/klagomål/A 54537-2025 FSC-klagomål.docx", "A 54537-2025")</f>
        <v/>
      </c>
      <c r="Z56">
        <f>HYPERLINK("https://klasma.github.io/Logging_0360/klagomålsmail/A 54537-2025 FSC-klagomål mail.docx", "A 54537-2025")</f>
        <v/>
      </c>
      <c r="AA56">
        <f>HYPERLINK("https://klasma.github.io/Logging_0360/tillsyn/A 54537-2025 tillsynsbegäran.docx", "A 54537-2025")</f>
        <v/>
      </c>
      <c r="AB56">
        <f>HYPERLINK("https://klasma.github.io/Logging_0360/tillsynsmail/A 54537-2025 tillsynsbegäran mail.docx", "A 54537-2025")</f>
        <v/>
      </c>
    </row>
    <row r="57" ht="15" customHeight="1">
      <c r="A57" t="inlineStr">
        <is>
          <t>A 9493-2026</t>
        </is>
      </c>
      <c r="B57" t="inlineStr">
        <is>
          <t>avverkningsanmälan</t>
        </is>
      </c>
      <c r="C57" t="inlineStr">
        <is>
          <t>Föryngringsavverkning</t>
        </is>
      </c>
      <c r="D57" s="1" t="n">
        <v>46071</v>
      </c>
      <c r="E57" s="1" t="n">
        <v>46220</v>
      </c>
      <c r="F57" t="inlineStr">
        <is>
          <t>UPPSALA LÄN</t>
        </is>
      </c>
      <c r="G57" t="inlineStr">
        <is>
          <t>TIERP</t>
        </is>
      </c>
      <c r="I57" t="n">
        <v>4.5</v>
      </c>
      <c r="J57" t="n">
        <v>2</v>
      </c>
      <c r="K57" t="n">
        <v>0</v>
      </c>
      <c r="L57" t="n">
        <v>1</v>
      </c>
      <c r="M57" t="n">
        <v>0</v>
      </c>
      <c r="N57" t="n">
        <v>0</v>
      </c>
      <c r="O57" t="n">
        <v>0</v>
      </c>
      <c r="P57" t="n">
        <v>0</v>
      </c>
      <c r="Q57" t="n">
        <v>1</v>
      </c>
      <c r="R57" t="n">
        <v>0</v>
      </c>
      <c r="S57" t="n">
        <v>3</v>
      </c>
      <c r="T57" t="n">
        <v>7</v>
      </c>
      <c r="U57" s="2" t="inlineStr">
        <is>
          <t>Klasefibbla
Fläcknycklar
Ängsnycklar</t>
        </is>
      </c>
      <c r="V57">
        <f>HYPERLINK("https://klasma.github.io/Logging_0360/artfynd/A 9493-2026 artfynd.xlsx", "A 9493-2026")</f>
        <v/>
      </c>
      <c r="W57">
        <f>HYPERLINK("https://klasma.github.io/Logging_0360/kartor/A 9493-2026 karta.png", "A 9493-2026")</f>
        <v/>
      </c>
      <c r="Y57">
        <f>HYPERLINK("https://klasma.github.io/Logging_0360/klagomål/A 9493-2026 FSC-klagomål.docx", "A 9493-2026")</f>
        <v/>
      </c>
      <c r="Z57">
        <f>HYPERLINK("https://klasma.github.io/Logging_0360/klagomålsmail/A 9493-2026 FSC-klagomål mail.docx", "A 9493-2026")</f>
        <v/>
      </c>
      <c r="AA57">
        <f>HYPERLINK("https://klasma.github.io/Logging_0360/tillsyn/A 9493-2026 tillsynsbegäran.docx", "A 9493-2026")</f>
        <v/>
      </c>
      <c r="AB57">
        <f>HYPERLINK("https://klasma.github.io/Logging_0360/tillsynsmail/A 9493-2026 tillsynsbegäran mail.docx", "A 9493-2026")</f>
        <v/>
      </c>
    </row>
    <row r="58" ht="15" customHeight="1">
      <c r="A58" t="inlineStr">
        <is>
          <t>A 140-2024</t>
        </is>
      </c>
      <c r="B58" t="inlineStr">
        <is>
          <t>avverkningsanmälan</t>
        </is>
      </c>
      <c r="C58" t="inlineStr">
        <is>
          <t>Föryngringsavverkning</t>
        </is>
      </c>
      <c r="D58" s="1" t="n">
        <v>45294</v>
      </c>
      <c r="E58" s="1" t="n">
        <v>46220</v>
      </c>
      <c r="F58" t="inlineStr">
        <is>
          <t>UPPSALA LÄN</t>
        </is>
      </c>
      <c r="G58" t="inlineStr">
        <is>
          <t>TIERP</t>
        </is>
      </c>
      <c r="I58" t="n">
        <v>2.9</v>
      </c>
      <c r="J58" t="n">
        <v>3</v>
      </c>
      <c r="K58" t="n">
        <v>0</v>
      </c>
      <c r="L58" t="n">
        <v>1</v>
      </c>
      <c r="M58" t="n">
        <v>0</v>
      </c>
      <c r="N58" t="n">
        <v>0</v>
      </c>
      <c r="O58" t="n">
        <v>0</v>
      </c>
      <c r="P58" t="n">
        <v>0</v>
      </c>
      <c r="Q58" t="n">
        <v>1</v>
      </c>
      <c r="R58" t="n">
        <v>0</v>
      </c>
      <c r="S58" t="n">
        <v>3</v>
      </c>
      <c r="T58" t="n">
        <v>4</v>
      </c>
      <c r="U58" s="2" t="inlineStr">
        <is>
          <t>Gulsparv
Kungsfågel
Ärtsångare</t>
        </is>
      </c>
      <c r="V58">
        <f>HYPERLINK("https://klasma.github.io/Logging_0360/artfynd/A 140-2024 artfynd.xlsx", "A 140-2024")</f>
        <v/>
      </c>
      <c r="W58">
        <f>HYPERLINK("https://klasma.github.io/Logging_0360/kartor/A 140-2024 karta.png", "A 140-2024")</f>
        <v/>
      </c>
      <c r="Y58">
        <f>HYPERLINK("https://klasma.github.io/Logging_0360/klagomål/A 140-2024 FSC-klagomål.docx", "A 140-2024")</f>
        <v/>
      </c>
      <c r="Z58">
        <f>HYPERLINK("https://klasma.github.io/Logging_0360/klagomålsmail/A 140-2024 FSC-klagomål mail.docx", "A 140-2024")</f>
        <v/>
      </c>
      <c r="AA58">
        <f>HYPERLINK("https://klasma.github.io/Logging_0360/tillsyn/A 140-2024 tillsynsbegäran.docx", "A 140-2024")</f>
        <v/>
      </c>
      <c r="AB58">
        <f>HYPERLINK("https://klasma.github.io/Logging_0360/tillsynsmail/A 140-2024 tillsynsbegäran mail.docx", "A 140-2024")</f>
        <v/>
      </c>
      <c r="AC58">
        <f>HYPERLINK("https://klasma.github.io/Logging_0360/fåglar/A 140-2024 prioriterade fågelarter.docx", "A 140-2024")</f>
        <v/>
      </c>
    </row>
    <row r="59" ht="15" customHeight="1">
      <c r="A59" t="inlineStr">
        <is>
          <t>A 14635-2026</t>
        </is>
      </c>
      <c r="B59" t="inlineStr">
        <is>
          <t>avverkningsanmälan</t>
        </is>
      </c>
      <c r="C59" t="inlineStr">
        <is>
          <t>Föryngringsavverkning</t>
        </is>
      </c>
      <c r="D59" s="1" t="n">
        <v>46101</v>
      </c>
      <c r="E59" s="1" t="n">
        <v>46220</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s="2" t="inlineStr">
        <is>
          <t>Gulsparv
Tvåblad
Ängsnycklar</t>
        </is>
      </c>
      <c r="V59">
        <f>HYPERLINK("https://klasma.github.io/Logging_0360/artfynd/A 14635-2026 artfynd.xlsx", "A 14635-2026")</f>
        <v/>
      </c>
      <c r="W59">
        <f>HYPERLINK("https://klasma.github.io/Logging_0360/kartor/A 14635-2026 karta.png", "A 14635-2026")</f>
        <v/>
      </c>
      <c r="Y59">
        <f>HYPERLINK("https://klasma.github.io/Logging_0360/klagomål/A 14635-2026 FSC-klagomål.docx", "A 14635-2026")</f>
        <v/>
      </c>
      <c r="Z59">
        <f>HYPERLINK("https://klasma.github.io/Logging_0360/klagomålsmail/A 14635-2026 FSC-klagomål mail.docx", "A 14635-2026")</f>
        <v/>
      </c>
      <c r="AA59">
        <f>HYPERLINK("https://klasma.github.io/Logging_0360/tillsyn/A 14635-2026 tillsynsbegäran.docx", "A 14635-2026")</f>
        <v/>
      </c>
      <c r="AB59">
        <f>HYPERLINK("https://klasma.github.io/Logging_0360/tillsynsmail/A 14635-2026 tillsynsbegäran mail.docx", "A 14635-2026")</f>
        <v/>
      </c>
      <c r="AC59">
        <f>HYPERLINK("https://klasma.github.io/Logging_0360/fåglar/A 14635-2026 prioriterade fågelarter.docx", "A 14635-2026")</f>
        <v/>
      </c>
    </row>
    <row r="60" ht="15" customHeight="1">
      <c r="A60" t="inlineStr">
        <is>
          <t>A 34979-2023</t>
        </is>
      </c>
      <c r="B60" t="inlineStr">
        <is>
          <t>avverkningsanmälan</t>
        </is>
      </c>
      <c r="C60" t="inlineStr">
        <is>
          <t>Föryngringsavverkning</t>
        </is>
      </c>
      <c r="D60" s="1" t="n">
        <v>45142</v>
      </c>
      <c r="E60" s="1" t="n">
        <v>46220</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s="2" t="inlineStr">
        <is>
          <t>Fjällig taggsvamp s.str.
Vedticka
Kungsfågel</t>
        </is>
      </c>
      <c r="V60">
        <f>HYPERLINK("https://klasma.github.io/Logging_0360/artfynd/A 34979-2023 artfynd.xlsx", "A 34979-2023")</f>
        <v/>
      </c>
      <c r="W60">
        <f>HYPERLINK("https://klasma.github.io/Logging_0360/kartor/A 34979-2023 karta.png", "A 34979-2023")</f>
        <v/>
      </c>
      <c r="Y60">
        <f>HYPERLINK("https://klasma.github.io/Logging_0360/klagomål/A 34979-2023 FSC-klagomål.docx", "A 34979-2023")</f>
        <v/>
      </c>
      <c r="Z60">
        <f>HYPERLINK("https://klasma.github.io/Logging_0360/klagomålsmail/A 34979-2023 FSC-klagomål mail.docx", "A 34979-2023")</f>
        <v/>
      </c>
      <c r="AA60">
        <f>HYPERLINK("https://klasma.github.io/Logging_0360/tillsyn/A 34979-2023 tillsynsbegäran.docx", "A 34979-2023")</f>
        <v/>
      </c>
      <c r="AB60">
        <f>HYPERLINK("https://klasma.github.io/Logging_0360/tillsynsmail/A 34979-2023 tillsynsbegäran mail.docx", "A 34979-2023")</f>
        <v/>
      </c>
    </row>
    <row r="61" ht="15" customHeight="1">
      <c r="A61" t="inlineStr">
        <is>
          <t>A 38151-2023</t>
        </is>
      </c>
      <c r="B61" t="inlineStr">
        <is>
          <t>avverkningsanmälan</t>
        </is>
      </c>
      <c r="C61" t="inlineStr">
        <is>
          <t>Föryngringsavverkning</t>
        </is>
      </c>
      <c r="D61" s="1" t="n">
        <v>45160</v>
      </c>
      <c r="E61" s="1" t="n">
        <v>46220</v>
      </c>
      <c r="F61" t="inlineStr">
        <is>
          <t>UPPSALA LÄN</t>
        </is>
      </c>
      <c r="G61" t="inlineStr">
        <is>
          <t>TIERP</t>
        </is>
      </c>
      <c r="I61" t="n">
        <v>1.4</v>
      </c>
      <c r="J61" t="n">
        <v>3</v>
      </c>
      <c r="K61" t="n">
        <v>0</v>
      </c>
      <c r="L61" t="n">
        <v>1</v>
      </c>
      <c r="M61" t="n">
        <v>1</v>
      </c>
      <c r="N61" t="n">
        <v>0</v>
      </c>
      <c r="O61" t="n">
        <v>0</v>
      </c>
      <c r="P61" t="n">
        <v>0</v>
      </c>
      <c r="Q61" t="n">
        <v>2</v>
      </c>
      <c r="R61" t="n">
        <v>1</v>
      </c>
      <c r="S61" t="n">
        <v>3</v>
      </c>
      <c r="T61" t="n">
        <v>3</v>
      </c>
      <c r="U61" s="2" t="inlineStr">
        <is>
          <t>Tornseglare
Nötkråka
Grönsiska</t>
        </is>
      </c>
      <c r="V61">
        <f>HYPERLINK("https://klasma.github.io/Logging_0360/artfynd/A 38151-2023 artfynd.xlsx", "A 38151-2023")</f>
        <v/>
      </c>
      <c r="W61">
        <f>HYPERLINK("https://klasma.github.io/Logging_0360/kartor/A 38151-2023 karta.png", "A 38151-2023")</f>
        <v/>
      </c>
      <c r="Y61">
        <f>HYPERLINK("https://klasma.github.io/Logging_0360/klagomål/A 38151-2023 FSC-klagomål.docx", "A 38151-2023")</f>
        <v/>
      </c>
      <c r="Z61">
        <f>HYPERLINK("https://klasma.github.io/Logging_0360/klagomålsmail/A 38151-2023 FSC-klagomål mail.docx", "A 38151-2023")</f>
        <v/>
      </c>
      <c r="AA61">
        <f>HYPERLINK("https://klasma.github.io/Logging_0360/tillsyn/A 38151-2023 tillsynsbegäran.docx", "A 38151-2023")</f>
        <v/>
      </c>
      <c r="AB61">
        <f>HYPERLINK("https://klasma.github.io/Logging_0360/tillsynsmail/A 38151-2023 tillsynsbegäran mail.docx", "A 38151-2023")</f>
        <v/>
      </c>
      <c r="AC61">
        <f>HYPERLINK("https://klasma.github.io/Logging_0360/fåglar/A 38151-2023 prioriterade fågelarter.docx", "A 38151-2023")</f>
        <v/>
      </c>
    </row>
    <row r="62" ht="15" customHeight="1">
      <c r="A62" t="inlineStr">
        <is>
          <t>A 2332-2024</t>
        </is>
      </c>
      <c r="B62" t="inlineStr">
        <is>
          <t>avverkningsanmälan</t>
        </is>
      </c>
      <c r="C62" t="inlineStr">
        <is>
          <t>Föryngringsavverkning</t>
        </is>
      </c>
      <c r="D62" s="1" t="n">
        <v>45310</v>
      </c>
      <c r="E62" s="1" t="n">
        <v>46220</v>
      </c>
      <c r="F62" t="inlineStr">
        <is>
          <t>UPPSALA LÄN</t>
        </is>
      </c>
      <c r="G62" t="inlineStr">
        <is>
          <t>TIERP</t>
        </is>
      </c>
      <c r="I62" t="n">
        <v>3.7</v>
      </c>
      <c r="J62" t="n">
        <v>3</v>
      </c>
      <c r="K62" t="n">
        <v>0</v>
      </c>
      <c r="L62" t="n">
        <v>1</v>
      </c>
      <c r="M62" t="n">
        <v>0</v>
      </c>
      <c r="N62" t="n">
        <v>0</v>
      </c>
      <c r="O62" t="n">
        <v>0</v>
      </c>
      <c r="P62" t="n">
        <v>0</v>
      </c>
      <c r="Q62" t="n">
        <v>1</v>
      </c>
      <c r="R62" t="n">
        <v>0</v>
      </c>
      <c r="S62" t="n">
        <v>3</v>
      </c>
      <c r="T62" t="n">
        <v>3</v>
      </c>
      <c r="U62" s="2" t="inlineStr">
        <is>
          <t>Talltita
Grönsiska
Kungsfågel</t>
        </is>
      </c>
      <c r="V62">
        <f>HYPERLINK("https://klasma.github.io/Logging_0360/artfynd/A 2332-2024 artfynd.xlsx", "A 2332-2024")</f>
        <v/>
      </c>
      <c r="W62">
        <f>HYPERLINK("https://klasma.github.io/Logging_0360/kartor/A 2332-2024 karta.png", "A 2332-2024")</f>
        <v/>
      </c>
      <c r="Y62">
        <f>HYPERLINK("https://klasma.github.io/Logging_0360/klagomål/A 2332-2024 FSC-klagomål.docx", "A 2332-2024")</f>
        <v/>
      </c>
      <c r="Z62">
        <f>HYPERLINK("https://klasma.github.io/Logging_0360/klagomålsmail/A 2332-2024 FSC-klagomål mail.docx", "A 2332-2024")</f>
        <v/>
      </c>
      <c r="AA62">
        <f>HYPERLINK("https://klasma.github.io/Logging_0360/tillsyn/A 2332-2024 tillsynsbegäran.docx", "A 2332-2024")</f>
        <v/>
      </c>
      <c r="AB62">
        <f>HYPERLINK("https://klasma.github.io/Logging_0360/tillsynsmail/A 2332-2024 tillsynsbegäran mail.docx", "A 2332-2024")</f>
        <v/>
      </c>
      <c r="AC62">
        <f>HYPERLINK("https://klasma.github.io/Logging_0360/fåglar/A 2332-2024 prioriterade fågelarter.docx", "A 2332-2024")</f>
        <v/>
      </c>
    </row>
    <row r="63" ht="15" customHeight="1">
      <c r="A63" t="inlineStr">
        <is>
          <t>A 15040-2024</t>
        </is>
      </c>
      <c r="B63" t="inlineStr">
        <is>
          <t>avverkningsanmälan</t>
        </is>
      </c>
      <c r="C63" t="inlineStr">
        <is>
          <t>Föryngringsavverkning</t>
        </is>
      </c>
      <c r="D63" s="1" t="n">
        <v>45399</v>
      </c>
      <c r="E63" s="1" t="n">
        <v>46220</v>
      </c>
      <c r="F63" t="inlineStr">
        <is>
          <t>UPPSALA LÄN</t>
        </is>
      </c>
      <c r="G63" t="inlineStr">
        <is>
          <t>TIERP</t>
        </is>
      </c>
      <c r="I63" t="n">
        <v>7.2</v>
      </c>
      <c r="J63" t="n">
        <v>1</v>
      </c>
      <c r="K63" t="n">
        <v>2</v>
      </c>
      <c r="L63" t="n">
        <v>0</v>
      </c>
      <c r="M63" t="n">
        <v>0</v>
      </c>
      <c r="N63" t="n">
        <v>0</v>
      </c>
      <c r="O63" t="n">
        <v>0</v>
      </c>
      <c r="P63" t="n">
        <v>0</v>
      </c>
      <c r="Q63" t="n">
        <v>0</v>
      </c>
      <c r="R63" t="n">
        <v>0</v>
      </c>
      <c r="S63" t="n">
        <v>2</v>
      </c>
      <c r="T63" t="n">
        <v>2</v>
      </c>
      <c r="U63" s="2" t="inlineStr">
        <is>
          <t>Granbräken
Grönkulla</t>
        </is>
      </c>
      <c r="V63">
        <f>HYPERLINK("https://klasma.github.io/Logging_0360/artfynd/A 15040-2024 artfynd.xlsx", "A 15040-2024")</f>
        <v/>
      </c>
      <c r="W63">
        <f>HYPERLINK("https://klasma.github.io/Logging_0360/kartor/A 15040-2024 karta.png", "A 15040-2024")</f>
        <v/>
      </c>
      <c r="Y63">
        <f>HYPERLINK("https://klasma.github.io/Logging_0360/klagomål/A 15040-2024 FSC-klagomål.docx", "A 15040-2024")</f>
        <v/>
      </c>
      <c r="Z63">
        <f>HYPERLINK("https://klasma.github.io/Logging_0360/klagomålsmail/A 15040-2024 FSC-klagomål mail.docx", "A 15040-2024")</f>
        <v/>
      </c>
      <c r="AA63">
        <f>HYPERLINK("https://klasma.github.io/Logging_0360/tillsyn/A 15040-2024 tillsynsbegäran.docx", "A 15040-2024")</f>
        <v/>
      </c>
      <c r="AB63">
        <f>HYPERLINK("https://klasma.github.io/Logging_0360/tillsynsmail/A 15040-2024 tillsynsbegäran mail.docx", "A 15040-2024")</f>
        <v/>
      </c>
    </row>
    <row r="64" ht="15" customHeight="1">
      <c r="A64" t="inlineStr">
        <is>
          <t>A 28223-2025</t>
        </is>
      </c>
      <c r="B64" t="inlineStr">
        <is>
          <t>avverkningsanmälan</t>
        </is>
      </c>
      <c r="C64" t="inlineStr">
        <is>
          <t>Föryngringsavverkning</t>
        </is>
      </c>
      <c r="D64" s="1" t="n">
        <v>45818</v>
      </c>
      <c r="E64" s="1" t="n">
        <v>46220</v>
      </c>
      <c r="F64" t="inlineStr">
        <is>
          <t>UPPSALA LÄN</t>
        </is>
      </c>
      <c r="G64" t="inlineStr">
        <is>
          <t>TIERP</t>
        </is>
      </c>
      <c r="H64" t="inlineStr">
        <is>
          <t>Bergvik skog öst AB</t>
        </is>
      </c>
      <c r="I64" t="n">
        <v>3.8</v>
      </c>
      <c r="J64" t="n">
        <v>1</v>
      </c>
      <c r="K64" t="n">
        <v>0</v>
      </c>
      <c r="L64" t="n">
        <v>2</v>
      </c>
      <c r="M64" t="n">
        <v>0</v>
      </c>
      <c r="N64" t="n">
        <v>0</v>
      </c>
      <c r="O64" t="n">
        <v>0</v>
      </c>
      <c r="P64" t="n">
        <v>0</v>
      </c>
      <c r="Q64" t="n">
        <v>2</v>
      </c>
      <c r="R64" t="n">
        <v>0</v>
      </c>
      <c r="S64" t="n">
        <v>2</v>
      </c>
      <c r="T64" t="n">
        <v>2</v>
      </c>
      <c r="U64" s="2" t="inlineStr">
        <is>
          <t>Rödvingetrast
Vårärt</t>
        </is>
      </c>
      <c r="V64">
        <f>HYPERLINK("https://klasma.github.io/Logging_0360/artfynd/A 28223-2025 artfynd.xlsx", "A 28223-2025")</f>
        <v/>
      </c>
      <c r="W64">
        <f>HYPERLINK("https://klasma.github.io/Logging_0360/kartor/A 28223-2025 karta.png", "A 28223-2025")</f>
        <v/>
      </c>
      <c r="Y64">
        <f>HYPERLINK("https://klasma.github.io/Logging_0360/klagomål/A 28223-2025 FSC-klagomål.docx", "A 28223-2025")</f>
        <v/>
      </c>
      <c r="Z64">
        <f>HYPERLINK("https://klasma.github.io/Logging_0360/klagomålsmail/A 28223-2025 FSC-klagomål mail.docx", "A 28223-2025")</f>
        <v/>
      </c>
      <c r="AA64">
        <f>HYPERLINK("https://klasma.github.io/Logging_0360/tillsyn/A 28223-2025 tillsynsbegäran.docx", "A 28223-2025")</f>
        <v/>
      </c>
      <c r="AB64">
        <f>HYPERLINK("https://klasma.github.io/Logging_0360/tillsynsmail/A 28223-2025 tillsynsbegäran mail.docx", "A 28223-2025")</f>
        <v/>
      </c>
      <c r="AC64">
        <f>HYPERLINK("https://klasma.github.io/Logging_0360/fåglar/A 28223-2025 prioriterade fågelarter.docx", "A 28223-2025")</f>
        <v/>
      </c>
    </row>
    <row r="65" ht="15" customHeight="1">
      <c r="A65" t="inlineStr">
        <is>
          <t>A 41699-2025</t>
        </is>
      </c>
      <c r="B65" t="inlineStr">
        <is>
          <t>avverkningsanmälan</t>
        </is>
      </c>
      <c r="C65" t="inlineStr">
        <is>
          <t>Föryngringsavverkning</t>
        </is>
      </c>
      <c r="D65" s="1" t="n">
        <v>45902</v>
      </c>
      <c r="E65" s="1" t="n">
        <v>46220</v>
      </c>
      <c r="F65" t="inlineStr">
        <is>
          <t>UPPSALA LÄN</t>
        </is>
      </c>
      <c r="G65" t="inlineStr">
        <is>
          <t>TIERP</t>
        </is>
      </c>
      <c r="I65" t="n">
        <v>1</v>
      </c>
      <c r="J65" t="n">
        <v>0</v>
      </c>
      <c r="K65" t="n">
        <v>1</v>
      </c>
      <c r="L65" t="n">
        <v>0</v>
      </c>
      <c r="M65" t="n">
        <v>1</v>
      </c>
      <c r="N65" t="n">
        <v>0</v>
      </c>
      <c r="O65" t="n">
        <v>0</v>
      </c>
      <c r="P65" t="n">
        <v>0</v>
      </c>
      <c r="Q65" t="n">
        <v>1</v>
      </c>
      <c r="R65" t="n">
        <v>1</v>
      </c>
      <c r="S65" t="n">
        <v>2</v>
      </c>
      <c r="T65" t="n">
        <v>2</v>
      </c>
      <c r="U65" s="2" t="inlineStr">
        <is>
          <t>Duvspindling
Olivspindling</t>
        </is>
      </c>
      <c r="V65">
        <f>HYPERLINK("https://klasma.github.io/Logging_0360/artfynd/A 41699-2025 artfynd.xlsx", "A 41699-2025")</f>
        <v/>
      </c>
      <c r="W65">
        <f>HYPERLINK("https://klasma.github.io/Logging_0360/kartor/A 41699-2025 karta.png", "A 41699-2025")</f>
        <v/>
      </c>
      <c r="Y65">
        <f>HYPERLINK("https://klasma.github.io/Logging_0360/klagomål/A 41699-2025 FSC-klagomål.docx", "A 41699-2025")</f>
        <v/>
      </c>
      <c r="Z65">
        <f>HYPERLINK("https://klasma.github.io/Logging_0360/klagomålsmail/A 41699-2025 FSC-klagomål mail.docx", "A 41699-2025")</f>
        <v/>
      </c>
      <c r="AA65">
        <f>HYPERLINK("https://klasma.github.io/Logging_0360/tillsyn/A 41699-2025 tillsynsbegäran.docx", "A 41699-2025")</f>
        <v/>
      </c>
      <c r="AB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46220</v>
      </c>
      <c r="F66" t="inlineStr">
        <is>
          <t>UPPSALA LÄN</t>
        </is>
      </c>
      <c r="G66" t="inlineStr">
        <is>
          <t>TIERP</t>
        </is>
      </c>
      <c r="I66" t="n">
        <v>0.6</v>
      </c>
      <c r="J66" t="n">
        <v>2</v>
      </c>
      <c r="K66" t="n">
        <v>1</v>
      </c>
      <c r="L66" t="n">
        <v>0</v>
      </c>
      <c r="M66" t="n">
        <v>1</v>
      </c>
      <c r="N66" t="n">
        <v>0</v>
      </c>
      <c r="O66" t="n">
        <v>0</v>
      </c>
      <c r="P66" t="n">
        <v>0</v>
      </c>
      <c r="Q66" t="n">
        <v>1</v>
      </c>
      <c r="R66" t="n">
        <v>1</v>
      </c>
      <c r="S66" t="n">
        <v>2</v>
      </c>
      <c r="T66" t="n">
        <v>2</v>
      </c>
      <c r="U66" s="2" t="inlineStr">
        <is>
          <t>Gulyxne
Skogsknipprot</t>
        </is>
      </c>
      <c r="V66">
        <f>HYPERLINK("https://klasma.github.io/Logging_0360/artfynd/A 58107-2024 artfynd.xlsx", "A 58107-2024")</f>
        <v/>
      </c>
      <c r="W66">
        <f>HYPERLINK("https://klasma.github.io/Logging_0360/kartor/A 58107-2024 karta.png", "A 58107-2024")</f>
        <v/>
      </c>
      <c r="Y66">
        <f>HYPERLINK("https://klasma.github.io/Logging_0360/klagomål/A 58107-2024 FSC-klagomål.docx", "A 58107-2024")</f>
        <v/>
      </c>
      <c r="Z66">
        <f>HYPERLINK("https://klasma.github.io/Logging_0360/klagomålsmail/A 58107-2024 FSC-klagomål mail.docx", "A 58107-2024")</f>
        <v/>
      </c>
      <c r="AA66">
        <f>HYPERLINK("https://klasma.github.io/Logging_0360/tillsyn/A 58107-2024 tillsynsbegäran.docx", "A 58107-2024")</f>
        <v/>
      </c>
      <c r="AB66">
        <f>HYPERLINK("https://klasma.github.io/Logging_0360/tillsynsmail/A 58107-2024 tillsynsbegäran mail.docx", "A 58107-2024")</f>
        <v/>
      </c>
    </row>
    <row r="67" ht="15" customHeight="1">
      <c r="A67" t="inlineStr">
        <is>
          <t>A 34922-2025</t>
        </is>
      </c>
      <c r="B67" t="inlineStr">
        <is>
          <t>avverkningsanmälan</t>
        </is>
      </c>
      <c r="C67" t="inlineStr">
        <is>
          <t>Föryngringsavverkning</t>
        </is>
      </c>
      <c r="D67" s="1" t="n">
        <v>45849</v>
      </c>
      <c r="E67" s="1" t="n">
        <v>46220</v>
      </c>
      <c r="F67" t="inlineStr">
        <is>
          <t>UPPSALA LÄN</t>
        </is>
      </c>
      <c r="G67" t="inlineStr">
        <is>
          <t>TIERP</t>
        </is>
      </c>
      <c r="I67" t="n">
        <v>4.7</v>
      </c>
      <c r="J67" t="n">
        <v>1</v>
      </c>
      <c r="K67" t="n">
        <v>0</v>
      </c>
      <c r="L67" t="n">
        <v>1</v>
      </c>
      <c r="M67" t="n">
        <v>0</v>
      </c>
      <c r="N67" t="n">
        <v>0</v>
      </c>
      <c r="O67" t="n">
        <v>0</v>
      </c>
      <c r="P67" t="n">
        <v>0</v>
      </c>
      <c r="Q67" t="n">
        <v>1</v>
      </c>
      <c r="R67" t="n">
        <v>0</v>
      </c>
      <c r="S67" t="n">
        <v>2</v>
      </c>
      <c r="T67" t="n">
        <v>2</v>
      </c>
      <c r="U67" s="2" t="inlineStr">
        <is>
          <t>Blanksvart spiklav
Orre</t>
        </is>
      </c>
      <c r="V67">
        <f>HYPERLINK("https://klasma.github.io/Logging_0360/artfynd/A 34922-2025 artfynd.xlsx", "A 34922-2025")</f>
        <v/>
      </c>
      <c r="W67">
        <f>HYPERLINK("https://klasma.github.io/Logging_0360/kartor/A 34922-2025 karta.png", "A 34922-2025")</f>
        <v/>
      </c>
      <c r="Y67">
        <f>HYPERLINK("https://klasma.github.io/Logging_0360/klagomål/A 34922-2025 FSC-klagomål.docx", "A 34922-2025")</f>
        <v/>
      </c>
      <c r="Z67">
        <f>HYPERLINK("https://klasma.github.io/Logging_0360/klagomålsmail/A 34922-2025 FSC-klagomål mail.docx", "A 34922-2025")</f>
        <v/>
      </c>
      <c r="AA67">
        <f>HYPERLINK("https://klasma.github.io/Logging_0360/tillsyn/A 34922-2025 tillsynsbegäran.docx", "A 34922-2025")</f>
        <v/>
      </c>
      <c r="AB67">
        <f>HYPERLINK("https://klasma.github.io/Logging_0360/tillsynsmail/A 34922-2025 tillsynsbegäran mail.docx", "A 34922-2025")</f>
        <v/>
      </c>
      <c r="AC67">
        <f>HYPERLINK("https://klasma.github.io/Logging_0360/fåglar/A 34922-2025 prioriterade fågelarter.docx", "A 34922-2025")</f>
        <v/>
      </c>
    </row>
    <row r="68" ht="15" customHeight="1">
      <c r="A68" t="inlineStr">
        <is>
          <t>A 64540-2023</t>
        </is>
      </c>
      <c r="B68" t="inlineStr">
        <is>
          <t>avverkningsanmälan</t>
        </is>
      </c>
      <c r="C68" t="inlineStr">
        <is>
          <t>Föryngringsavverkning</t>
        </is>
      </c>
      <c r="D68" s="1" t="n">
        <v>45281</v>
      </c>
      <c r="E68" s="1" t="n">
        <v>46220</v>
      </c>
      <c r="F68" t="inlineStr">
        <is>
          <t>UPPSALA LÄN</t>
        </is>
      </c>
      <c r="G68" t="inlineStr">
        <is>
          <t>TIERP</t>
        </is>
      </c>
      <c r="I68" t="n">
        <v>2.3</v>
      </c>
      <c r="J68" t="n">
        <v>0</v>
      </c>
      <c r="K68" t="n">
        <v>1</v>
      </c>
      <c r="L68" t="n">
        <v>1</v>
      </c>
      <c r="M68" t="n">
        <v>0</v>
      </c>
      <c r="N68" t="n">
        <v>0</v>
      </c>
      <c r="O68" t="n">
        <v>0</v>
      </c>
      <c r="P68" t="n">
        <v>0</v>
      </c>
      <c r="Q68" t="n">
        <v>1</v>
      </c>
      <c r="R68" t="n">
        <v>0</v>
      </c>
      <c r="S68" t="n">
        <v>2</v>
      </c>
      <c r="T68" t="n">
        <v>2</v>
      </c>
      <c r="U68" s="2" t="inlineStr">
        <is>
          <t>Flattoppad klubbsvamp
Brandticka</t>
        </is>
      </c>
      <c r="V68">
        <f>HYPERLINK("https://klasma.github.io/Logging_0360/artfynd/A 64540-2023 artfynd.xlsx", "A 64540-2023")</f>
        <v/>
      </c>
      <c r="W68">
        <f>HYPERLINK("https://klasma.github.io/Logging_0360/kartor/A 64540-2023 karta.png", "A 64540-2023")</f>
        <v/>
      </c>
      <c r="Y68">
        <f>HYPERLINK("https://klasma.github.io/Logging_0360/klagomål/A 64540-2023 FSC-klagomål.docx", "A 64540-2023")</f>
        <v/>
      </c>
      <c r="Z68">
        <f>HYPERLINK("https://klasma.github.io/Logging_0360/klagomålsmail/A 64540-2023 FSC-klagomål mail.docx", "A 64540-2023")</f>
        <v/>
      </c>
      <c r="AA68">
        <f>HYPERLINK("https://klasma.github.io/Logging_0360/tillsyn/A 64540-2023 tillsynsbegäran.docx", "A 64540-2023")</f>
        <v/>
      </c>
      <c r="AB68">
        <f>HYPERLINK("https://klasma.github.io/Logging_0360/tillsynsmail/A 64540-2023 tillsynsbegäran mail.docx", "A 64540-2023")</f>
        <v/>
      </c>
    </row>
    <row r="69" ht="15" customHeight="1">
      <c r="A69" t="inlineStr">
        <is>
          <t>A 52211-2025</t>
        </is>
      </c>
      <c r="B69" t="inlineStr">
        <is>
          <t>avverkningsanmälan</t>
        </is>
      </c>
      <c r="C69" t="inlineStr">
        <is>
          <t>Föryngringsavverkning</t>
        </is>
      </c>
      <c r="D69" s="1" t="n">
        <v>45953</v>
      </c>
      <c r="E69" s="1" t="n">
        <v>46220</v>
      </c>
      <c r="F69" t="inlineStr">
        <is>
          <t>UPPSALA LÄN</t>
        </is>
      </c>
      <c r="G69" t="inlineStr">
        <is>
          <t>TIERP</t>
        </is>
      </c>
      <c r="H69" t="inlineStr">
        <is>
          <t>Bergvik skog öst AB</t>
        </is>
      </c>
      <c r="I69" t="n">
        <v>7.8</v>
      </c>
      <c r="J69" t="n">
        <v>2</v>
      </c>
      <c r="K69" t="n">
        <v>0</v>
      </c>
      <c r="L69" t="n">
        <v>0</v>
      </c>
      <c r="M69" t="n">
        <v>0</v>
      </c>
      <c r="N69" t="n">
        <v>0</v>
      </c>
      <c r="O69" t="n">
        <v>0</v>
      </c>
      <c r="P69" t="n">
        <v>0</v>
      </c>
      <c r="Q69" t="n">
        <v>0</v>
      </c>
      <c r="R69" t="n">
        <v>0</v>
      </c>
      <c r="S69" t="n">
        <v>2</v>
      </c>
      <c r="T69" t="n">
        <v>4</v>
      </c>
      <c r="U69" s="2" t="inlineStr">
        <is>
          <t>Tjäder
Havsörn</t>
        </is>
      </c>
      <c r="V69">
        <f>HYPERLINK("https://klasma.github.io/Logging_0360/artfynd/A 52211-2025 artfynd.xlsx", "A 52211-2025")</f>
        <v/>
      </c>
      <c r="W69">
        <f>HYPERLINK("https://klasma.github.io/Logging_0360/kartor/A 52211-2025 karta.png", "A 52211-2025")</f>
        <v/>
      </c>
      <c r="Y69">
        <f>HYPERLINK("https://klasma.github.io/Logging_0360/klagomål/A 52211-2025 FSC-klagomål.docx", "A 52211-2025")</f>
        <v/>
      </c>
      <c r="Z69">
        <f>HYPERLINK("https://klasma.github.io/Logging_0360/klagomålsmail/A 52211-2025 FSC-klagomål mail.docx", "A 52211-2025")</f>
        <v/>
      </c>
      <c r="AA69">
        <f>HYPERLINK("https://klasma.github.io/Logging_0360/tillsyn/A 52211-2025 tillsynsbegäran.docx", "A 52211-2025")</f>
        <v/>
      </c>
      <c r="AB69">
        <f>HYPERLINK("https://klasma.github.io/Logging_0360/tillsynsmail/A 52211-2025 tillsynsbegäran mail.docx", "A 52211-2025")</f>
        <v/>
      </c>
      <c r="AC69">
        <f>HYPERLINK("https://klasma.github.io/Logging_0360/fåglar/A 52211-2025 prioriterade fågelarter.docx", "A 52211-2025")</f>
        <v/>
      </c>
    </row>
    <row r="70" ht="15" customHeight="1">
      <c r="A70" t="inlineStr">
        <is>
          <t>A 56972-2022</t>
        </is>
      </c>
      <c r="B70" t="inlineStr">
        <is>
          <t>avverkningsanmälan</t>
        </is>
      </c>
      <c r="C70" t="inlineStr">
        <is>
          <t>Föryngringsavverkning</t>
        </is>
      </c>
      <c r="D70" s="1" t="n">
        <v>44894</v>
      </c>
      <c r="E70" s="1" t="n">
        <v>46220</v>
      </c>
      <c r="F70" t="inlineStr">
        <is>
          <t>UPPSALA LÄN</t>
        </is>
      </c>
      <c r="G70" t="inlineStr">
        <is>
          <t>TIERP</t>
        </is>
      </c>
      <c r="I70" t="n">
        <v>11</v>
      </c>
      <c r="J70" t="n">
        <v>1</v>
      </c>
      <c r="K70" t="n">
        <v>0</v>
      </c>
      <c r="L70" t="n">
        <v>0</v>
      </c>
      <c r="M70" t="n">
        <v>0</v>
      </c>
      <c r="N70" t="n">
        <v>1</v>
      </c>
      <c r="O70" t="n">
        <v>0</v>
      </c>
      <c r="P70" t="n">
        <v>0</v>
      </c>
      <c r="Q70" t="n">
        <v>1</v>
      </c>
      <c r="R70" t="n">
        <v>1</v>
      </c>
      <c r="S70" t="n">
        <v>2</v>
      </c>
      <c r="T70" t="n">
        <v>2</v>
      </c>
      <c r="U70" s="2" t="inlineStr">
        <is>
          <t>Violgubbe
Tjäder</t>
        </is>
      </c>
      <c r="V70">
        <f>HYPERLINK("https://klasma.github.io/Logging_0360/artfynd/A 56972-2022 artfynd.xlsx", "A 56972-2022")</f>
        <v/>
      </c>
      <c r="W70">
        <f>HYPERLINK("https://klasma.github.io/Logging_0360/kartor/A 56972-2022 karta.png", "A 56972-2022")</f>
        <v/>
      </c>
      <c r="Y70">
        <f>HYPERLINK("https://klasma.github.io/Logging_0360/klagomål/A 56972-2022 FSC-klagomål.docx", "A 56972-2022")</f>
        <v/>
      </c>
      <c r="Z70">
        <f>HYPERLINK("https://klasma.github.io/Logging_0360/klagomålsmail/A 56972-2022 FSC-klagomål mail.docx", "A 56972-2022")</f>
        <v/>
      </c>
      <c r="AA70">
        <f>HYPERLINK("https://klasma.github.io/Logging_0360/tillsyn/A 56972-2022 tillsynsbegäran.docx", "A 56972-2022")</f>
        <v/>
      </c>
      <c r="AB70">
        <f>HYPERLINK("https://klasma.github.io/Logging_0360/tillsynsmail/A 56972-2022 tillsynsbegäran mail.docx", "A 56972-2022")</f>
        <v/>
      </c>
      <c r="AC70">
        <f>HYPERLINK("https://klasma.github.io/Logging_0360/fåglar/A 56972-2022 prioriterade fågelarter.docx", "A 56972-2022")</f>
        <v/>
      </c>
    </row>
    <row r="71" ht="15" customHeight="1">
      <c r="A71" t="inlineStr">
        <is>
          <t>A 54141-2025</t>
        </is>
      </c>
      <c r="B71" t="inlineStr">
        <is>
          <t>avverkningsanmälan</t>
        </is>
      </c>
      <c r="C71" t="inlineStr">
        <is>
          <t>Föryngringsavverkning</t>
        </is>
      </c>
      <c r="D71" s="1" t="n">
        <v>45964</v>
      </c>
      <c r="E71" s="1" t="n">
        <v>46220</v>
      </c>
      <c r="F71" t="inlineStr">
        <is>
          <t>UPPSALA LÄN</t>
        </is>
      </c>
      <c r="G71" t="inlineStr">
        <is>
          <t>TIERP</t>
        </is>
      </c>
      <c r="I71" t="n">
        <v>1.7</v>
      </c>
      <c r="J71" t="n">
        <v>0</v>
      </c>
      <c r="K71" t="n">
        <v>1</v>
      </c>
      <c r="L71" t="n">
        <v>0</v>
      </c>
      <c r="M71" t="n">
        <v>0</v>
      </c>
      <c r="N71" t="n">
        <v>1</v>
      </c>
      <c r="O71" t="n">
        <v>0</v>
      </c>
      <c r="P71" t="n">
        <v>0</v>
      </c>
      <c r="Q71" t="n">
        <v>1</v>
      </c>
      <c r="R71" t="n">
        <v>1</v>
      </c>
      <c r="S71" t="n">
        <v>2</v>
      </c>
      <c r="T71" t="n">
        <v>2</v>
      </c>
      <c r="U71" s="2" t="inlineStr">
        <is>
          <t>Violgubbe
Svart trolldruva</t>
        </is>
      </c>
      <c r="V71">
        <f>HYPERLINK("https://klasma.github.io/Logging_0360/artfynd/A 54141-2025 artfynd.xlsx", "A 54141-2025")</f>
        <v/>
      </c>
      <c r="W71">
        <f>HYPERLINK("https://klasma.github.io/Logging_0360/kartor/A 54141-2025 karta.png", "A 54141-2025")</f>
        <v/>
      </c>
      <c r="Y71">
        <f>HYPERLINK("https://klasma.github.io/Logging_0360/klagomål/A 54141-2025 FSC-klagomål.docx", "A 54141-2025")</f>
        <v/>
      </c>
      <c r="Z71">
        <f>HYPERLINK("https://klasma.github.io/Logging_0360/klagomålsmail/A 54141-2025 FSC-klagomål mail.docx", "A 54141-2025")</f>
        <v/>
      </c>
      <c r="AA71">
        <f>HYPERLINK("https://klasma.github.io/Logging_0360/tillsyn/A 54141-2025 tillsynsbegäran.docx", "A 54141-2025")</f>
        <v/>
      </c>
      <c r="AB71">
        <f>HYPERLINK("https://klasma.github.io/Logging_0360/tillsynsmail/A 54141-2025 tillsynsbegäran mail.docx", "A 54141-2025")</f>
        <v/>
      </c>
    </row>
    <row r="72" ht="15" customHeight="1">
      <c r="A72" t="inlineStr">
        <is>
          <t>A 53324-2021</t>
        </is>
      </c>
      <c r="B72" t="inlineStr">
        <is>
          <t>avverkningsanmälan</t>
        </is>
      </c>
      <c r="C72" t="inlineStr">
        <is>
          <t>Föryngringsavverkning</t>
        </is>
      </c>
      <c r="D72" s="1" t="n">
        <v>44468</v>
      </c>
      <c r="E72" s="1" t="n">
        <v>46220</v>
      </c>
      <c r="F72" t="inlineStr">
        <is>
          <t>UPPSALA LÄN</t>
        </is>
      </c>
      <c r="G72" t="inlineStr">
        <is>
          <t>TIERP</t>
        </is>
      </c>
      <c r="I72" t="n">
        <v>0.8</v>
      </c>
      <c r="J72" t="n">
        <v>0</v>
      </c>
      <c r="K72" t="n">
        <v>2</v>
      </c>
      <c r="L72" t="n">
        <v>0</v>
      </c>
      <c r="M72" t="n">
        <v>0</v>
      </c>
      <c r="N72" t="n">
        <v>0</v>
      </c>
      <c r="O72" t="n">
        <v>0</v>
      </c>
      <c r="P72" t="n">
        <v>0</v>
      </c>
      <c r="Q72" t="n">
        <v>0</v>
      </c>
      <c r="R72" t="n">
        <v>0</v>
      </c>
      <c r="S72" t="n">
        <v>2</v>
      </c>
      <c r="T72" t="n">
        <v>2</v>
      </c>
      <c r="U72" s="2" t="inlineStr">
        <is>
          <t>Jättesvampmal
Stor aspticka</t>
        </is>
      </c>
      <c r="V72">
        <f>HYPERLINK("https://klasma.github.io/Logging_0360/artfynd/A 53324-2021 artfynd.xlsx", "A 53324-2021")</f>
        <v/>
      </c>
      <c r="W72">
        <f>HYPERLINK("https://klasma.github.io/Logging_0360/kartor/A 53324-2021 karta.png", "A 53324-2021")</f>
        <v/>
      </c>
      <c r="Y72">
        <f>HYPERLINK("https://klasma.github.io/Logging_0360/klagomål/A 53324-2021 FSC-klagomål.docx", "A 53324-2021")</f>
        <v/>
      </c>
      <c r="Z72">
        <f>HYPERLINK("https://klasma.github.io/Logging_0360/klagomålsmail/A 53324-2021 FSC-klagomål mail.docx", "A 53324-2021")</f>
        <v/>
      </c>
      <c r="AA72">
        <f>HYPERLINK("https://klasma.github.io/Logging_0360/tillsyn/A 53324-2021 tillsynsbegäran.docx", "A 53324-2021")</f>
        <v/>
      </c>
      <c r="AB72">
        <f>HYPERLINK("https://klasma.github.io/Logging_0360/tillsynsmail/A 53324-2021 tillsynsbegäran mail.docx", "A 53324-2021")</f>
        <v/>
      </c>
    </row>
    <row r="73" ht="15" customHeight="1">
      <c r="A73" t="inlineStr">
        <is>
          <t>A 27345-2026</t>
        </is>
      </c>
      <c r="B73" t="inlineStr">
        <is>
          <t>avverkningsanmälan</t>
        </is>
      </c>
      <c r="C73" t="inlineStr">
        <is>
          <t>Föryngringsavverkning</t>
        </is>
      </c>
      <c r="D73" s="1" t="n">
        <v>46188</v>
      </c>
      <c r="E73" s="1" t="n">
        <v>46220</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s="2" t="inlineStr">
        <is>
          <t>Gulsparv
Kungsfågel</t>
        </is>
      </c>
      <c r="V73">
        <f>HYPERLINK("https://klasma.github.io/Logging_0360/artfynd/A 27345-2026 artfynd.xlsx", "A 27345-2026")</f>
        <v/>
      </c>
      <c r="W73">
        <f>HYPERLINK("https://klasma.github.io/Logging_0360/kartor/A 27345-2026 karta.png", "A 27345-2026")</f>
        <v/>
      </c>
      <c r="Y73">
        <f>HYPERLINK("https://klasma.github.io/Logging_0360/klagomål/A 27345-2026 FSC-klagomål.docx", "A 27345-2026")</f>
        <v/>
      </c>
      <c r="Z73">
        <f>HYPERLINK("https://klasma.github.io/Logging_0360/klagomålsmail/A 27345-2026 FSC-klagomål mail.docx", "A 27345-2026")</f>
        <v/>
      </c>
      <c r="AA73">
        <f>HYPERLINK("https://klasma.github.io/Logging_0360/tillsyn/A 27345-2026 tillsynsbegäran.docx", "A 27345-2026")</f>
        <v/>
      </c>
      <c r="AB73">
        <f>HYPERLINK("https://klasma.github.io/Logging_0360/tillsynsmail/A 27345-2026 tillsynsbegäran mail.docx", "A 27345-2026")</f>
        <v/>
      </c>
      <c r="AC73">
        <f>HYPERLINK("https://klasma.github.io/Logging_0360/fåglar/A 27345-2026 prioriterade fågelarter.docx", "A 27345-2026")</f>
        <v/>
      </c>
    </row>
    <row r="74" ht="15" customHeight="1">
      <c r="A74" t="inlineStr">
        <is>
          <t>A 27342-2026</t>
        </is>
      </c>
      <c r="B74" t="inlineStr">
        <is>
          <t>avverkningsanmälan</t>
        </is>
      </c>
      <c r="C74" t="inlineStr">
        <is>
          <t>Föryngringsavverkning</t>
        </is>
      </c>
      <c r="D74" s="1" t="n">
        <v>46188</v>
      </c>
      <c r="E74" s="1" t="n">
        <v>46220</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s="2" t="inlineStr">
        <is>
          <t>Gulsparv
Kungsfågel</t>
        </is>
      </c>
      <c r="V74">
        <f>HYPERLINK("https://klasma.github.io/Logging_0360/artfynd/A 27342-2026 artfynd.xlsx", "A 27342-2026")</f>
        <v/>
      </c>
      <c r="W74">
        <f>HYPERLINK("https://klasma.github.io/Logging_0360/kartor/A 27342-2026 karta.png", "A 27342-2026")</f>
        <v/>
      </c>
      <c r="Y74">
        <f>HYPERLINK("https://klasma.github.io/Logging_0360/klagomål/A 27342-2026 FSC-klagomål.docx", "A 27342-2026")</f>
        <v/>
      </c>
      <c r="Z74">
        <f>HYPERLINK("https://klasma.github.io/Logging_0360/klagomålsmail/A 27342-2026 FSC-klagomål mail.docx", "A 27342-2026")</f>
        <v/>
      </c>
      <c r="AA74">
        <f>HYPERLINK("https://klasma.github.io/Logging_0360/tillsyn/A 27342-2026 tillsynsbegäran.docx", "A 27342-2026")</f>
        <v/>
      </c>
      <c r="AB74">
        <f>HYPERLINK("https://klasma.github.io/Logging_0360/tillsynsmail/A 27342-2026 tillsynsbegäran mail.docx", "A 27342-2026")</f>
        <v/>
      </c>
      <c r="AC74">
        <f>HYPERLINK("https://klasma.github.io/Logging_0360/fåglar/A 27342-2026 prioriterade fågelarter.docx", "A 27342-2026")</f>
        <v/>
      </c>
    </row>
    <row r="75" ht="15" customHeight="1">
      <c r="A75" t="inlineStr">
        <is>
          <t>A 27835-2026</t>
        </is>
      </c>
      <c r="B75" t="inlineStr">
        <is>
          <t>avverkningsanmälan</t>
        </is>
      </c>
      <c r="C75" t="inlineStr">
        <is>
          <t>Föryngringsavverkning</t>
        </is>
      </c>
      <c r="D75" s="1" t="n">
        <v>46191</v>
      </c>
      <c r="E75" s="1" t="n">
        <v>46220</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s="2" t="inlineStr">
        <is>
          <t>Tvåblad
Nattviol</t>
        </is>
      </c>
      <c r="V75">
        <f>HYPERLINK("https://klasma.github.io/Logging_0360/artfynd/A 27835-2026 artfynd.xlsx", "A 27835-2026")</f>
        <v/>
      </c>
      <c r="W75">
        <f>HYPERLINK("https://klasma.github.io/Logging_0360/kartor/A 27835-2026 karta.png", "A 27835-2026")</f>
        <v/>
      </c>
      <c r="Y75">
        <f>HYPERLINK("https://klasma.github.io/Logging_0360/klagomål/A 27835-2026 FSC-klagomål.docx", "A 27835-2026")</f>
        <v/>
      </c>
      <c r="Z75">
        <f>HYPERLINK("https://klasma.github.io/Logging_0360/klagomålsmail/A 27835-2026 FSC-klagomål mail.docx", "A 27835-2026")</f>
        <v/>
      </c>
      <c r="AA75">
        <f>HYPERLINK("https://klasma.github.io/Logging_0360/tillsyn/A 27835-2026 tillsynsbegäran.docx", "A 27835-2026")</f>
        <v/>
      </c>
      <c r="AB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46220</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s="2" t="inlineStr">
        <is>
          <t>Järnsparv
Kungsfågel</t>
        </is>
      </c>
      <c r="V76">
        <f>HYPERLINK("https://klasma.github.io/Logging_0360/artfynd/A 49647-2022 artfynd.xlsx", "A 49647-2022")</f>
        <v/>
      </c>
      <c r="W76">
        <f>HYPERLINK("https://klasma.github.io/Logging_0360/kartor/A 49647-2022 karta.png", "A 49647-2022")</f>
        <v/>
      </c>
      <c r="Y76">
        <f>HYPERLINK("https://klasma.github.io/Logging_0360/klagomål/A 49647-2022 FSC-klagomål.docx", "A 49647-2022")</f>
        <v/>
      </c>
      <c r="Z76">
        <f>HYPERLINK("https://klasma.github.io/Logging_0360/klagomålsmail/A 49647-2022 FSC-klagomål mail.docx", "A 49647-2022")</f>
        <v/>
      </c>
      <c r="AA76">
        <f>HYPERLINK("https://klasma.github.io/Logging_0360/tillsyn/A 49647-2022 tillsynsbegäran.docx", "A 49647-2022")</f>
        <v/>
      </c>
      <c r="AB76">
        <f>HYPERLINK("https://klasma.github.io/Logging_0360/tillsynsmail/A 49647-2022 tillsynsbegäran mail.docx", "A 49647-2022")</f>
        <v/>
      </c>
      <c r="AC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46220</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s="2" t="inlineStr">
        <is>
          <t>Silverblåvinge
Skogsklocka</t>
        </is>
      </c>
      <c r="V77">
        <f>HYPERLINK("https://klasma.github.io/Logging_0360/artfynd/A 13066-2024 artfynd.xlsx", "A 13066-2024")</f>
        <v/>
      </c>
      <c r="W77">
        <f>HYPERLINK("https://klasma.github.io/Logging_0360/kartor/A 13066-2024 karta.png", "A 13066-2024")</f>
        <v/>
      </c>
      <c r="Y77">
        <f>HYPERLINK("https://klasma.github.io/Logging_0360/klagomål/A 13066-2024 FSC-klagomål.docx", "A 13066-2024")</f>
        <v/>
      </c>
      <c r="Z77">
        <f>HYPERLINK("https://klasma.github.io/Logging_0360/klagomålsmail/A 13066-2024 FSC-klagomål mail.docx", "A 13066-2024")</f>
        <v/>
      </c>
      <c r="AA77">
        <f>HYPERLINK("https://klasma.github.io/Logging_0360/tillsyn/A 13066-2024 tillsynsbegäran.docx", "A 13066-2024")</f>
        <v/>
      </c>
      <c r="AB77">
        <f>HYPERLINK("https://klasma.github.io/Logging_0360/tillsynsmail/A 13066-2024 tillsynsbegäran mail.docx", "A 13066-2024")</f>
        <v/>
      </c>
    </row>
    <row r="78" ht="15" customHeight="1">
      <c r="A78" t="inlineStr">
        <is>
          <t>A 30696-2026</t>
        </is>
      </c>
      <c r="B78" t="inlineStr">
        <is>
          <t>avverkningsanmälan</t>
        </is>
      </c>
      <c r="C78" t="inlineStr">
        <is>
          <t>Föryngringsavverkning</t>
        </is>
      </c>
      <c r="D78" s="1" t="n">
        <v>46211</v>
      </c>
      <c r="E78" s="1" t="n">
        <v>46220</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s="2" t="inlineStr">
        <is>
          <t>Fältgentiana
Slåtterfibbla</t>
        </is>
      </c>
      <c r="V78">
        <f>HYPERLINK("https://klasma.github.io/Logging_0360/artfynd/A 30696-2026 artfynd.xlsx", "A 30696-2026")</f>
        <v/>
      </c>
      <c r="W78">
        <f>HYPERLINK("https://klasma.github.io/Logging_0360/kartor/A 30696-2026 karta.png", "A 30696-2026")</f>
        <v/>
      </c>
      <c r="Y78">
        <f>HYPERLINK("https://klasma.github.io/Logging_0360/klagomål/A 30696-2026 FSC-klagomål.docx", "A 30696-2026")</f>
        <v/>
      </c>
      <c r="Z78">
        <f>HYPERLINK("https://klasma.github.io/Logging_0360/klagomålsmail/A 30696-2026 FSC-klagomål mail.docx", "A 30696-2026")</f>
        <v/>
      </c>
      <c r="AA78">
        <f>HYPERLINK("https://klasma.github.io/Logging_0360/tillsyn/A 30696-2026 tillsynsbegäran.docx", "A 30696-2026")</f>
        <v/>
      </c>
      <c r="AB78">
        <f>HYPERLINK("https://klasma.github.io/Logging_0360/tillsynsmail/A 30696-2026 tillsynsbegäran mail.docx", "A 30696-2026")</f>
        <v/>
      </c>
    </row>
    <row r="79" ht="15" customHeight="1">
      <c r="A79" t="inlineStr">
        <is>
          <t>A 39018-2024</t>
        </is>
      </c>
      <c r="B79" t="inlineStr">
        <is>
          <t>avverkningsanmälan</t>
        </is>
      </c>
      <c r="C79" t="inlineStr">
        <is>
          <t>Föryngringsavverkning</t>
        </is>
      </c>
      <c r="D79" s="1" t="n">
        <v>45548</v>
      </c>
      <c r="E79" s="1" t="n">
        <v>46220</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s="2" t="inlineStr">
        <is>
          <t>Rödvingetrast
Talltita</t>
        </is>
      </c>
      <c r="V79">
        <f>HYPERLINK("https://klasma.github.io/Logging_0360/artfynd/A 39018-2024 artfynd.xlsx", "A 39018-2024")</f>
        <v/>
      </c>
      <c r="W79">
        <f>HYPERLINK("https://klasma.github.io/Logging_0360/kartor/A 39018-2024 karta.png", "A 39018-2024")</f>
        <v/>
      </c>
      <c r="Y79">
        <f>HYPERLINK("https://klasma.github.io/Logging_0360/klagomål/A 39018-2024 FSC-klagomål.docx", "A 39018-2024")</f>
        <v/>
      </c>
      <c r="Z79">
        <f>HYPERLINK("https://klasma.github.io/Logging_0360/klagomålsmail/A 39018-2024 FSC-klagomål mail.docx", "A 39018-2024")</f>
        <v/>
      </c>
      <c r="AA79">
        <f>HYPERLINK("https://klasma.github.io/Logging_0360/tillsyn/A 39018-2024 tillsynsbegäran.docx", "A 39018-2024")</f>
        <v/>
      </c>
      <c r="AB79">
        <f>HYPERLINK("https://klasma.github.io/Logging_0360/tillsynsmail/A 39018-2024 tillsynsbegäran mail.docx", "A 39018-2024")</f>
        <v/>
      </c>
      <c r="AC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46220</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46220</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46220</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46220</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46220</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46220</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46220</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46220</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46220</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Y88">
        <f>HYPERLINK("https://klasma.github.io/Logging_0360/klagomål/A 18097-2022 FSC-klagomål.docx", "A 18097-2022")</f>
        <v/>
      </c>
      <c r="Z88">
        <f>HYPERLINK("https://klasma.github.io/Logging_0360/klagomålsmail/A 18097-2022 FSC-klagomål mail.docx", "A 18097-2022")</f>
        <v/>
      </c>
      <c r="AA88">
        <f>HYPERLINK("https://klasma.github.io/Logging_0360/tillsyn/A 18097-2022 tillsynsbegäran.docx", "A 18097-2022")</f>
        <v/>
      </c>
      <c r="AB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46220</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Y89">
        <f>HYPERLINK("https://klasma.github.io/Logging_0360/klagomål/A 29737-2022 FSC-klagomål.docx", "A 29737-2022")</f>
        <v/>
      </c>
      <c r="Z89">
        <f>HYPERLINK("https://klasma.github.io/Logging_0360/klagomålsmail/A 29737-2022 FSC-klagomål mail.docx", "A 29737-2022")</f>
        <v/>
      </c>
      <c r="AA89">
        <f>HYPERLINK("https://klasma.github.io/Logging_0360/tillsyn/A 29737-2022 tillsynsbegäran.docx", "A 29737-2022")</f>
        <v/>
      </c>
      <c r="AB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46220</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s="2" t="inlineStr">
        <is>
          <t>Kungsfågel</t>
        </is>
      </c>
      <c r="V90">
        <f>HYPERLINK("https://klasma.github.io/Logging_0360/artfynd/A 14860-2022 artfynd.xlsx", "A 14860-2022")</f>
        <v/>
      </c>
      <c r="W90">
        <f>HYPERLINK("https://klasma.github.io/Logging_0360/kartor/A 14860-2022 karta.png", "A 14860-2022")</f>
        <v/>
      </c>
      <c r="Y90">
        <f>HYPERLINK("https://klasma.github.io/Logging_0360/klagomål/A 14860-2022 FSC-klagomål.docx", "A 14860-2022")</f>
        <v/>
      </c>
      <c r="Z90">
        <f>HYPERLINK("https://klasma.github.io/Logging_0360/klagomålsmail/A 14860-2022 FSC-klagomål mail.docx", "A 14860-2022")</f>
        <v/>
      </c>
      <c r="AA90">
        <f>HYPERLINK("https://klasma.github.io/Logging_0360/tillsyn/A 14860-2022 tillsynsbegäran.docx", "A 14860-2022")</f>
        <v/>
      </c>
      <c r="AB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46220</v>
      </c>
      <c r="F91" t="inlineStr">
        <is>
          <t>UPPSALA LÄN</t>
        </is>
      </c>
      <c r="G91" t="inlineStr">
        <is>
          <t>TIERP</t>
        </is>
      </c>
      <c r="I91" t="n">
        <v>4</v>
      </c>
      <c r="J91" t="n">
        <v>0</v>
      </c>
      <c r="K91" t="n">
        <v>1</v>
      </c>
      <c r="L91" t="n">
        <v>0</v>
      </c>
      <c r="M91" t="n">
        <v>0</v>
      </c>
      <c r="N91" t="n">
        <v>0</v>
      </c>
      <c r="O91" t="n">
        <v>0</v>
      </c>
      <c r="P91" t="n">
        <v>0</v>
      </c>
      <c r="Q91" t="n">
        <v>0</v>
      </c>
      <c r="R91" t="n">
        <v>0</v>
      </c>
      <c r="S91" t="n">
        <v>1</v>
      </c>
      <c r="T91" t="n">
        <v>1</v>
      </c>
      <c r="U91" s="2" t="inlineStr">
        <is>
          <t>Brun nållav</t>
        </is>
      </c>
      <c r="V91">
        <f>HYPERLINK("https://klasma.github.io/Logging_0360/artfynd/A 2549-2025 artfynd.xlsx", "A 2549-2025")</f>
        <v/>
      </c>
      <c r="W91">
        <f>HYPERLINK("https://klasma.github.io/Logging_0360/kartor/A 2549-2025 karta.png", "A 2549-2025")</f>
        <v/>
      </c>
      <c r="Y91">
        <f>HYPERLINK("https://klasma.github.io/Logging_0360/klagomål/A 2549-2025 FSC-klagomål.docx", "A 2549-2025")</f>
        <v/>
      </c>
      <c r="Z91">
        <f>HYPERLINK("https://klasma.github.io/Logging_0360/klagomålsmail/A 2549-2025 FSC-klagomål mail.docx", "A 2549-2025")</f>
        <v/>
      </c>
      <c r="AA91">
        <f>HYPERLINK("https://klasma.github.io/Logging_0360/tillsyn/A 2549-2025 tillsynsbegäran.docx", "A 2549-2025")</f>
        <v/>
      </c>
      <c r="AB91">
        <f>HYPERLINK("https://klasma.github.io/Logging_0360/tillsynsmail/A 2549-2025 tillsynsbegäran mail.docx", "A 2549-2025")</f>
        <v/>
      </c>
    </row>
    <row r="92" ht="15" customHeight="1">
      <c r="A92" t="inlineStr">
        <is>
          <t>A 55331-2024</t>
        </is>
      </c>
      <c r="B92" t="inlineStr">
        <is>
          <t>avverkningsanmälan</t>
        </is>
      </c>
      <c r="C92" t="inlineStr">
        <is>
          <t>Föryngringsavverkning</t>
        </is>
      </c>
      <c r="D92" s="1" t="n">
        <v>45621</v>
      </c>
      <c r="E92" s="1" t="n">
        <v>46220</v>
      </c>
      <c r="F92" t="inlineStr">
        <is>
          <t>UPPSALA LÄN</t>
        </is>
      </c>
      <c r="G92" t="inlineStr">
        <is>
          <t>TIERP</t>
        </is>
      </c>
      <c r="H92" t="inlineStr">
        <is>
          <t>Bergvik skog väst AB</t>
        </is>
      </c>
      <c r="I92" t="n">
        <v>7.3</v>
      </c>
      <c r="J92" t="n">
        <v>1</v>
      </c>
      <c r="K92" t="n">
        <v>0</v>
      </c>
      <c r="L92" t="n">
        <v>1</v>
      </c>
      <c r="M92" t="n">
        <v>0</v>
      </c>
      <c r="N92" t="n">
        <v>0</v>
      </c>
      <c r="O92" t="n">
        <v>0</v>
      </c>
      <c r="P92" t="n">
        <v>0</v>
      </c>
      <c r="Q92" t="n">
        <v>1</v>
      </c>
      <c r="R92" t="n">
        <v>0</v>
      </c>
      <c r="S92" t="n">
        <v>1</v>
      </c>
      <c r="T92" t="n">
        <v>2</v>
      </c>
      <c r="U92" s="2" t="inlineStr">
        <is>
          <t>Talltita</t>
        </is>
      </c>
      <c r="V92">
        <f>HYPERLINK("https://klasma.github.io/Logging_0360/artfynd/A 55331-2024 artfynd.xlsx", "A 55331-2024")</f>
        <v/>
      </c>
      <c r="W92">
        <f>HYPERLINK("https://klasma.github.io/Logging_0360/kartor/A 55331-2024 karta.png", "A 55331-2024")</f>
        <v/>
      </c>
      <c r="Y92">
        <f>HYPERLINK("https://klasma.github.io/Logging_0360/klagomål/A 55331-2024 FSC-klagomål.docx", "A 55331-2024")</f>
        <v/>
      </c>
      <c r="Z92">
        <f>HYPERLINK("https://klasma.github.io/Logging_0360/klagomålsmail/A 55331-2024 FSC-klagomål mail.docx", "A 55331-2024")</f>
        <v/>
      </c>
      <c r="AA92">
        <f>HYPERLINK("https://klasma.github.io/Logging_0360/tillsyn/A 55331-2024 tillsynsbegäran.docx", "A 55331-2024")</f>
        <v/>
      </c>
      <c r="AB92">
        <f>HYPERLINK("https://klasma.github.io/Logging_0360/tillsynsmail/A 55331-2024 tillsynsbegäran mail.docx", "A 55331-2024")</f>
        <v/>
      </c>
      <c r="AC92">
        <f>HYPERLINK("https://klasma.github.io/Logging_0360/fåglar/A 55331-2024 prioriterade fågelarter.docx", "A 55331-2024")</f>
        <v/>
      </c>
    </row>
    <row r="93" ht="15" customHeight="1">
      <c r="A93" t="inlineStr">
        <is>
          <t>A 44382-2024</t>
        </is>
      </c>
      <c r="B93" t="inlineStr">
        <is>
          <t>avverkningsanmälan</t>
        </is>
      </c>
      <c r="C93" t="inlineStr">
        <is>
          <t>Föryngringsavverkning</t>
        </is>
      </c>
      <c r="D93" s="1" t="n">
        <v>45573</v>
      </c>
      <c r="E93" s="1" t="n">
        <v>46220</v>
      </c>
      <c r="F93" t="inlineStr">
        <is>
          <t>UPPSALA LÄN</t>
        </is>
      </c>
      <c r="G93" t="inlineStr">
        <is>
          <t>TIERP</t>
        </is>
      </c>
      <c r="I93" t="n">
        <v>4.7</v>
      </c>
      <c r="J93" t="n">
        <v>0</v>
      </c>
      <c r="K93" t="n">
        <v>0</v>
      </c>
      <c r="L93" t="n">
        <v>1</v>
      </c>
      <c r="M93" t="n">
        <v>0</v>
      </c>
      <c r="N93" t="n">
        <v>0</v>
      </c>
      <c r="O93" t="n">
        <v>0</v>
      </c>
      <c r="P93" t="n">
        <v>0</v>
      </c>
      <c r="Q93" t="n">
        <v>1</v>
      </c>
      <c r="R93" t="n">
        <v>0</v>
      </c>
      <c r="S93" t="n">
        <v>1</v>
      </c>
      <c r="T93" t="n">
        <v>1</v>
      </c>
      <c r="U93" s="2" t="inlineStr">
        <is>
          <t>Vågticka</t>
        </is>
      </c>
      <c r="V93">
        <f>HYPERLINK("https://klasma.github.io/Logging_0360/artfynd/A 44382-2024 artfynd.xlsx", "A 44382-2024")</f>
        <v/>
      </c>
      <c r="W93">
        <f>HYPERLINK("https://klasma.github.io/Logging_0360/kartor/A 44382-2024 karta.png", "A 44382-2024")</f>
        <v/>
      </c>
      <c r="Y93">
        <f>HYPERLINK("https://klasma.github.io/Logging_0360/klagomål/A 44382-2024 FSC-klagomål.docx", "A 44382-2024")</f>
        <v/>
      </c>
      <c r="Z93">
        <f>HYPERLINK("https://klasma.github.io/Logging_0360/klagomålsmail/A 44382-2024 FSC-klagomål mail.docx", "A 44382-2024")</f>
        <v/>
      </c>
      <c r="AA93">
        <f>HYPERLINK("https://klasma.github.io/Logging_0360/tillsyn/A 44382-2024 tillsynsbegäran.docx", "A 44382-2024")</f>
        <v/>
      </c>
      <c r="AB93">
        <f>HYPERLINK("https://klasma.github.io/Logging_0360/tillsynsmail/A 44382-2024 tillsynsbegäran mail.docx", "A 44382-2024")</f>
        <v/>
      </c>
    </row>
    <row r="94" ht="15" customHeight="1">
      <c r="A94" t="inlineStr">
        <is>
          <t>A 99-2026</t>
        </is>
      </c>
      <c r="B94" t="inlineStr">
        <is>
          <t>avverkningsanmälan</t>
        </is>
      </c>
      <c r="C94" t="inlineStr">
        <is>
          <t>Föryngringsavverkning</t>
        </is>
      </c>
      <c r="D94" s="1" t="n">
        <v>46024</v>
      </c>
      <c r="E94" s="1" t="n">
        <v>46220</v>
      </c>
      <c r="F94" t="inlineStr">
        <is>
          <t>UPPSALA LÄN</t>
        </is>
      </c>
      <c r="G94" t="inlineStr">
        <is>
          <t>TIERP</t>
        </is>
      </c>
      <c r="H94" t="inlineStr">
        <is>
          <t>Bergvik skog öst AB</t>
        </is>
      </c>
      <c r="I94" t="n">
        <v>8.4</v>
      </c>
      <c r="J94" t="n">
        <v>0</v>
      </c>
      <c r="K94" t="n">
        <v>0</v>
      </c>
      <c r="L94" t="n">
        <v>1</v>
      </c>
      <c r="M94" t="n">
        <v>0</v>
      </c>
      <c r="N94" t="n">
        <v>0</v>
      </c>
      <c r="O94" t="n">
        <v>0</v>
      </c>
      <c r="P94" t="n">
        <v>0</v>
      </c>
      <c r="Q94" t="n">
        <v>1</v>
      </c>
      <c r="R94" t="n">
        <v>0</v>
      </c>
      <c r="S94" t="n">
        <v>1</v>
      </c>
      <c r="T94" t="n">
        <v>1</v>
      </c>
      <c r="U94" s="2" t="inlineStr">
        <is>
          <t>Slåtterfibbla</t>
        </is>
      </c>
      <c r="V94">
        <f>HYPERLINK("https://klasma.github.io/Logging_0360/artfynd/A 99-2026 artfynd.xlsx", "A 99-2026")</f>
        <v/>
      </c>
      <c r="W94">
        <f>HYPERLINK("https://klasma.github.io/Logging_0360/kartor/A 99-2026 karta.png", "A 99-2026")</f>
        <v/>
      </c>
      <c r="Y94">
        <f>HYPERLINK("https://klasma.github.io/Logging_0360/klagomål/A 99-2026 FSC-klagomål.docx", "A 99-2026")</f>
        <v/>
      </c>
      <c r="Z94">
        <f>HYPERLINK("https://klasma.github.io/Logging_0360/klagomålsmail/A 99-2026 FSC-klagomål mail.docx", "A 99-2026")</f>
        <v/>
      </c>
      <c r="AA94">
        <f>HYPERLINK("https://klasma.github.io/Logging_0360/tillsyn/A 99-2026 tillsynsbegäran.docx", "A 99-2026")</f>
        <v/>
      </c>
      <c r="AB94">
        <f>HYPERLINK("https://klasma.github.io/Logging_0360/tillsynsmail/A 99-2026 tillsynsbegäran mail.docx", "A 99-2026")</f>
        <v/>
      </c>
    </row>
    <row r="95" ht="15" customHeight="1">
      <c r="A95" t="inlineStr">
        <is>
          <t>A 15680-2025</t>
        </is>
      </c>
      <c r="B95" t="inlineStr">
        <is>
          <t>avverkningsanmälan</t>
        </is>
      </c>
      <c r="C95" t="inlineStr">
        <is>
          <t>Föryngringsavverkning</t>
        </is>
      </c>
      <c r="D95" s="1" t="n">
        <v>45748</v>
      </c>
      <c r="E95" s="1" t="n">
        <v>46220</v>
      </c>
      <c r="F95" t="inlineStr">
        <is>
          <t>UPPSALA LÄN</t>
        </is>
      </c>
      <c r="G95" t="inlineStr">
        <is>
          <t>TIERP</t>
        </is>
      </c>
      <c r="H95" t="inlineStr">
        <is>
          <t>Kyrkan</t>
        </is>
      </c>
      <c r="I95" t="n">
        <v>13.5</v>
      </c>
      <c r="J95" t="n">
        <v>1</v>
      </c>
      <c r="K95" t="n">
        <v>0</v>
      </c>
      <c r="L95" t="n">
        <v>0</v>
      </c>
      <c r="M95" t="n">
        <v>0</v>
      </c>
      <c r="N95" t="n">
        <v>0</v>
      </c>
      <c r="O95" t="n">
        <v>0</v>
      </c>
      <c r="P95" t="n">
        <v>0</v>
      </c>
      <c r="Q95" t="n">
        <v>0</v>
      </c>
      <c r="R95" t="n">
        <v>0</v>
      </c>
      <c r="S95" t="n">
        <v>1</v>
      </c>
      <c r="T95" t="n">
        <v>1</v>
      </c>
      <c r="U95" s="2" t="inlineStr">
        <is>
          <t>Mattlummer</t>
        </is>
      </c>
      <c r="V95">
        <f>HYPERLINK("https://klasma.github.io/Logging_0360/artfynd/A 15680-2025 artfynd.xlsx", "A 15680-2025")</f>
        <v/>
      </c>
      <c r="W95">
        <f>HYPERLINK("https://klasma.github.io/Logging_0360/kartor/A 15680-2025 karta.png", "A 15680-2025")</f>
        <v/>
      </c>
      <c r="Y95">
        <f>HYPERLINK("https://klasma.github.io/Logging_0360/klagomål/A 15680-2025 FSC-klagomål.docx", "A 15680-2025")</f>
        <v/>
      </c>
      <c r="Z95">
        <f>HYPERLINK("https://klasma.github.io/Logging_0360/klagomålsmail/A 15680-2025 FSC-klagomål mail.docx", "A 15680-2025")</f>
        <v/>
      </c>
      <c r="AA95">
        <f>HYPERLINK("https://klasma.github.io/Logging_0360/tillsyn/A 15680-2025 tillsynsbegäran.docx", "A 15680-2025")</f>
        <v/>
      </c>
      <c r="AB95">
        <f>HYPERLINK("https://klasma.github.io/Logging_0360/tillsynsmail/A 15680-2025 tillsynsbegäran mail.docx", "A 15680-2025")</f>
        <v/>
      </c>
    </row>
    <row r="96" ht="15" customHeight="1">
      <c r="A96" t="inlineStr">
        <is>
          <t>A 38821-2023</t>
        </is>
      </c>
      <c r="B96" t="inlineStr">
        <is>
          <t>avverkningsanmälan</t>
        </is>
      </c>
      <c r="C96" t="inlineStr">
        <is>
          <t>Föryngringsavverkning</t>
        </is>
      </c>
      <c r="D96" s="1" t="n">
        <v>45163</v>
      </c>
      <c r="E96" s="1" t="n">
        <v>46220</v>
      </c>
      <c r="F96" t="inlineStr">
        <is>
          <t>UPPSALA LÄN</t>
        </is>
      </c>
      <c r="G96" t="inlineStr">
        <is>
          <t>TIERP</t>
        </is>
      </c>
      <c r="I96" t="n">
        <v>20.3</v>
      </c>
      <c r="J96" t="n">
        <v>1</v>
      </c>
      <c r="K96" t="n">
        <v>0</v>
      </c>
      <c r="L96" t="n">
        <v>0</v>
      </c>
      <c r="M96" t="n">
        <v>0</v>
      </c>
      <c r="N96" t="n">
        <v>0</v>
      </c>
      <c r="O96" t="n">
        <v>0</v>
      </c>
      <c r="P96" t="n">
        <v>0</v>
      </c>
      <c r="Q96" t="n">
        <v>0</v>
      </c>
      <c r="R96" t="n">
        <v>0</v>
      </c>
      <c r="S96" t="n">
        <v>1</v>
      </c>
      <c r="T96" t="n">
        <v>1</v>
      </c>
      <c r="U96" s="2" t="inlineStr">
        <is>
          <t>Revlummer</t>
        </is>
      </c>
      <c r="V96">
        <f>HYPERLINK("https://klasma.github.io/Logging_0360/artfynd/A 38821-2023 artfynd.xlsx", "A 38821-2023")</f>
        <v/>
      </c>
      <c r="W96">
        <f>HYPERLINK("https://klasma.github.io/Logging_0360/kartor/A 38821-2023 karta.png", "A 38821-2023")</f>
        <v/>
      </c>
      <c r="Y96">
        <f>HYPERLINK("https://klasma.github.io/Logging_0360/klagomål/A 38821-2023 FSC-klagomål.docx", "A 38821-2023")</f>
        <v/>
      </c>
      <c r="Z96">
        <f>HYPERLINK("https://klasma.github.io/Logging_0360/klagomålsmail/A 38821-2023 FSC-klagomål mail.docx", "A 38821-2023")</f>
        <v/>
      </c>
      <c r="AA96">
        <f>HYPERLINK("https://klasma.github.io/Logging_0360/tillsyn/A 38821-2023 tillsynsbegäran.docx", "A 38821-2023")</f>
        <v/>
      </c>
      <c r="AB96">
        <f>HYPERLINK("https://klasma.github.io/Logging_0360/tillsynsmail/A 38821-2023 tillsynsbegäran mail.docx", "A 38821-2023")</f>
        <v/>
      </c>
    </row>
    <row r="97" ht="15" customHeight="1">
      <c r="A97" t="inlineStr">
        <is>
          <t>A 51716-2023</t>
        </is>
      </c>
      <c r="B97" t="inlineStr">
        <is>
          <t>avverkningsanmälan</t>
        </is>
      </c>
      <c r="C97" t="inlineStr">
        <is>
          <t>Föryngringsavverkning</t>
        </is>
      </c>
      <c r="D97" s="1" t="n">
        <v>45222</v>
      </c>
      <c r="E97" s="1" t="n">
        <v>46220</v>
      </c>
      <c r="F97" t="inlineStr">
        <is>
          <t>UPPSALA LÄN</t>
        </is>
      </c>
      <c r="G97" t="inlineStr">
        <is>
          <t>TIERP</t>
        </is>
      </c>
      <c r="I97" t="n">
        <v>1.1</v>
      </c>
      <c r="J97" t="n">
        <v>0</v>
      </c>
      <c r="K97" t="n">
        <v>0</v>
      </c>
      <c r="L97" t="n">
        <v>1</v>
      </c>
      <c r="M97" t="n">
        <v>0</v>
      </c>
      <c r="N97" t="n">
        <v>0</v>
      </c>
      <c r="O97" t="n">
        <v>0</v>
      </c>
      <c r="P97" t="n">
        <v>0</v>
      </c>
      <c r="Q97" t="n">
        <v>1</v>
      </c>
      <c r="R97" t="n">
        <v>0</v>
      </c>
      <c r="S97" t="n">
        <v>1</v>
      </c>
      <c r="T97" t="n">
        <v>1</v>
      </c>
      <c r="U97" s="2" t="inlineStr">
        <is>
          <t>Äggspindling</t>
        </is>
      </c>
      <c r="V97">
        <f>HYPERLINK("https://klasma.github.io/Logging_0360/artfynd/A 51716-2023 artfynd.xlsx", "A 51716-2023")</f>
        <v/>
      </c>
      <c r="W97">
        <f>HYPERLINK("https://klasma.github.io/Logging_0360/kartor/A 51716-2023 karta.png", "A 51716-2023")</f>
        <v/>
      </c>
      <c r="Y97">
        <f>HYPERLINK("https://klasma.github.io/Logging_0360/klagomål/A 51716-2023 FSC-klagomål.docx", "A 51716-2023")</f>
        <v/>
      </c>
      <c r="Z97">
        <f>HYPERLINK("https://klasma.github.io/Logging_0360/klagomålsmail/A 51716-2023 FSC-klagomål mail.docx", "A 51716-2023")</f>
        <v/>
      </c>
      <c r="AA97">
        <f>HYPERLINK("https://klasma.github.io/Logging_0360/tillsyn/A 51716-2023 tillsynsbegäran.docx", "A 51716-2023")</f>
        <v/>
      </c>
      <c r="AB97">
        <f>HYPERLINK("https://klasma.github.io/Logging_0360/tillsynsmail/A 51716-2023 tillsynsbegäran mail.docx", "A 51716-2023")</f>
        <v/>
      </c>
    </row>
    <row r="98" ht="15" customHeight="1">
      <c r="A98" t="inlineStr">
        <is>
          <t>A 28252-2025</t>
        </is>
      </c>
      <c r="B98" t="inlineStr">
        <is>
          <t>avverkningsanmälan</t>
        </is>
      </c>
      <c r="C98" t="inlineStr">
        <is>
          <t>Föryngringsavverkning</t>
        </is>
      </c>
      <c r="D98" s="1" t="n">
        <v>45818</v>
      </c>
      <c r="E98" s="1" t="n">
        <v>46220</v>
      </c>
      <c r="F98" t="inlineStr">
        <is>
          <t>UPPSALA LÄN</t>
        </is>
      </c>
      <c r="G98" t="inlineStr">
        <is>
          <t>TIERP</t>
        </is>
      </c>
      <c r="H98" t="inlineStr">
        <is>
          <t>Bergvik skog öst AB</t>
        </is>
      </c>
      <c r="I98" t="n">
        <v>0.9</v>
      </c>
      <c r="J98" t="n">
        <v>1</v>
      </c>
      <c r="K98" t="n">
        <v>0</v>
      </c>
      <c r="L98" t="n">
        <v>1</v>
      </c>
      <c r="M98" t="n">
        <v>0</v>
      </c>
      <c r="N98" t="n">
        <v>0</v>
      </c>
      <c r="O98" t="n">
        <v>0</v>
      </c>
      <c r="P98" t="n">
        <v>0</v>
      </c>
      <c r="Q98" t="n">
        <v>1</v>
      </c>
      <c r="R98" t="n">
        <v>0</v>
      </c>
      <c r="S98" t="n">
        <v>1</v>
      </c>
      <c r="T98" t="n">
        <v>1</v>
      </c>
      <c r="U98" s="2" t="inlineStr">
        <is>
          <t>Sädesärla</t>
        </is>
      </c>
      <c r="V98">
        <f>HYPERLINK("https://klasma.github.io/Logging_0360/artfynd/A 28252-2025 artfynd.xlsx", "A 28252-2025")</f>
        <v/>
      </c>
      <c r="W98">
        <f>HYPERLINK("https://klasma.github.io/Logging_0360/kartor/A 28252-2025 karta.png", "A 28252-2025")</f>
        <v/>
      </c>
      <c r="Y98">
        <f>HYPERLINK("https://klasma.github.io/Logging_0360/klagomål/A 28252-2025 FSC-klagomål.docx", "A 28252-2025")</f>
        <v/>
      </c>
      <c r="Z98">
        <f>HYPERLINK("https://klasma.github.io/Logging_0360/klagomålsmail/A 28252-2025 FSC-klagomål mail.docx", "A 28252-2025")</f>
        <v/>
      </c>
      <c r="AA98">
        <f>HYPERLINK("https://klasma.github.io/Logging_0360/tillsyn/A 28252-2025 tillsynsbegäran.docx", "A 28252-2025")</f>
        <v/>
      </c>
      <c r="AB98">
        <f>HYPERLINK("https://klasma.github.io/Logging_0360/tillsynsmail/A 28252-2025 tillsynsbegäran mail.docx", "A 28252-2025")</f>
        <v/>
      </c>
      <c r="AC98">
        <f>HYPERLINK("https://klasma.github.io/Logging_0360/fåglar/A 28252-2025 prioriterade fågelarter.docx", "A 28252-2025")</f>
        <v/>
      </c>
    </row>
    <row r="99" ht="15" customHeight="1">
      <c r="A99" t="inlineStr">
        <is>
          <t>A 3561-2023</t>
        </is>
      </c>
      <c r="B99" t="inlineStr">
        <is>
          <t>avverkningsanmälan</t>
        </is>
      </c>
      <c r="C99" t="inlineStr">
        <is>
          <t>Föryngringsavverkning</t>
        </is>
      </c>
      <c r="D99" s="1" t="n">
        <v>44950</v>
      </c>
      <c r="E99" s="1" t="n">
        <v>46220</v>
      </c>
      <c r="F99" t="inlineStr">
        <is>
          <t>UPPSALA LÄN</t>
        </is>
      </c>
      <c r="G99" t="inlineStr">
        <is>
          <t>TIERP</t>
        </is>
      </c>
      <c r="I99" t="n">
        <v>2</v>
      </c>
      <c r="J99" t="n">
        <v>1</v>
      </c>
      <c r="K99" t="n">
        <v>0</v>
      </c>
      <c r="L99" t="n">
        <v>0</v>
      </c>
      <c r="M99" t="n">
        <v>0</v>
      </c>
      <c r="N99" t="n">
        <v>0</v>
      </c>
      <c r="O99" t="n">
        <v>0</v>
      </c>
      <c r="P99" t="n">
        <v>0</v>
      </c>
      <c r="Q99" t="n">
        <v>0</v>
      </c>
      <c r="R99" t="n">
        <v>0</v>
      </c>
      <c r="S99" t="n">
        <v>1</v>
      </c>
      <c r="T99" t="n">
        <v>1</v>
      </c>
      <c r="U99" s="2" t="inlineStr">
        <is>
          <t>Slaguggla</t>
        </is>
      </c>
      <c r="V99">
        <f>HYPERLINK("https://klasma.github.io/Logging_0360/artfynd/A 3561-2023 artfynd.xlsx", "A 3561-2023")</f>
        <v/>
      </c>
      <c r="W99">
        <f>HYPERLINK("https://klasma.github.io/Logging_0360/kartor/A 3561-2023 karta.png", "A 3561-2023")</f>
        <v/>
      </c>
      <c r="Y99">
        <f>HYPERLINK("https://klasma.github.io/Logging_0360/klagomål/A 3561-2023 FSC-klagomål.docx", "A 3561-2023")</f>
        <v/>
      </c>
      <c r="Z99">
        <f>HYPERLINK("https://klasma.github.io/Logging_0360/klagomålsmail/A 3561-2023 FSC-klagomål mail.docx", "A 3561-2023")</f>
        <v/>
      </c>
      <c r="AA99">
        <f>HYPERLINK("https://klasma.github.io/Logging_0360/tillsyn/A 3561-2023 tillsynsbegäran.docx", "A 3561-2023")</f>
        <v/>
      </c>
      <c r="AB99">
        <f>HYPERLINK("https://klasma.github.io/Logging_0360/tillsynsmail/A 3561-2023 tillsynsbegäran mail.docx", "A 3561-2023")</f>
        <v/>
      </c>
      <c r="AC99">
        <f>HYPERLINK("https://klasma.github.io/Logging_0360/fåglar/A 3561-2023 prioriterade fågelarter.docx", "A 3561-2023")</f>
        <v/>
      </c>
    </row>
    <row r="100" ht="15" customHeight="1">
      <c r="A100" t="inlineStr">
        <is>
          <t>A 44680-2025</t>
        </is>
      </c>
      <c r="B100" t="inlineStr">
        <is>
          <t>avverkningsanmälan</t>
        </is>
      </c>
      <c r="C100" t="inlineStr">
        <is>
          <t>Föryngringsavverkning</t>
        </is>
      </c>
      <c r="D100" s="1" t="n">
        <v>45917</v>
      </c>
      <c r="E100" s="1" t="n">
        <v>46220</v>
      </c>
      <c r="F100" t="inlineStr">
        <is>
          <t>UPPSALA LÄN</t>
        </is>
      </c>
      <c r="G100" t="inlineStr">
        <is>
          <t>TIERP</t>
        </is>
      </c>
      <c r="H100" t="inlineStr">
        <is>
          <t>Bergvik skog väst AB</t>
        </is>
      </c>
      <c r="I100" t="n">
        <v>2.2</v>
      </c>
      <c r="J100" t="n">
        <v>1</v>
      </c>
      <c r="K100" t="n">
        <v>0</v>
      </c>
      <c r="L100" t="n">
        <v>0</v>
      </c>
      <c r="M100" t="n">
        <v>0</v>
      </c>
      <c r="N100" t="n">
        <v>0</v>
      </c>
      <c r="O100" t="n">
        <v>0</v>
      </c>
      <c r="P100" t="n">
        <v>0</v>
      </c>
      <c r="Q100" t="n">
        <v>0</v>
      </c>
      <c r="R100" t="n">
        <v>0</v>
      </c>
      <c r="S100" t="n">
        <v>1</v>
      </c>
      <c r="T100" t="n">
        <v>1</v>
      </c>
      <c r="U100" s="2" t="inlineStr">
        <is>
          <t>Spillkråka</t>
        </is>
      </c>
      <c r="V100">
        <f>HYPERLINK("https://klasma.github.io/Logging_0360/artfynd/A 44680-2025 artfynd.xlsx", "A 44680-2025")</f>
        <v/>
      </c>
      <c r="W100">
        <f>HYPERLINK("https://klasma.github.io/Logging_0360/kartor/A 44680-2025 karta.png", "A 44680-2025")</f>
        <v/>
      </c>
      <c r="Y100">
        <f>HYPERLINK("https://klasma.github.io/Logging_0360/klagomål/A 44680-2025 FSC-klagomål.docx", "A 44680-2025")</f>
        <v/>
      </c>
      <c r="Z100">
        <f>HYPERLINK("https://klasma.github.io/Logging_0360/klagomålsmail/A 44680-2025 FSC-klagomål mail.docx", "A 44680-2025")</f>
        <v/>
      </c>
      <c r="AA100">
        <f>HYPERLINK("https://klasma.github.io/Logging_0360/tillsyn/A 44680-2025 tillsynsbegäran.docx", "A 44680-2025")</f>
        <v/>
      </c>
      <c r="AB100">
        <f>HYPERLINK("https://klasma.github.io/Logging_0360/tillsynsmail/A 44680-2025 tillsynsbegäran mail.docx", "A 44680-2025")</f>
        <v/>
      </c>
      <c r="AC100">
        <f>HYPERLINK("https://klasma.github.io/Logging_0360/fåglar/A 44680-2025 prioriterade fågelarter.docx", "A 44680-2025")</f>
        <v/>
      </c>
    </row>
    <row r="101" ht="15" customHeight="1">
      <c r="A101" t="inlineStr">
        <is>
          <t>A 45769-2022</t>
        </is>
      </c>
      <c r="B101" t="inlineStr">
        <is>
          <t>avverkningsanmälan</t>
        </is>
      </c>
      <c r="C101" t="inlineStr">
        <is>
          <t>Föryngringsavverkning</t>
        </is>
      </c>
      <c r="D101" s="1" t="n">
        <v>44846</v>
      </c>
      <c r="E101" s="1" t="n">
        <v>46220</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s="2" t="inlineStr">
        <is>
          <t>Kungsfågel</t>
        </is>
      </c>
      <c r="V101">
        <f>HYPERLINK("https://klasma.github.io/Logging_0360/artfynd/A 45769-2022 artfynd.xlsx", "A 45769-2022")</f>
        <v/>
      </c>
      <c r="W101">
        <f>HYPERLINK("https://klasma.github.io/Logging_0360/kartor/A 45769-2022 karta.png", "A 45769-2022")</f>
        <v/>
      </c>
      <c r="Y101">
        <f>HYPERLINK("https://klasma.github.io/Logging_0360/klagomål/A 45769-2022 FSC-klagomål.docx", "A 45769-2022")</f>
        <v/>
      </c>
      <c r="Z101">
        <f>HYPERLINK("https://klasma.github.io/Logging_0360/klagomålsmail/A 45769-2022 FSC-klagomål mail.docx", "A 45769-2022")</f>
        <v/>
      </c>
      <c r="AA101">
        <f>HYPERLINK("https://klasma.github.io/Logging_0360/tillsyn/A 45769-2022 tillsynsbegäran.docx", "A 45769-2022")</f>
        <v/>
      </c>
      <c r="AB101">
        <f>HYPERLINK("https://klasma.github.io/Logging_0360/tillsynsmail/A 45769-2022 tillsynsbegäran mail.docx", "A 45769-2022")</f>
        <v/>
      </c>
    </row>
    <row r="102" ht="15" customHeight="1">
      <c r="A102" t="inlineStr">
        <is>
          <t>A 61280-2024</t>
        </is>
      </c>
      <c r="B102" t="inlineStr">
        <is>
          <t>avverkningsanmälan</t>
        </is>
      </c>
      <c r="C102" t="inlineStr">
        <is>
          <t>Föryngringsavverkning</t>
        </is>
      </c>
      <c r="D102" s="1" t="n">
        <v>45645</v>
      </c>
      <c r="E102" s="1" t="n">
        <v>46220</v>
      </c>
      <c r="F102" t="inlineStr">
        <is>
          <t>UPPSALA LÄN</t>
        </is>
      </c>
      <c r="G102" t="inlineStr">
        <is>
          <t>TIERP</t>
        </is>
      </c>
      <c r="I102" t="n">
        <v>5.4</v>
      </c>
      <c r="J102" t="n">
        <v>0</v>
      </c>
      <c r="K102" t="n">
        <v>0</v>
      </c>
      <c r="L102" t="n">
        <v>0</v>
      </c>
      <c r="M102" t="n">
        <v>1</v>
      </c>
      <c r="N102" t="n">
        <v>0</v>
      </c>
      <c r="O102" t="n">
        <v>0</v>
      </c>
      <c r="P102" t="n">
        <v>0</v>
      </c>
      <c r="Q102" t="n">
        <v>1</v>
      </c>
      <c r="R102" t="n">
        <v>1</v>
      </c>
      <c r="S102" t="n">
        <v>1</v>
      </c>
      <c r="T102" t="n">
        <v>1</v>
      </c>
      <c r="U102" s="2" t="inlineStr">
        <is>
          <t>Fältgentiana</t>
        </is>
      </c>
      <c r="V102">
        <f>HYPERLINK("https://klasma.github.io/Logging_0360/artfynd/A 61280-2024 artfynd.xlsx", "A 61280-2024")</f>
        <v/>
      </c>
      <c r="W102">
        <f>HYPERLINK("https://klasma.github.io/Logging_0360/kartor/A 61280-2024 karta.png", "A 61280-2024")</f>
        <v/>
      </c>
      <c r="Y102">
        <f>HYPERLINK("https://klasma.github.io/Logging_0360/klagomål/A 61280-2024 FSC-klagomål.docx", "A 61280-2024")</f>
        <v/>
      </c>
      <c r="Z102">
        <f>HYPERLINK("https://klasma.github.io/Logging_0360/klagomålsmail/A 61280-2024 FSC-klagomål mail.docx", "A 61280-2024")</f>
        <v/>
      </c>
      <c r="AA102">
        <f>HYPERLINK("https://klasma.github.io/Logging_0360/tillsyn/A 61280-2024 tillsynsbegäran.docx", "A 61280-2024")</f>
        <v/>
      </c>
      <c r="AB102">
        <f>HYPERLINK("https://klasma.github.io/Logging_0360/tillsynsmail/A 61280-2024 tillsynsbegäran mail.docx", "A 61280-2024")</f>
        <v/>
      </c>
    </row>
    <row r="103" ht="15" customHeight="1">
      <c r="A103" t="inlineStr">
        <is>
          <t>A 5730-2026</t>
        </is>
      </c>
      <c r="B103" t="inlineStr">
        <is>
          <t>avverkningsanmälan</t>
        </is>
      </c>
      <c r="C103" t="inlineStr">
        <is>
          <t>Föryngringsavverkning</t>
        </is>
      </c>
      <c r="D103" s="1" t="n">
        <v>46051</v>
      </c>
      <c r="E103" s="1" t="n">
        <v>46220</v>
      </c>
      <c r="F103" t="inlineStr">
        <is>
          <t>UPPSALA LÄN</t>
        </is>
      </c>
      <c r="G103" t="inlineStr">
        <is>
          <t>TIERP</t>
        </is>
      </c>
      <c r="I103" t="n">
        <v>5.4</v>
      </c>
      <c r="J103" t="n">
        <v>0</v>
      </c>
      <c r="K103" t="n">
        <v>0</v>
      </c>
      <c r="L103" t="n">
        <v>1</v>
      </c>
      <c r="M103" t="n">
        <v>0</v>
      </c>
      <c r="N103" t="n">
        <v>0</v>
      </c>
      <c r="O103" t="n">
        <v>0</v>
      </c>
      <c r="P103" t="n">
        <v>0</v>
      </c>
      <c r="Q103" t="n">
        <v>1</v>
      </c>
      <c r="R103" t="n">
        <v>0</v>
      </c>
      <c r="S103" t="n">
        <v>1</v>
      </c>
      <c r="T103" t="n">
        <v>1</v>
      </c>
      <c r="U103" s="2" t="inlineStr">
        <is>
          <t>Odörspindling</t>
        </is>
      </c>
      <c r="V103">
        <f>HYPERLINK("https://klasma.github.io/Logging_0360/artfynd/A 5730-2026 artfynd.xlsx", "A 5730-2026")</f>
        <v/>
      </c>
      <c r="W103">
        <f>HYPERLINK("https://klasma.github.io/Logging_0360/kartor/A 5730-2026 karta.png", "A 5730-2026")</f>
        <v/>
      </c>
      <c r="Y103">
        <f>HYPERLINK("https://klasma.github.io/Logging_0360/klagomål/A 5730-2026 FSC-klagomål.docx", "A 5730-2026")</f>
        <v/>
      </c>
      <c r="Z103">
        <f>HYPERLINK("https://klasma.github.io/Logging_0360/klagomålsmail/A 5730-2026 FSC-klagomål mail.docx", "A 5730-2026")</f>
        <v/>
      </c>
      <c r="AA103">
        <f>HYPERLINK("https://klasma.github.io/Logging_0360/tillsyn/A 5730-2026 tillsynsbegäran.docx", "A 5730-2026")</f>
        <v/>
      </c>
      <c r="AB103">
        <f>HYPERLINK("https://klasma.github.io/Logging_0360/tillsynsmail/A 5730-2026 tillsynsbegäran mail.docx", "A 5730-2026")</f>
        <v/>
      </c>
    </row>
    <row r="104" ht="15" customHeight="1">
      <c r="A104" t="inlineStr">
        <is>
          <t>A 54534-2025</t>
        </is>
      </c>
      <c r="B104" t="inlineStr">
        <is>
          <t>avverkningsanmälan</t>
        </is>
      </c>
      <c r="C104" t="inlineStr">
        <is>
          <t>Föryngringsavverkning</t>
        </is>
      </c>
      <c r="D104" s="1" t="n">
        <v>45965</v>
      </c>
      <c r="E104" s="1" t="n">
        <v>46220</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s="2" t="inlineStr">
        <is>
          <t>Skogsklocka</t>
        </is>
      </c>
      <c r="V104">
        <f>HYPERLINK("https://klasma.github.io/Logging_0360/artfynd/A 54534-2025 artfynd.xlsx", "A 54534-2025")</f>
        <v/>
      </c>
      <c r="W104">
        <f>HYPERLINK("https://klasma.github.io/Logging_0360/kartor/A 54534-2025 karta.png", "A 54534-2025")</f>
        <v/>
      </c>
      <c r="Y104">
        <f>HYPERLINK("https://klasma.github.io/Logging_0360/klagomål/A 54534-2025 FSC-klagomål.docx", "A 54534-2025")</f>
        <v/>
      </c>
      <c r="Z104">
        <f>HYPERLINK("https://klasma.github.io/Logging_0360/klagomålsmail/A 54534-2025 FSC-klagomål mail.docx", "A 54534-2025")</f>
        <v/>
      </c>
      <c r="AA104">
        <f>HYPERLINK("https://klasma.github.io/Logging_0360/tillsyn/A 54534-2025 tillsynsbegäran.docx", "A 54534-2025")</f>
        <v/>
      </c>
      <c r="AB104">
        <f>HYPERLINK("https://klasma.github.io/Logging_0360/tillsynsmail/A 54534-2025 tillsynsbegäran mail.docx", "A 54534-2025")</f>
        <v/>
      </c>
    </row>
    <row r="105" ht="15" customHeight="1">
      <c r="A105" t="inlineStr">
        <is>
          <t>A 6139-2026</t>
        </is>
      </c>
      <c r="B105" t="inlineStr">
        <is>
          <t>avverkningsanmälan</t>
        </is>
      </c>
      <c r="C105" t="inlineStr">
        <is>
          <t>Föryngringsavverkning</t>
        </is>
      </c>
      <c r="D105" s="1" t="n">
        <v>46054</v>
      </c>
      <c r="E105" s="1" t="n">
        <v>46220</v>
      </c>
      <c r="F105" t="inlineStr">
        <is>
          <t>UPPSALA LÄN</t>
        </is>
      </c>
      <c r="G105" t="inlineStr">
        <is>
          <t>TIERP</t>
        </is>
      </c>
      <c r="I105" t="n">
        <v>1</v>
      </c>
      <c r="J105" t="n">
        <v>0</v>
      </c>
      <c r="K105" t="n">
        <v>0</v>
      </c>
      <c r="L105" t="n">
        <v>0</v>
      </c>
      <c r="M105" t="n">
        <v>0</v>
      </c>
      <c r="N105" t="n">
        <v>1</v>
      </c>
      <c r="O105" t="n">
        <v>0</v>
      </c>
      <c r="P105" t="n">
        <v>0</v>
      </c>
      <c r="Q105" t="n">
        <v>1</v>
      </c>
      <c r="R105" t="n">
        <v>1</v>
      </c>
      <c r="S105" t="n">
        <v>1</v>
      </c>
      <c r="T105" t="n">
        <v>1</v>
      </c>
      <c r="U105" s="2" t="inlineStr">
        <is>
          <t>Koppartaggsvamp</t>
        </is>
      </c>
      <c r="V105">
        <f>HYPERLINK("https://klasma.github.io/Logging_0360/artfynd/A 6139-2026 artfynd.xlsx", "A 6139-2026")</f>
        <v/>
      </c>
      <c r="W105">
        <f>HYPERLINK("https://klasma.github.io/Logging_0360/kartor/A 6139-2026 karta.png", "A 6139-2026")</f>
        <v/>
      </c>
      <c r="Y105">
        <f>HYPERLINK("https://klasma.github.io/Logging_0360/klagomål/A 6139-2026 FSC-klagomål.docx", "A 6139-2026")</f>
        <v/>
      </c>
      <c r="Z105">
        <f>HYPERLINK("https://klasma.github.io/Logging_0360/klagomålsmail/A 6139-2026 FSC-klagomål mail.docx", "A 6139-2026")</f>
        <v/>
      </c>
      <c r="AA105">
        <f>HYPERLINK("https://klasma.github.io/Logging_0360/tillsyn/A 6139-2026 tillsynsbegäran.docx", "A 6139-2026")</f>
        <v/>
      </c>
      <c r="AB105">
        <f>HYPERLINK("https://klasma.github.io/Logging_0360/tillsynsmail/A 6139-2026 tillsynsbegäran mail.docx", "A 6139-2026")</f>
        <v/>
      </c>
    </row>
    <row r="106" ht="15" customHeight="1">
      <c r="A106" t="inlineStr">
        <is>
          <t>A 56046-2025</t>
        </is>
      </c>
      <c r="B106" t="inlineStr">
        <is>
          <t>avverkningsanmälan</t>
        </is>
      </c>
      <c r="C106" t="inlineStr">
        <is>
          <t>Föryngringsavverkning</t>
        </is>
      </c>
      <c r="D106" s="1" t="n">
        <v>45973</v>
      </c>
      <c r="E106" s="1" t="n">
        <v>46220</v>
      </c>
      <c r="F106" t="inlineStr">
        <is>
          <t>UPPSALA LÄN</t>
        </is>
      </c>
      <c r="G106" t="inlineStr">
        <is>
          <t>TIERP</t>
        </is>
      </c>
      <c r="H106" t="inlineStr">
        <is>
          <t>Bergvik skog väst AB</t>
        </is>
      </c>
      <c r="I106" t="n">
        <v>1.9</v>
      </c>
      <c r="J106" t="n">
        <v>1</v>
      </c>
      <c r="K106" t="n">
        <v>0</v>
      </c>
      <c r="L106" t="n">
        <v>0</v>
      </c>
      <c r="M106" t="n">
        <v>0</v>
      </c>
      <c r="N106" t="n">
        <v>0</v>
      </c>
      <c r="O106" t="n">
        <v>0</v>
      </c>
      <c r="P106" t="n">
        <v>0</v>
      </c>
      <c r="Q106" t="n">
        <v>0</v>
      </c>
      <c r="R106" t="n">
        <v>0</v>
      </c>
      <c r="S106" t="n">
        <v>1</v>
      </c>
      <c r="T106" t="n">
        <v>1</v>
      </c>
      <c r="U106" s="2" t="inlineStr">
        <is>
          <t>Blåsippa</t>
        </is>
      </c>
      <c r="V106">
        <f>HYPERLINK("https://klasma.github.io/Logging_0360/artfynd/A 56046-2025 artfynd.xlsx", "A 56046-2025")</f>
        <v/>
      </c>
      <c r="W106">
        <f>HYPERLINK("https://klasma.github.io/Logging_0360/kartor/A 56046-2025 karta.png", "A 56046-2025")</f>
        <v/>
      </c>
      <c r="Y106">
        <f>HYPERLINK("https://klasma.github.io/Logging_0360/klagomål/A 56046-2025 FSC-klagomål.docx", "A 56046-2025")</f>
        <v/>
      </c>
      <c r="Z106">
        <f>HYPERLINK("https://klasma.github.io/Logging_0360/klagomålsmail/A 56046-2025 FSC-klagomål mail.docx", "A 56046-2025")</f>
        <v/>
      </c>
      <c r="AA106">
        <f>HYPERLINK("https://klasma.github.io/Logging_0360/tillsyn/A 56046-2025 tillsynsbegäran.docx", "A 56046-2025")</f>
        <v/>
      </c>
      <c r="AB106">
        <f>HYPERLINK("https://klasma.github.io/Logging_0360/tillsynsmail/A 56046-2025 tillsynsbegäran mail.docx", "A 56046-2025")</f>
        <v/>
      </c>
    </row>
    <row r="107" ht="15" customHeight="1">
      <c r="A107" t="inlineStr">
        <is>
          <t>A 33797-2023</t>
        </is>
      </c>
      <c r="B107" t="inlineStr">
        <is>
          <t>avverkningsanmälan</t>
        </is>
      </c>
      <c r="C107" t="inlineStr">
        <is>
          <t>Föryngringsavverkning</t>
        </is>
      </c>
      <c r="D107" s="1" t="n">
        <v>45133</v>
      </c>
      <c r="E107" s="1" t="n">
        <v>46220</v>
      </c>
      <c r="F107" t="inlineStr">
        <is>
          <t>UPPSALA LÄN</t>
        </is>
      </c>
      <c r="G107" t="inlineStr">
        <is>
          <t>TIERP</t>
        </is>
      </c>
      <c r="H107" t="inlineStr">
        <is>
          <t>Bergvik skog öst AB</t>
        </is>
      </c>
      <c r="I107" t="n">
        <v>0.4</v>
      </c>
      <c r="J107" t="n">
        <v>1</v>
      </c>
      <c r="K107" t="n">
        <v>0</v>
      </c>
      <c r="L107" t="n">
        <v>0</v>
      </c>
      <c r="M107" t="n">
        <v>0</v>
      </c>
      <c r="N107" t="n">
        <v>0</v>
      </c>
      <c r="O107" t="n">
        <v>0</v>
      </c>
      <c r="P107" t="n">
        <v>0</v>
      </c>
      <c r="Q107" t="n">
        <v>0</v>
      </c>
      <c r="R107" t="n">
        <v>0</v>
      </c>
      <c r="S107" t="n">
        <v>1</v>
      </c>
      <c r="T107" t="n">
        <v>1</v>
      </c>
      <c r="U107" s="2" t="inlineStr">
        <is>
          <t>Revlummer</t>
        </is>
      </c>
      <c r="V107">
        <f>HYPERLINK("https://klasma.github.io/Logging_0360/artfynd/A 33797-2023 artfynd.xlsx", "A 33797-2023")</f>
        <v/>
      </c>
      <c r="W107">
        <f>HYPERLINK("https://klasma.github.io/Logging_0360/kartor/A 33797-2023 karta.png", "A 33797-2023")</f>
        <v/>
      </c>
      <c r="X107">
        <f>HYPERLINK("https://klasma.github.io/Logging_0360/knärot/A 33797-2023 karta knärot.png", "A 33797-2023")</f>
        <v/>
      </c>
      <c r="Y107">
        <f>HYPERLINK("https://klasma.github.io/Logging_0360/klagomål/A 33797-2023 FSC-klagomål.docx", "A 33797-2023")</f>
        <v/>
      </c>
      <c r="Z107">
        <f>HYPERLINK("https://klasma.github.io/Logging_0360/klagomålsmail/A 33797-2023 FSC-klagomål mail.docx", "A 33797-2023")</f>
        <v/>
      </c>
      <c r="AA107">
        <f>HYPERLINK("https://klasma.github.io/Logging_0360/tillsyn/A 33797-2023 tillsynsbegäran.docx", "A 33797-2023")</f>
        <v/>
      </c>
      <c r="AB107">
        <f>HYPERLINK("https://klasma.github.io/Logging_0360/tillsynsmail/A 33797-2023 tillsynsbegäran mail.docx", "A 33797-2023")</f>
        <v/>
      </c>
    </row>
    <row r="108" ht="15" customHeight="1">
      <c r="A108" t="inlineStr">
        <is>
          <t>A 61825-2025</t>
        </is>
      </c>
      <c r="B108" t="inlineStr">
        <is>
          <t>avverkningsanmälan</t>
        </is>
      </c>
      <c r="C108" t="inlineStr">
        <is>
          <t>Föryngringsavverkning</t>
        </is>
      </c>
      <c r="D108" s="1" t="n">
        <v>46003</v>
      </c>
      <c r="E108" s="1" t="n">
        <v>46220</v>
      </c>
      <c r="F108" t="inlineStr">
        <is>
          <t>UPPSALA LÄN</t>
        </is>
      </c>
      <c r="G108" t="inlineStr">
        <is>
          <t>TIERP</t>
        </is>
      </c>
      <c r="H108" t="inlineStr">
        <is>
          <t>Bergvik skog öst AB</t>
        </is>
      </c>
      <c r="I108" t="n">
        <v>7.6</v>
      </c>
      <c r="J108" t="n">
        <v>0</v>
      </c>
      <c r="K108" t="n">
        <v>0</v>
      </c>
      <c r="L108" t="n">
        <v>1</v>
      </c>
      <c r="M108" t="n">
        <v>0</v>
      </c>
      <c r="N108" t="n">
        <v>0</v>
      </c>
      <c r="O108" t="n">
        <v>0</v>
      </c>
      <c r="P108" t="n">
        <v>0</v>
      </c>
      <c r="Q108" t="n">
        <v>1</v>
      </c>
      <c r="R108" t="n">
        <v>0</v>
      </c>
      <c r="S108" t="n">
        <v>1</v>
      </c>
      <c r="T108" t="n">
        <v>1</v>
      </c>
      <c r="U108" s="2" t="inlineStr">
        <is>
          <t>Apelsinticka</t>
        </is>
      </c>
      <c r="V108">
        <f>HYPERLINK("https://klasma.github.io/Logging_0360/artfynd/A 61825-2025 artfynd.xlsx", "A 61825-2025")</f>
        <v/>
      </c>
      <c r="W108">
        <f>HYPERLINK("https://klasma.github.io/Logging_0360/kartor/A 61825-2025 karta.png", "A 61825-2025")</f>
        <v/>
      </c>
      <c r="Y108">
        <f>HYPERLINK("https://klasma.github.io/Logging_0360/klagomål/A 61825-2025 FSC-klagomål.docx", "A 61825-2025")</f>
        <v/>
      </c>
      <c r="Z108">
        <f>HYPERLINK("https://klasma.github.io/Logging_0360/klagomålsmail/A 61825-2025 FSC-klagomål mail.docx", "A 61825-2025")</f>
        <v/>
      </c>
      <c r="AA108">
        <f>HYPERLINK("https://klasma.github.io/Logging_0360/tillsyn/A 61825-2025 tillsynsbegäran.docx", "A 61825-2025")</f>
        <v/>
      </c>
      <c r="AB108">
        <f>HYPERLINK("https://klasma.github.io/Logging_0360/tillsynsmail/A 61825-2025 tillsynsbegäran mail.docx", "A 61825-2025")</f>
        <v/>
      </c>
    </row>
    <row r="109" ht="15" customHeight="1">
      <c r="A109" t="inlineStr">
        <is>
          <t>A 63261-2025</t>
        </is>
      </c>
      <c r="B109" t="inlineStr">
        <is>
          <t>avverkningsanmälan</t>
        </is>
      </c>
      <c r="C109" t="inlineStr">
        <is>
          <t>Föryngringsavverkning</t>
        </is>
      </c>
      <c r="D109" s="1" t="n">
        <v>46010</v>
      </c>
      <c r="E109" s="1" t="n">
        <v>46220</v>
      </c>
      <c r="F109" t="inlineStr">
        <is>
          <t>UPPSALA LÄN</t>
        </is>
      </c>
      <c r="G109" t="inlineStr">
        <is>
          <t>TIERP</t>
        </is>
      </c>
      <c r="H109" t="inlineStr">
        <is>
          <t>Bergvik skog öst AB</t>
        </is>
      </c>
      <c r="I109" t="n">
        <v>16.6</v>
      </c>
      <c r="J109" t="n">
        <v>0</v>
      </c>
      <c r="K109" t="n">
        <v>0</v>
      </c>
      <c r="L109" t="n">
        <v>0</v>
      </c>
      <c r="M109" t="n">
        <v>1</v>
      </c>
      <c r="N109" t="n">
        <v>0</v>
      </c>
      <c r="O109" t="n">
        <v>0</v>
      </c>
      <c r="P109" t="n">
        <v>0</v>
      </c>
      <c r="Q109" t="n">
        <v>1</v>
      </c>
      <c r="R109" t="n">
        <v>1</v>
      </c>
      <c r="S109" t="n">
        <v>1</v>
      </c>
      <c r="T109" t="n">
        <v>1</v>
      </c>
      <c r="U109" s="2" t="inlineStr">
        <is>
          <t>Brunfläckig pärlemorfjäril</t>
        </is>
      </c>
      <c r="V109">
        <f>HYPERLINK("https://klasma.github.io/Logging_0360/artfynd/A 63261-2025 artfynd.xlsx", "A 63261-2025")</f>
        <v/>
      </c>
      <c r="W109">
        <f>HYPERLINK("https://klasma.github.io/Logging_0360/kartor/A 63261-2025 karta.png", "A 63261-2025")</f>
        <v/>
      </c>
      <c r="Y109">
        <f>HYPERLINK("https://klasma.github.io/Logging_0360/klagomål/A 63261-2025 FSC-klagomål.docx", "A 63261-2025")</f>
        <v/>
      </c>
      <c r="Z109">
        <f>HYPERLINK("https://klasma.github.io/Logging_0360/klagomålsmail/A 63261-2025 FSC-klagomål mail.docx", "A 63261-2025")</f>
        <v/>
      </c>
      <c r="AA109">
        <f>HYPERLINK("https://klasma.github.io/Logging_0360/tillsyn/A 63261-2025 tillsynsbegäran.docx", "A 63261-2025")</f>
        <v/>
      </c>
      <c r="AB109">
        <f>HYPERLINK("https://klasma.github.io/Logging_0360/tillsynsmail/A 63261-2025 tillsynsbegäran mail.docx", "A 63261-2025")</f>
        <v/>
      </c>
    </row>
    <row r="110" ht="15" customHeight="1">
      <c r="A110" t="inlineStr">
        <is>
          <t>A 16186-2026</t>
        </is>
      </c>
      <c r="B110" t="inlineStr">
        <is>
          <t>avverkningsanmälan</t>
        </is>
      </c>
      <c r="C110" t="inlineStr">
        <is>
          <t>Föryngringsavverkning</t>
        </is>
      </c>
      <c r="D110" s="1" t="n">
        <v>46111</v>
      </c>
      <c r="E110" s="1" t="n">
        <v>46220</v>
      </c>
      <c r="F110" t="inlineStr">
        <is>
          <t>UPPSALA LÄN</t>
        </is>
      </c>
      <c r="G110" t="inlineStr">
        <is>
          <t>TIERP</t>
        </is>
      </c>
      <c r="I110" t="n">
        <v>0.9</v>
      </c>
      <c r="J110" t="n">
        <v>0</v>
      </c>
      <c r="K110" t="n">
        <v>0</v>
      </c>
      <c r="L110" t="n">
        <v>1</v>
      </c>
      <c r="M110" t="n">
        <v>0</v>
      </c>
      <c r="N110" t="n">
        <v>0</v>
      </c>
      <c r="O110" t="n">
        <v>0</v>
      </c>
      <c r="P110" t="n">
        <v>0</v>
      </c>
      <c r="Q110" t="n">
        <v>1</v>
      </c>
      <c r="R110" t="n">
        <v>0</v>
      </c>
      <c r="S110" t="n">
        <v>1</v>
      </c>
      <c r="T110" t="n">
        <v>1</v>
      </c>
      <c r="U110" s="2" t="inlineStr">
        <is>
          <t>Skarp dropptaggsvamp</t>
        </is>
      </c>
      <c r="V110">
        <f>HYPERLINK("https://klasma.github.io/Logging_0360/artfynd/A 16186-2026 artfynd.xlsx", "A 16186-2026")</f>
        <v/>
      </c>
      <c r="W110">
        <f>HYPERLINK("https://klasma.github.io/Logging_0360/kartor/A 16186-2026 karta.png", "A 16186-2026")</f>
        <v/>
      </c>
      <c r="Y110">
        <f>HYPERLINK("https://klasma.github.io/Logging_0360/klagomål/A 16186-2026 FSC-klagomål.docx", "A 16186-2026")</f>
        <v/>
      </c>
      <c r="Z110">
        <f>HYPERLINK("https://klasma.github.io/Logging_0360/klagomålsmail/A 16186-2026 FSC-klagomål mail.docx", "A 16186-2026")</f>
        <v/>
      </c>
      <c r="AA110">
        <f>HYPERLINK("https://klasma.github.io/Logging_0360/tillsyn/A 16186-2026 tillsynsbegäran.docx", "A 16186-2026")</f>
        <v/>
      </c>
      <c r="AB110">
        <f>HYPERLINK("https://klasma.github.io/Logging_0360/tillsynsmail/A 16186-2026 tillsynsbegäran mail.docx", "A 16186-2026")</f>
        <v/>
      </c>
    </row>
    <row r="111" ht="15" customHeight="1">
      <c r="A111" t="inlineStr">
        <is>
          <t>A 18619-2025</t>
        </is>
      </c>
      <c r="B111" t="inlineStr">
        <is>
          <t>avverkningsanmälan</t>
        </is>
      </c>
      <c r="C111" t="inlineStr">
        <is>
          <t>Föryngringsavverkning</t>
        </is>
      </c>
      <c r="D111" s="1" t="n">
        <v>45763</v>
      </c>
      <c r="E111" s="1" t="n">
        <v>46220</v>
      </c>
      <c r="F111" t="inlineStr">
        <is>
          <t>UPPSALA LÄN</t>
        </is>
      </c>
      <c r="G111" t="inlineStr">
        <is>
          <t>TIERP</t>
        </is>
      </c>
      <c r="I111" t="n">
        <v>4.6</v>
      </c>
      <c r="J111" t="n">
        <v>1</v>
      </c>
      <c r="K111" t="n">
        <v>1</v>
      </c>
      <c r="L111" t="n">
        <v>0</v>
      </c>
      <c r="M111" t="n">
        <v>0</v>
      </c>
      <c r="N111" t="n">
        <v>0</v>
      </c>
      <c r="O111" t="n">
        <v>0</v>
      </c>
      <c r="P111" t="n">
        <v>0</v>
      </c>
      <c r="Q111" t="n">
        <v>0</v>
      </c>
      <c r="R111" t="n">
        <v>0</v>
      </c>
      <c r="S111" t="n">
        <v>1</v>
      </c>
      <c r="T111" t="n">
        <v>1</v>
      </c>
      <c r="U111" s="2" t="inlineStr">
        <is>
          <t>Nästrot</t>
        </is>
      </c>
      <c r="V111">
        <f>HYPERLINK("https://klasma.github.io/Logging_0360/artfynd/A 18619-2025 artfynd.xlsx", "A 18619-2025")</f>
        <v/>
      </c>
      <c r="W111">
        <f>HYPERLINK("https://klasma.github.io/Logging_0360/kartor/A 18619-2025 karta.png", "A 18619-2025")</f>
        <v/>
      </c>
      <c r="Y111">
        <f>HYPERLINK("https://klasma.github.io/Logging_0360/klagomål/A 18619-2025 FSC-klagomål.docx", "A 18619-2025")</f>
        <v/>
      </c>
      <c r="Z111">
        <f>HYPERLINK("https://klasma.github.io/Logging_0360/klagomålsmail/A 18619-2025 FSC-klagomål mail.docx", "A 18619-2025")</f>
        <v/>
      </c>
      <c r="AA111">
        <f>HYPERLINK("https://klasma.github.io/Logging_0360/tillsyn/A 18619-2025 tillsynsbegäran.docx", "A 18619-2025")</f>
        <v/>
      </c>
      <c r="AB111">
        <f>HYPERLINK("https://klasma.github.io/Logging_0360/tillsynsmail/A 18619-2025 tillsynsbegäran mail.docx", "A 18619-2025")</f>
        <v/>
      </c>
    </row>
    <row r="112" ht="15" customHeight="1">
      <c r="A112" t="inlineStr">
        <is>
          <t>A 18521-2026</t>
        </is>
      </c>
      <c r="B112" t="inlineStr">
        <is>
          <t>avverkningsanmälan</t>
        </is>
      </c>
      <c r="C112" t="inlineStr">
        <is>
          <t>Föryngringsavverkning</t>
        </is>
      </c>
      <c r="D112" s="1" t="n">
        <v>46127</v>
      </c>
      <c r="E112" s="1" t="n">
        <v>46220</v>
      </c>
      <c r="F112" t="inlineStr">
        <is>
          <t>UPPSALA LÄN</t>
        </is>
      </c>
      <c r="G112" t="inlineStr">
        <is>
          <t>TIERP</t>
        </is>
      </c>
      <c r="H112" t="inlineStr">
        <is>
          <t>Bergvik skog öst AB</t>
        </is>
      </c>
      <c r="I112" t="n">
        <v>1.9</v>
      </c>
      <c r="J112" t="n">
        <v>1</v>
      </c>
      <c r="K112" t="n">
        <v>1</v>
      </c>
      <c r="L112" t="n">
        <v>0</v>
      </c>
      <c r="M112" t="n">
        <v>0</v>
      </c>
      <c r="N112" t="n">
        <v>0</v>
      </c>
      <c r="O112" t="n">
        <v>0</v>
      </c>
      <c r="P112" t="n">
        <v>0</v>
      </c>
      <c r="Q112" t="n">
        <v>0</v>
      </c>
      <c r="R112" t="n">
        <v>0</v>
      </c>
      <c r="S112" t="n">
        <v>1</v>
      </c>
      <c r="T112" t="n">
        <v>1</v>
      </c>
      <c r="U112" s="2" t="inlineStr">
        <is>
          <t>Tvåblad</t>
        </is>
      </c>
      <c r="V112">
        <f>HYPERLINK("https://klasma.github.io/Logging_0360/artfynd/A 18521-2026 artfynd.xlsx", "A 18521-2026")</f>
        <v/>
      </c>
      <c r="W112">
        <f>HYPERLINK("https://klasma.github.io/Logging_0360/kartor/A 18521-2026 karta.png", "A 18521-2026")</f>
        <v/>
      </c>
      <c r="Y112">
        <f>HYPERLINK("https://klasma.github.io/Logging_0360/klagomål/A 18521-2026 FSC-klagomål.docx", "A 18521-2026")</f>
        <v/>
      </c>
      <c r="Z112">
        <f>HYPERLINK("https://klasma.github.io/Logging_0360/klagomålsmail/A 18521-2026 FSC-klagomål mail.docx", "A 18521-2026")</f>
        <v/>
      </c>
      <c r="AA112">
        <f>HYPERLINK("https://klasma.github.io/Logging_0360/tillsyn/A 18521-2026 tillsynsbegäran.docx", "A 18521-2026")</f>
        <v/>
      </c>
      <c r="AB112">
        <f>HYPERLINK("https://klasma.github.io/Logging_0360/tillsynsmail/A 18521-2026 tillsynsbegäran mail.docx", "A 18521-2026")</f>
        <v/>
      </c>
    </row>
    <row r="113" ht="15" customHeight="1">
      <c r="A113" t="inlineStr">
        <is>
          <t>A 19692-2026</t>
        </is>
      </c>
      <c r="B113" t="inlineStr">
        <is>
          <t>avverkningsanmälan</t>
        </is>
      </c>
      <c r="C113" t="inlineStr">
        <is>
          <t>Föryngringsavverkning</t>
        </is>
      </c>
      <c r="D113" s="1" t="n">
        <v>46134</v>
      </c>
      <c r="E113" s="1" t="n">
        <v>46220</v>
      </c>
      <c r="F113" t="inlineStr">
        <is>
          <t>UPPSALA LÄN</t>
        </is>
      </c>
      <c r="G113" t="inlineStr">
        <is>
          <t>TIERP</t>
        </is>
      </c>
      <c r="I113" t="n">
        <v>2.1</v>
      </c>
      <c r="J113" t="n">
        <v>1</v>
      </c>
      <c r="K113" t="n">
        <v>0</v>
      </c>
      <c r="L113" t="n">
        <v>0</v>
      </c>
      <c r="M113" t="n">
        <v>0</v>
      </c>
      <c r="N113" t="n">
        <v>0</v>
      </c>
      <c r="O113" t="n">
        <v>0</v>
      </c>
      <c r="P113" t="n">
        <v>0</v>
      </c>
      <c r="Q113" t="n">
        <v>0</v>
      </c>
      <c r="R113" t="n">
        <v>0</v>
      </c>
      <c r="S113" t="n">
        <v>1</v>
      </c>
      <c r="T113" t="n">
        <v>1</v>
      </c>
      <c r="U113" s="2" t="inlineStr">
        <is>
          <t>Blåsippa</t>
        </is>
      </c>
      <c r="V113">
        <f>HYPERLINK("https://klasma.github.io/Logging_0360/artfynd/A 19692-2026 artfynd.xlsx", "A 19692-2026")</f>
        <v/>
      </c>
      <c r="W113">
        <f>HYPERLINK("https://klasma.github.io/Logging_0360/kartor/A 19692-2026 karta.png", "A 19692-2026")</f>
        <v/>
      </c>
      <c r="Y113">
        <f>HYPERLINK("https://klasma.github.io/Logging_0360/klagomål/A 19692-2026 FSC-klagomål.docx", "A 19692-2026")</f>
        <v/>
      </c>
      <c r="Z113">
        <f>HYPERLINK("https://klasma.github.io/Logging_0360/klagomålsmail/A 19692-2026 FSC-klagomål mail.docx", "A 19692-2026")</f>
        <v/>
      </c>
      <c r="AA113">
        <f>HYPERLINK("https://klasma.github.io/Logging_0360/tillsyn/A 19692-2026 tillsynsbegäran.docx", "A 19692-2026")</f>
        <v/>
      </c>
      <c r="AB113">
        <f>HYPERLINK("https://klasma.github.io/Logging_0360/tillsynsmail/A 19692-2026 tillsynsbegäran mail.docx", "A 19692-2026")</f>
        <v/>
      </c>
    </row>
    <row r="114" ht="15" customHeight="1">
      <c r="A114" t="inlineStr">
        <is>
          <t>A 1572-2023</t>
        </is>
      </c>
      <c r="B114" t="inlineStr">
        <is>
          <t>avverkningsanmälan</t>
        </is>
      </c>
      <c r="C114" t="inlineStr">
        <is>
          <t>Föryngringsavverkning</t>
        </is>
      </c>
      <c r="D114" s="1" t="n">
        <v>44937</v>
      </c>
      <c r="E114" s="1" t="n">
        <v>46220</v>
      </c>
      <c r="F114" t="inlineStr">
        <is>
          <t>UPPSALA LÄN</t>
        </is>
      </c>
      <c r="G114" t="inlineStr">
        <is>
          <t>TIERP</t>
        </is>
      </c>
      <c r="I114" t="n">
        <v>7.4</v>
      </c>
      <c r="J114" t="n">
        <v>0</v>
      </c>
      <c r="K114" t="n">
        <v>1</v>
      </c>
      <c r="L114" t="n">
        <v>0</v>
      </c>
      <c r="M114" t="n">
        <v>0</v>
      </c>
      <c r="N114" t="n">
        <v>0</v>
      </c>
      <c r="O114" t="n">
        <v>0</v>
      </c>
      <c r="P114" t="n">
        <v>0</v>
      </c>
      <c r="Q114" t="n">
        <v>0</v>
      </c>
      <c r="R114" t="n">
        <v>0</v>
      </c>
      <c r="S114" t="n">
        <v>1</v>
      </c>
      <c r="T114" t="n">
        <v>1</v>
      </c>
      <c r="U114" s="2" t="inlineStr">
        <is>
          <t>Brun nållav</t>
        </is>
      </c>
      <c r="V114">
        <f>HYPERLINK("https://klasma.github.io/Logging_0360/artfynd/A 1572-2023 artfynd.xlsx", "A 1572-2023")</f>
        <v/>
      </c>
      <c r="W114">
        <f>HYPERLINK("https://klasma.github.io/Logging_0360/kartor/A 1572-2023 karta.png", "A 1572-2023")</f>
        <v/>
      </c>
      <c r="Y114">
        <f>HYPERLINK("https://klasma.github.io/Logging_0360/klagomål/A 1572-2023 FSC-klagomål.docx", "A 1572-2023")</f>
        <v/>
      </c>
      <c r="Z114">
        <f>HYPERLINK("https://klasma.github.io/Logging_0360/klagomålsmail/A 1572-2023 FSC-klagomål mail.docx", "A 1572-2023")</f>
        <v/>
      </c>
      <c r="AA114">
        <f>HYPERLINK("https://klasma.github.io/Logging_0360/tillsyn/A 1572-2023 tillsynsbegäran.docx", "A 1572-2023")</f>
        <v/>
      </c>
      <c r="AB114">
        <f>HYPERLINK("https://klasma.github.io/Logging_0360/tillsynsmail/A 1572-2023 tillsynsbegäran mail.docx", "A 1572-2023")</f>
        <v/>
      </c>
    </row>
    <row r="115" ht="15" customHeight="1">
      <c r="A115" t="inlineStr">
        <is>
          <t>A 22769-2025</t>
        </is>
      </c>
      <c r="B115" t="inlineStr">
        <is>
          <t>avverkningsanmälan</t>
        </is>
      </c>
      <c r="C115" t="inlineStr">
        <is>
          <t>Föryngringsavverkning</t>
        </is>
      </c>
      <c r="D115" s="1" t="n">
        <v>45789</v>
      </c>
      <c r="E115" s="1" t="n">
        <v>46220</v>
      </c>
      <c r="F115" t="inlineStr">
        <is>
          <t>UPPSALA LÄN</t>
        </is>
      </c>
      <c r="G115" t="inlineStr">
        <is>
          <t>TIERP</t>
        </is>
      </c>
      <c r="I115" t="n">
        <v>1.6</v>
      </c>
      <c r="J115" t="n">
        <v>0</v>
      </c>
      <c r="K115" t="n">
        <v>0</v>
      </c>
      <c r="L115" t="n">
        <v>1</v>
      </c>
      <c r="M115" t="n">
        <v>0</v>
      </c>
      <c r="N115" t="n">
        <v>0</v>
      </c>
      <c r="O115" t="n">
        <v>0</v>
      </c>
      <c r="P115" t="n">
        <v>0</v>
      </c>
      <c r="Q115" t="n">
        <v>1</v>
      </c>
      <c r="R115" t="n">
        <v>0</v>
      </c>
      <c r="S115" t="n">
        <v>1</v>
      </c>
      <c r="T115" t="n">
        <v>1</v>
      </c>
      <c r="U115" s="2" t="inlineStr">
        <is>
          <t>Vårärt</t>
        </is>
      </c>
      <c r="V115">
        <f>HYPERLINK("https://klasma.github.io/Logging_0360/artfynd/A 22769-2025 artfynd.xlsx", "A 22769-2025")</f>
        <v/>
      </c>
      <c r="W115">
        <f>HYPERLINK("https://klasma.github.io/Logging_0360/kartor/A 22769-2025 karta.png", "A 22769-2025")</f>
        <v/>
      </c>
      <c r="Y115">
        <f>HYPERLINK("https://klasma.github.io/Logging_0360/klagomål/A 22769-2025 FSC-klagomål.docx", "A 22769-2025")</f>
        <v/>
      </c>
      <c r="Z115">
        <f>HYPERLINK("https://klasma.github.io/Logging_0360/klagomålsmail/A 22769-2025 FSC-klagomål mail.docx", "A 22769-2025")</f>
        <v/>
      </c>
      <c r="AA115">
        <f>HYPERLINK("https://klasma.github.io/Logging_0360/tillsyn/A 22769-2025 tillsynsbegäran.docx", "A 22769-2025")</f>
        <v/>
      </c>
      <c r="AB115">
        <f>HYPERLINK("https://klasma.github.io/Logging_0360/tillsynsmail/A 22769-2025 tillsynsbegäran mail.docx", "A 22769-2025")</f>
        <v/>
      </c>
    </row>
    <row r="116" ht="15" customHeight="1">
      <c r="A116" t="inlineStr">
        <is>
          <t>A 25985-2026</t>
        </is>
      </c>
      <c r="B116" t="inlineStr">
        <is>
          <t>avverkningsanmälan</t>
        </is>
      </c>
      <c r="C116" t="inlineStr">
        <is>
          <t>Föryngringsavverkning</t>
        </is>
      </c>
      <c r="D116" s="1" t="n">
        <v>46181</v>
      </c>
      <c r="E116" s="1" t="n">
        <v>46220</v>
      </c>
      <c r="F116" t="inlineStr">
        <is>
          <t>UPPSALA LÄN</t>
        </is>
      </c>
      <c r="G116" t="inlineStr">
        <is>
          <t>TIERP</t>
        </is>
      </c>
      <c r="H116" t="inlineStr">
        <is>
          <t>Bergvik skog öst AB</t>
        </is>
      </c>
      <c r="I116" t="n">
        <v>4.8</v>
      </c>
      <c r="J116" t="n">
        <v>1</v>
      </c>
      <c r="K116" t="n">
        <v>1</v>
      </c>
      <c r="L116" t="n">
        <v>0</v>
      </c>
      <c r="M116" t="n">
        <v>0</v>
      </c>
      <c r="N116" t="n">
        <v>0</v>
      </c>
      <c r="O116" t="n">
        <v>0</v>
      </c>
      <c r="P116" t="n">
        <v>0</v>
      </c>
      <c r="Q116" t="n">
        <v>0</v>
      </c>
      <c r="R116" t="n">
        <v>0</v>
      </c>
      <c r="S116" t="n">
        <v>1</v>
      </c>
      <c r="T116" t="n">
        <v>1</v>
      </c>
      <c r="U116" s="2" t="inlineStr">
        <is>
          <t>Tvåblad</t>
        </is>
      </c>
      <c r="V116">
        <f>HYPERLINK("https://klasma.github.io/Logging_0360/artfynd/A 25985-2026 artfynd.xlsx", "A 25985-2026")</f>
        <v/>
      </c>
      <c r="W116">
        <f>HYPERLINK("https://klasma.github.io/Logging_0360/kartor/A 25985-2026 karta.png", "A 25985-2026")</f>
        <v/>
      </c>
      <c r="Y116">
        <f>HYPERLINK("https://klasma.github.io/Logging_0360/klagomål/A 25985-2026 FSC-klagomål.docx", "A 25985-2026")</f>
        <v/>
      </c>
      <c r="Z116">
        <f>HYPERLINK("https://klasma.github.io/Logging_0360/klagomålsmail/A 25985-2026 FSC-klagomål mail.docx", "A 25985-2026")</f>
        <v/>
      </c>
      <c r="AA116">
        <f>HYPERLINK("https://klasma.github.io/Logging_0360/tillsyn/A 25985-2026 tillsynsbegäran.docx", "A 25985-2026")</f>
        <v/>
      </c>
      <c r="AB116">
        <f>HYPERLINK("https://klasma.github.io/Logging_0360/tillsynsmail/A 25985-2026 tillsynsbegäran mail.docx", "A 25985-2026")</f>
        <v/>
      </c>
    </row>
    <row r="117" ht="15" customHeight="1">
      <c r="A117" t="inlineStr">
        <is>
          <t>A 8772-2023</t>
        </is>
      </c>
      <c r="B117" t="inlineStr">
        <is>
          <t>avverkningsanmälan</t>
        </is>
      </c>
      <c r="C117" t="inlineStr">
        <is>
          <t>Föryngringsavverkning</t>
        </is>
      </c>
      <c r="D117" s="1" t="n">
        <v>44978</v>
      </c>
      <c r="E117" s="1" t="n">
        <v>46220</v>
      </c>
      <c r="F117" t="inlineStr">
        <is>
          <t>UPPSALA LÄN</t>
        </is>
      </c>
      <c r="G117" t="inlineStr">
        <is>
          <t>TIERP</t>
        </is>
      </c>
      <c r="I117" t="n">
        <v>2.4</v>
      </c>
      <c r="J117" t="n">
        <v>0</v>
      </c>
      <c r="K117" t="n">
        <v>0</v>
      </c>
      <c r="L117" t="n">
        <v>1</v>
      </c>
      <c r="M117" t="n">
        <v>0</v>
      </c>
      <c r="N117" t="n">
        <v>0</v>
      </c>
      <c r="O117" t="n">
        <v>0</v>
      </c>
      <c r="P117" t="n">
        <v>0</v>
      </c>
      <c r="Q117" t="n">
        <v>1</v>
      </c>
      <c r="R117" t="n">
        <v>0</v>
      </c>
      <c r="S117" t="n">
        <v>1</v>
      </c>
      <c r="T117" t="n">
        <v>1</v>
      </c>
      <c r="U117" s="2" t="inlineStr">
        <is>
          <t>Kryddspindling</t>
        </is>
      </c>
      <c r="V117">
        <f>HYPERLINK("https://klasma.github.io/Logging_0360/artfynd/A 8772-2023 artfynd.xlsx", "A 8772-2023")</f>
        <v/>
      </c>
      <c r="W117">
        <f>HYPERLINK("https://klasma.github.io/Logging_0360/kartor/A 8772-2023 karta.png", "A 8772-2023")</f>
        <v/>
      </c>
      <c r="Y117">
        <f>HYPERLINK("https://klasma.github.io/Logging_0360/klagomål/A 8772-2023 FSC-klagomål.docx", "A 8772-2023")</f>
        <v/>
      </c>
      <c r="Z117">
        <f>HYPERLINK("https://klasma.github.io/Logging_0360/klagomålsmail/A 8772-2023 FSC-klagomål mail.docx", "A 8772-2023")</f>
        <v/>
      </c>
      <c r="AA117">
        <f>HYPERLINK("https://klasma.github.io/Logging_0360/tillsyn/A 8772-2023 tillsynsbegäran.docx", "A 8772-2023")</f>
        <v/>
      </c>
      <c r="AB117">
        <f>HYPERLINK("https://klasma.github.io/Logging_0360/tillsynsmail/A 8772-2023 tillsynsbegäran mail.docx", "A 8772-2023")</f>
        <v/>
      </c>
    </row>
    <row r="118" ht="15" customHeight="1">
      <c r="A118" t="inlineStr">
        <is>
          <t>A 10844-2025</t>
        </is>
      </c>
      <c r="B118" t="inlineStr">
        <is>
          <t>avverkningsanmälan</t>
        </is>
      </c>
      <c r="C118" t="inlineStr">
        <is>
          <t>Föryngringsavverkning</t>
        </is>
      </c>
      <c r="D118" s="1" t="n">
        <v>45722</v>
      </c>
      <c r="E118" s="1" t="n">
        <v>46220</v>
      </c>
      <c r="F118" t="inlineStr">
        <is>
          <t>UPPSALA LÄN</t>
        </is>
      </c>
      <c r="G118" t="inlineStr">
        <is>
          <t>TIERP</t>
        </is>
      </c>
      <c r="H118" t="inlineStr">
        <is>
          <t>Bergvik skog öst AB</t>
        </is>
      </c>
      <c r="I118" t="n">
        <v>4.3</v>
      </c>
      <c r="J118" t="n">
        <v>1</v>
      </c>
      <c r="K118" t="n">
        <v>0</v>
      </c>
      <c r="L118" t="n">
        <v>0</v>
      </c>
      <c r="M118" t="n">
        <v>0</v>
      </c>
      <c r="N118" t="n">
        <v>0</v>
      </c>
      <c r="O118" t="n">
        <v>0</v>
      </c>
      <c r="P118" t="n">
        <v>0</v>
      </c>
      <c r="Q118" t="n">
        <v>0</v>
      </c>
      <c r="R118" t="n">
        <v>0</v>
      </c>
      <c r="S118" t="n">
        <v>1</v>
      </c>
      <c r="T118" t="n">
        <v>3</v>
      </c>
      <c r="U118" s="2" t="inlineStr">
        <is>
          <t>Blåsippa</t>
        </is>
      </c>
      <c r="V118">
        <f>HYPERLINK("https://klasma.github.io/Logging_0360/artfynd/A 10844-2025 artfynd.xlsx", "A 10844-2025")</f>
        <v/>
      </c>
      <c r="W118">
        <f>HYPERLINK("https://klasma.github.io/Logging_0360/kartor/A 10844-2025 karta.png", "A 10844-2025")</f>
        <v/>
      </c>
      <c r="Y118">
        <f>HYPERLINK("https://klasma.github.io/Logging_0360/klagomål/A 10844-2025 FSC-klagomål.docx", "A 10844-2025")</f>
        <v/>
      </c>
      <c r="Z118">
        <f>HYPERLINK("https://klasma.github.io/Logging_0360/klagomålsmail/A 10844-2025 FSC-klagomål mail.docx", "A 10844-2025")</f>
        <v/>
      </c>
      <c r="AA118">
        <f>HYPERLINK("https://klasma.github.io/Logging_0360/tillsyn/A 10844-2025 tillsynsbegäran.docx", "A 10844-2025")</f>
        <v/>
      </c>
      <c r="AB118">
        <f>HYPERLINK("https://klasma.github.io/Logging_0360/tillsynsmail/A 10844-2025 tillsynsbegäran mail.docx", "A 10844-2025")</f>
        <v/>
      </c>
    </row>
    <row r="119" ht="15" customHeight="1">
      <c r="A119" t="inlineStr">
        <is>
          <t>A 21566-2026</t>
        </is>
      </c>
      <c r="B119" t="inlineStr">
        <is>
          <t>avverkningsanmälan</t>
        </is>
      </c>
      <c r="C119" t="inlineStr">
        <is>
          <t>Föryngringsavverkning</t>
        </is>
      </c>
      <c r="D119" s="1" t="n">
        <v>46148</v>
      </c>
      <c r="E119" s="1" t="n">
        <v>46220</v>
      </c>
      <c r="F119" t="inlineStr">
        <is>
          <t>UPPSALA LÄN</t>
        </is>
      </c>
      <c r="G119" t="inlineStr">
        <is>
          <t>TIERP</t>
        </is>
      </c>
      <c r="H119" t="inlineStr">
        <is>
          <t>Bergvik skog väst AB</t>
        </is>
      </c>
      <c r="I119" t="n">
        <v>13.7</v>
      </c>
      <c r="J119" t="n">
        <v>0</v>
      </c>
      <c r="K119" t="n">
        <v>0</v>
      </c>
      <c r="L119" t="n">
        <v>1</v>
      </c>
      <c r="M119" t="n">
        <v>0</v>
      </c>
      <c r="N119" t="n">
        <v>0</v>
      </c>
      <c r="O119" t="n">
        <v>0</v>
      </c>
      <c r="P119" t="n">
        <v>0</v>
      </c>
      <c r="Q119" t="n">
        <v>1</v>
      </c>
      <c r="R119" t="n">
        <v>0</v>
      </c>
      <c r="S119" t="n">
        <v>1</v>
      </c>
      <c r="T119" t="n">
        <v>1</v>
      </c>
      <c r="U119" s="2" t="inlineStr">
        <is>
          <t>Klasefibbla</t>
        </is>
      </c>
      <c r="V119">
        <f>HYPERLINK("https://klasma.github.io/Logging_0360/artfynd/A 21566-2026 artfynd.xlsx", "A 21566-2026")</f>
        <v/>
      </c>
      <c r="W119">
        <f>HYPERLINK("https://klasma.github.io/Logging_0360/kartor/A 21566-2026 karta.png", "A 21566-2026")</f>
        <v/>
      </c>
      <c r="Y119">
        <f>HYPERLINK("https://klasma.github.io/Logging_0360/klagomål/A 21566-2026 FSC-klagomål.docx", "A 21566-2026")</f>
        <v/>
      </c>
      <c r="Z119">
        <f>HYPERLINK("https://klasma.github.io/Logging_0360/klagomålsmail/A 21566-2026 FSC-klagomål mail.docx", "A 21566-2026")</f>
        <v/>
      </c>
      <c r="AA119">
        <f>HYPERLINK("https://klasma.github.io/Logging_0360/tillsyn/A 21566-2026 tillsynsbegäran.docx", "A 21566-2026")</f>
        <v/>
      </c>
      <c r="AB119">
        <f>HYPERLINK("https://klasma.github.io/Logging_0360/tillsynsmail/A 21566-2026 tillsynsbegäran mail.docx", "A 21566-2026")</f>
        <v/>
      </c>
    </row>
    <row r="120" ht="15" customHeight="1">
      <c r="A120" t="inlineStr">
        <is>
          <t>A 23128-2026</t>
        </is>
      </c>
      <c r="B120" t="inlineStr">
        <is>
          <t>avverkningsanmälan</t>
        </is>
      </c>
      <c r="C120" t="inlineStr">
        <is>
          <t>Föryngringsavverkning</t>
        </is>
      </c>
      <c r="D120" s="1" t="n">
        <v>46161</v>
      </c>
      <c r="E120" s="1" t="n">
        <v>46220</v>
      </c>
      <c r="F120" t="inlineStr">
        <is>
          <t>UPPSALA LÄN</t>
        </is>
      </c>
      <c r="G120" t="inlineStr">
        <is>
          <t>TIERP</t>
        </is>
      </c>
      <c r="H120" t="inlineStr">
        <is>
          <t>Bergvik skog öst AB</t>
        </is>
      </c>
      <c r="I120" t="n">
        <v>2.7</v>
      </c>
      <c r="J120" t="n">
        <v>1</v>
      </c>
      <c r="K120" t="n">
        <v>1</v>
      </c>
      <c r="L120" t="n">
        <v>0</v>
      </c>
      <c r="M120" t="n">
        <v>0</v>
      </c>
      <c r="N120" t="n">
        <v>0</v>
      </c>
      <c r="O120" t="n">
        <v>0</v>
      </c>
      <c r="P120" t="n">
        <v>0</v>
      </c>
      <c r="Q120" t="n">
        <v>0</v>
      </c>
      <c r="R120" t="n">
        <v>0</v>
      </c>
      <c r="S120" t="n">
        <v>1</v>
      </c>
      <c r="T120" t="n">
        <v>1</v>
      </c>
      <c r="U120" s="2" t="inlineStr">
        <is>
          <t>Nästrot</t>
        </is>
      </c>
      <c r="V120">
        <f>HYPERLINK("https://klasma.github.io/Logging_0360/artfynd/A 23128-2026 artfynd.xlsx", "A 23128-2026")</f>
        <v/>
      </c>
      <c r="W120">
        <f>HYPERLINK("https://klasma.github.io/Logging_0360/kartor/A 23128-2026 karta.png", "A 23128-2026")</f>
        <v/>
      </c>
      <c r="Y120">
        <f>HYPERLINK("https://klasma.github.io/Logging_0360/klagomål/A 23128-2026 FSC-klagomål.docx", "A 23128-2026")</f>
        <v/>
      </c>
      <c r="Z120">
        <f>HYPERLINK("https://klasma.github.io/Logging_0360/klagomålsmail/A 23128-2026 FSC-klagomål mail.docx", "A 23128-2026")</f>
        <v/>
      </c>
      <c r="AA120">
        <f>HYPERLINK("https://klasma.github.io/Logging_0360/tillsyn/A 23128-2026 tillsynsbegäran.docx", "A 23128-2026")</f>
        <v/>
      </c>
      <c r="AB120">
        <f>HYPERLINK("https://klasma.github.io/Logging_0360/tillsynsmail/A 23128-2026 tillsynsbegäran mail.docx", "A 23128-2026")</f>
        <v/>
      </c>
    </row>
    <row r="121" ht="15" customHeight="1">
      <c r="A121" t="inlineStr">
        <is>
          <t>A 14527-2025</t>
        </is>
      </c>
      <c r="B121" t="inlineStr">
        <is>
          <t>avverkningsanmälan</t>
        </is>
      </c>
      <c r="C121" t="inlineStr">
        <is>
          <t>Föryngringsavverkning</t>
        </is>
      </c>
      <c r="D121" s="1" t="n">
        <v>45741</v>
      </c>
      <c r="E121" s="1" t="n">
        <v>46220</v>
      </c>
      <c r="F121" t="inlineStr">
        <is>
          <t>UPPSALA LÄN</t>
        </is>
      </c>
      <c r="G121" t="inlineStr">
        <is>
          <t>TIERP</t>
        </is>
      </c>
      <c r="H121" t="inlineStr">
        <is>
          <t>Bergvik skog väst AB</t>
        </is>
      </c>
      <c r="I121" t="n">
        <v>0.5</v>
      </c>
      <c r="J121" t="n">
        <v>0</v>
      </c>
      <c r="K121" t="n">
        <v>0</v>
      </c>
      <c r="L121" t="n">
        <v>0</v>
      </c>
      <c r="M121" t="n">
        <v>0</v>
      </c>
      <c r="N121" t="n">
        <v>1</v>
      </c>
      <c r="O121" t="n">
        <v>0</v>
      </c>
      <c r="P121" t="n">
        <v>0</v>
      </c>
      <c r="Q121" t="n">
        <v>1</v>
      </c>
      <c r="R121" t="n">
        <v>1</v>
      </c>
      <c r="S121" t="n">
        <v>1</v>
      </c>
      <c r="T121" t="n">
        <v>1</v>
      </c>
      <c r="U121" s="2" t="inlineStr">
        <is>
          <t>Ask</t>
        </is>
      </c>
      <c r="V121">
        <f>HYPERLINK("https://klasma.github.io/Logging_0360/artfynd/A 14527-2025 artfynd.xlsx", "A 14527-2025")</f>
        <v/>
      </c>
      <c r="W121">
        <f>HYPERLINK("https://klasma.github.io/Logging_0360/kartor/A 14527-2025 karta.png", "A 14527-2025")</f>
        <v/>
      </c>
      <c r="Y121">
        <f>HYPERLINK("https://klasma.github.io/Logging_0360/klagomål/A 14527-2025 FSC-klagomål.docx", "A 14527-2025")</f>
        <v/>
      </c>
      <c r="Z121">
        <f>HYPERLINK("https://klasma.github.io/Logging_0360/klagomålsmail/A 14527-2025 FSC-klagomål mail.docx", "A 14527-2025")</f>
        <v/>
      </c>
      <c r="AA121">
        <f>HYPERLINK("https://klasma.github.io/Logging_0360/tillsyn/A 14527-2025 tillsynsbegäran.docx", "A 14527-2025")</f>
        <v/>
      </c>
      <c r="AB121">
        <f>HYPERLINK("https://klasma.github.io/Logging_0360/tillsynsmail/A 14527-2025 tillsynsbegäran mail.docx", "A 14527-2025")</f>
        <v/>
      </c>
    </row>
    <row r="122" ht="15" customHeight="1">
      <c r="A122" t="inlineStr">
        <is>
          <t>A 30213-2026</t>
        </is>
      </c>
      <c r="B122" t="inlineStr">
        <is>
          <t>avverkningsanmälan</t>
        </is>
      </c>
      <c r="C122" t="inlineStr">
        <is>
          <t>Föryngringsavverkning</t>
        </is>
      </c>
      <c r="D122" s="1" t="n">
        <v>46206</v>
      </c>
      <c r="E122" s="1" t="n">
        <v>46220</v>
      </c>
      <c r="F122" t="inlineStr">
        <is>
          <t>UPPSALA LÄN</t>
        </is>
      </c>
      <c r="G122" t="inlineStr">
        <is>
          <t>TIERP</t>
        </is>
      </c>
      <c r="H122" t="inlineStr">
        <is>
          <t>Bergvik skog öst AB</t>
        </is>
      </c>
      <c r="I122" t="n">
        <v>5.8</v>
      </c>
      <c r="J122" t="n">
        <v>1</v>
      </c>
      <c r="K122" t="n">
        <v>0</v>
      </c>
      <c r="L122" t="n">
        <v>0</v>
      </c>
      <c r="M122" t="n">
        <v>0</v>
      </c>
      <c r="N122" t="n">
        <v>0</v>
      </c>
      <c r="O122" t="n">
        <v>0</v>
      </c>
      <c r="P122" t="n">
        <v>0</v>
      </c>
      <c r="Q122" t="n">
        <v>0</v>
      </c>
      <c r="R122" t="n">
        <v>0</v>
      </c>
      <c r="S122" t="n">
        <v>1</v>
      </c>
      <c r="T122" t="n">
        <v>2</v>
      </c>
      <c r="U122" s="2" t="inlineStr">
        <is>
          <t>Tjäder</t>
        </is>
      </c>
      <c r="V122">
        <f>HYPERLINK("https://klasma.github.io/Logging_0360/artfynd/A 30213-2026 artfynd.xlsx", "A 30213-2026")</f>
        <v/>
      </c>
      <c r="W122">
        <f>HYPERLINK("https://klasma.github.io/Logging_0360/kartor/A 30213-2026 karta.png", "A 30213-2026")</f>
        <v/>
      </c>
      <c r="Y122">
        <f>HYPERLINK("https://klasma.github.io/Logging_0360/klagomål/A 30213-2026 FSC-klagomål.docx", "A 30213-2026")</f>
        <v/>
      </c>
      <c r="Z122">
        <f>HYPERLINK("https://klasma.github.io/Logging_0360/klagomålsmail/A 30213-2026 FSC-klagomål mail.docx", "A 30213-2026")</f>
        <v/>
      </c>
      <c r="AA122">
        <f>HYPERLINK("https://klasma.github.io/Logging_0360/tillsyn/A 30213-2026 tillsynsbegäran.docx", "A 30213-2026")</f>
        <v/>
      </c>
      <c r="AB122">
        <f>HYPERLINK("https://klasma.github.io/Logging_0360/tillsynsmail/A 30213-2026 tillsynsbegäran mail.docx", "A 30213-2026")</f>
        <v/>
      </c>
      <c r="AC122">
        <f>HYPERLINK("https://klasma.github.io/Logging_0360/fåglar/A 30213-2026 prioriterade fågelarter.docx", "A 30213-2026")</f>
        <v/>
      </c>
    </row>
    <row r="123" ht="15" customHeight="1">
      <c r="A123" t="inlineStr">
        <is>
          <t>A 2298-2024</t>
        </is>
      </c>
      <c r="B123" t="inlineStr">
        <is>
          <t>avverkningsanmälan</t>
        </is>
      </c>
      <c r="C123" t="inlineStr">
        <is>
          <t>Föryngringsavverkning</t>
        </is>
      </c>
      <c r="D123" s="1" t="n">
        <v>45310</v>
      </c>
      <c r="E123" s="1" t="n">
        <v>46220</v>
      </c>
      <c r="F123" t="inlineStr">
        <is>
          <t>UPPSALA LÄN</t>
        </is>
      </c>
      <c r="G123" t="inlineStr">
        <is>
          <t>TIERP</t>
        </is>
      </c>
      <c r="I123" t="n">
        <v>0.7</v>
      </c>
      <c r="J123" t="n">
        <v>0</v>
      </c>
      <c r="K123" t="n">
        <v>0</v>
      </c>
      <c r="L123" t="n">
        <v>1</v>
      </c>
      <c r="M123" t="n">
        <v>0</v>
      </c>
      <c r="N123" t="n">
        <v>0</v>
      </c>
      <c r="O123" t="n">
        <v>0</v>
      </c>
      <c r="P123" t="n">
        <v>0</v>
      </c>
      <c r="Q123" t="n">
        <v>1</v>
      </c>
      <c r="R123" t="n">
        <v>0</v>
      </c>
      <c r="S123" t="n">
        <v>1</v>
      </c>
      <c r="T123" t="n">
        <v>1</v>
      </c>
      <c r="U123" s="2" t="inlineStr">
        <is>
          <t>Fyrflikig jordstjärna</t>
        </is>
      </c>
      <c r="V123">
        <f>HYPERLINK("https://klasma.github.io/Logging_0360/artfynd/A 2298-2024 artfynd.xlsx", "A 2298-2024")</f>
        <v/>
      </c>
      <c r="W123">
        <f>HYPERLINK("https://klasma.github.io/Logging_0360/kartor/A 2298-2024 karta.png", "A 2298-2024")</f>
        <v/>
      </c>
      <c r="Y123">
        <f>HYPERLINK("https://klasma.github.io/Logging_0360/klagomål/A 2298-2024 FSC-klagomål.docx", "A 2298-2024")</f>
        <v/>
      </c>
      <c r="Z123">
        <f>HYPERLINK("https://klasma.github.io/Logging_0360/klagomålsmail/A 2298-2024 FSC-klagomål mail.docx", "A 2298-2024")</f>
        <v/>
      </c>
      <c r="AA123">
        <f>HYPERLINK("https://klasma.github.io/Logging_0360/tillsyn/A 2298-2024 tillsynsbegäran.docx", "A 2298-2024")</f>
        <v/>
      </c>
      <c r="AB123">
        <f>HYPERLINK("https://klasma.github.io/Logging_0360/tillsynsmail/A 2298-2024 tillsynsbegäran mail.docx", "A 2298-2024")</f>
        <v/>
      </c>
    </row>
    <row r="124" ht="15" customHeight="1">
      <c r="A124" t="inlineStr">
        <is>
          <t>A 30891-2026</t>
        </is>
      </c>
      <c r="B124" t="inlineStr">
        <is>
          <t>avverkningsanmälan</t>
        </is>
      </c>
      <c r="C124" t="inlineStr">
        <is>
          <t>Föryngringsavverkning</t>
        </is>
      </c>
      <c r="D124" s="1" t="n">
        <v>46213</v>
      </c>
      <c r="E124" s="1" t="n">
        <v>46220</v>
      </c>
      <c r="F124" t="inlineStr">
        <is>
          <t>UPPSALA LÄN</t>
        </is>
      </c>
      <c r="G124" t="inlineStr">
        <is>
          <t>TIERP</t>
        </is>
      </c>
      <c r="H124" t="inlineStr">
        <is>
          <t>Bergvik skog väst AB</t>
        </is>
      </c>
      <c r="I124" t="n">
        <v>13.5</v>
      </c>
      <c r="J124" t="n">
        <v>0</v>
      </c>
      <c r="K124" t="n">
        <v>1</v>
      </c>
      <c r="L124" t="n">
        <v>0</v>
      </c>
      <c r="M124" t="n">
        <v>0</v>
      </c>
      <c r="N124" t="n">
        <v>0</v>
      </c>
      <c r="O124" t="n">
        <v>0</v>
      </c>
      <c r="P124" t="n">
        <v>0</v>
      </c>
      <c r="Q124" t="n">
        <v>0</v>
      </c>
      <c r="R124" t="n">
        <v>0</v>
      </c>
      <c r="S124" t="n">
        <v>1</v>
      </c>
      <c r="T124" t="n">
        <v>1</v>
      </c>
      <c r="U124" s="2" t="inlineStr">
        <is>
          <t>Rödgul trumpetsvamp</t>
        </is>
      </c>
      <c r="V124">
        <f>HYPERLINK("https://klasma.github.io/Logging_0360/artfynd/A 30891-2026 artfynd.xlsx", "A 30891-2026")</f>
        <v/>
      </c>
      <c r="W124">
        <f>HYPERLINK("https://klasma.github.io/Logging_0360/kartor/A 30891-2026 karta.png", "A 30891-2026")</f>
        <v/>
      </c>
      <c r="X124">
        <f>HYPERLINK("https://klasma.github.io/Logging_0360/knärot/A 30891-2026 karta knärot.png", "A 30891-2026")</f>
        <v/>
      </c>
      <c r="Y124">
        <f>HYPERLINK("https://klasma.github.io/Logging_0360/klagomål/A 30891-2026 FSC-klagomål.docx", "A 30891-2026")</f>
        <v/>
      </c>
      <c r="Z124">
        <f>HYPERLINK("https://klasma.github.io/Logging_0360/klagomålsmail/A 30891-2026 FSC-klagomål mail.docx", "A 30891-2026")</f>
        <v/>
      </c>
      <c r="AA124">
        <f>HYPERLINK("https://klasma.github.io/Logging_0360/tillsyn/A 30891-2026 tillsynsbegäran.docx", "A 30891-2026")</f>
        <v/>
      </c>
      <c r="AB124">
        <f>HYPERLINK("https://klasma.github.io/Logging_0360/tillsynsmail/A 30891-2026 tillsynsbegäran mail.docx", "A 30891-2026")</f>
        <v/>
      </c>
    </row>
    <row r="125" ht="15" customHeight="1">
      <c r="A125" t="inlineStr">
        <is>
          <t>A 24611-2026</t>
        </is>
      </c>
      <c r="B125" t="inlineStr">
        <is>
          <t>avverkningsanmälan</t>
        </is>
      </c>
      <c r="C125" t="inlineStr">
        <is>
          <t>Föryngringsavverkning</t>
        </is>
      </c>
      <c r="D125" s="1" t="n">
        <v>46171</v>
      </c>
      <c r="E125" s="1" t="n">
        <v>46220</v>
      </c>
      <c r="F125" t="inlineStr">
        <is>
          <t>UPPSALA LÄN</t>
        </is>
      </c>
      <c r="G125" t="inlineStr">
        <is>
          <t>TIERP</t>
        </is>
      </c>
      <c r="H125" t="inlineStr">
        <is>
          <t>Bergvik skog väst AB</t>
        </is>
      </c>
      <c r="I125" t="n">
        <v>2.9</v>
      </c>
      <c r="J125" t="n">
        <v>0</v>
      </c>
      <c r="K125" t="n">
        <v>0</v>
      </c>
      <c r="L125" t="n">
        <v>1</v>
      </c>
      <c r="M125" t="n">
        <v>0</v>
      </c>
      <c r="N125" t="n">
        <v>0</v>
      </c>
      <c r="O125" t="n">
        <v>0</v>
      </c>
      <c r="P125" t="n">
        <v>0</v>
      </c>
      <c r="Q125" t="n">
        <v>1</v>
      </c>
      <c r="R125" t="n">
        <v>0</v>
      </c>
      <c r="S125" t="n">
        <v>1</v>
      </c>
      <c r="T125" t="n">
        <v>1</v>
      </c>
      <c r="U125" s="2" t="inlineStr">
        <is>
          <t>Skogsklocka</t>
        </is>
      </c>
      <c r="V125">
        <f>HYPERLINK("https://klasma.github.io/Logging_0360/artfynd/A 24611-2026 artfynd.xlsx", "A 24611-2026")</f>
        <v/>
      </c>
      <c r="W125">
        <f>HYPERLINK("https://klasma.github.io/Logging_0360/kartor/A 24611-2026 karta.png", "A 24611-2026")</f>
        <v/>
      </c>
      <c r="Y125">
        <f>HYPERLINK("https://klasma.github.io/Logging_0360/klagomål/A 24611-2026 FSC-klagomål.docx", "A 24611-2026")</f>
        <v/>
      </c>
      <c r="Z125">
        <f>HYPERLINK("https://klasma.github.io/Logging_0360/klagomålsmail/A 24611-2026 FSC-klagomål mail.docx", "A 24611-2026")</f>
        <v/>
      </c>
      <c r="AA125">
        <f>HYPERLINK("https://klasma.github.io/Logging_0360/tillsyn/A 24611-2026 tillsynsbegäran.docx", "A 24611-2026")</f>
        <v/>
      </c>
      <c r="AB125">
        <f>HYPERLINK("https://klasma.github.io/Logging_0360/tillsynsmail/A 24611-2026 tillsynsbegäran mail.docx", "A 24611-2026")</f>
        <v/>
      </c>
    </row>
    <row r="126" ht="15" customHeight="1">
      <c r="A126" t="inlineStr">
        <is>
          <t>A 21889-2025</t>
        </is>
      </c>
      <c r="B126" t="inlineStr">
        <is>
          <t>avverkningsanmälan</t>
        </is>
      </c>
      <c r="C126" t="inlineStr">
        <is>
          <t>Föryngringsavverkning</t>
        </is>
      </c>
      <c r="D126" s="1" t="n">
        <v>45784</v>
      </c>
      <c r="E126" s="1" t="n">
        <v>46220</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s="2" t="inlineStr">
        <is>
          <t>Igelkott</t>
        </is>
      </c>
      <c r="V126">
        <f>HYPERLINK("https://klasma.github.io/Logging_0360/artfynd/A 21889-2025 artfynd.xlsx", "A 21889-2025")</f>
        <v/>
      </c>
      <c r="W126">
        <f>HYPERLINK("https://klasma.github.io/Logging_0360/kartor/A 21889-2025 karta.png", "A 21889-2025")</f>
        <v/>
      </c>
      <c r="Y126">
        <f>HYPERLINK("https://klasma.github.io/Logging_0360/klagomål/A 21889-2025 FSC-klagomål.docx", "A 21889-2025")</f>
        <v/>
      </c>
      <c r="Z126">
        <f>HYPERLINK("https://klasma.github.io/Logging_0360/klagomålsmail/A 21889-2025 FSC-klagomål mail.docx", "A 21889-2025")</f>
        <v/>
      </c>
      <c r="AA126">
        <f>HYPERLINK("https://klasma.github.io/Logging_0360/tillsyn/A 21889-2025 tillsynsbegäran.docx", "A 21889-2025")</f>
        <v/>
      </c>
      <c r="AB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46220</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s="2" t="inlineStr">
        <is>
          <t>Ask</t>
        </is>
      </c>
      <c r="V127">
        <f>HYPERLINK("https://klasma.github.io/Logging_0360/artfynd/A 22601-2025 artfynd.xlsx", "A 22601-2025")</f>
        <v/>
      </c>
      <c r="W127">
        <f>HYPERLINK("https://klasma.github.io/Logging_0360/kartor/A 22601-2025 karta.png", "A 22601-2025")</f>
        <v/>
      </c>
      <c r="Y127">
        <f>HYPERLINK("https://klasma.github.io/Logging_0360/klagomål/A 22601-2025 FSC-klagomål.docx", "A 22601-2025")</f>
        <v/>
      </c>
      <c r="Z127">
        <f>HYPERLINK("https://klasma.github.io/Logging_0360/klagomålsmail/A 22601-2025 FSC-klagomål mail.docx", "A 22601-2025")</f>
        <v/>
      </c>
      <c r="AA127">
        <f>HYPERLINK("https://klasma.github.io/Logging_0360/tillsyn/A 22601-2025 tillsynsbegäran.docx", "A 22601-2025")</f>
        <v/>
      </c>
      <c r="AB127">
        <f>HYPERLINK("https://klasma.github.io/Logging_0360/tillsynsmail/A 22601-2025 tillsynsbegäran mail.docx", "A 22601-2025")</f>
        <v/>
      </c>
    </row>
    <row r="128" ht="15" customHeight="1">
      <c r="A128" t="inlineStr">
        <is>
          <t>S 4505-2023</t>
        </is>
      </c>
      <c r="B128" t="inlineStr">
        <is>
          <t>samrådsanmälan</t>
        </is>
      </c>
      <c r="C128" t="inlineStr">
        <is>
          <t>Skogsgödsling</t>
        </is>
      </c>
      <c r="D128" s="1" t="n">
        <v>45274</v>
      </c>
      <c r="E128" s="1" t="n">
        <v>46220</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4505-2023 artfynd.xlsx", "S 4505-2023")</f>
        <v/>
      </c>
      <c r="W128">
        <f>HYPERLINK("https://klasma.github.io/Logging_0360/kartor/S 4505-2023 karta.png", "S 4505-2023")</f>
        <v/>
      </c>
      <c r="Y128">
        <f>HYPERLINK("https://klasma.github.io/Logging_0360/klagomål/S 4505-2023 FSC-klagomål.docx", "S 4505-2023")</f>
        <v/>
      </c>
      <c r="Z128">
        <f>HYPERLINK("https://klasma.github.io/Logging_0360/klagomålsmail/S 4505-2023 FSC-klagomål mail.docx", "S 4505-2023")</f>
        <v/>
      </c>
      <c r="AA128">
        <f>HYPERLINK("https://klasma.github.io/Logging_0360/tillsyn/S 4505-2023 tillsynsbegäran.docx", "S 4505-2023")</f>
        <v/>
      </c>
      <c r="AB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46220</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490-2022 artfynd.xlsx", "S 490-2022")</f>
        <v/>
      </c>
      <c r="W129">
        <f>HYPERLINK("https://klasma.github.io/Logging_0360/kartor/S 490-2022 karta.png", "S 490-2022")</f>
        <v/>
      </c>
      <c r="Y129">
        <f>HYPERLINK("https://klasma.github.io/Logging_0360/klagomål/S 490-2022 FSC-klagomål.docx", "S 490-2022")</f>
        <v/>
      </c>
      <c r="Z129">
        <f>HYPERLINK("https://klasma.github.io/Logging_0360/klagomålsmail/S 490-2022 FSC-klagomål mail.docx", "S 490-2022")</f>
        <v/>
      </c>
      <c r="AA129">
        <f>HYPERLINK("https://klasma.github.io/Logging_0360/tillsyn/S 490-2022 tillsynsbegäran.docx", "S 490-2022")</f>
        <v/>
      </c>
      <c r="AB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46220</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46220</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46220</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46220</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46220</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46220</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22810-2022</t>
        </is>
      </c>
      <c r="B136" t="inlineStr">
        <is>
          <t>avverkningsanmälan</t>
        </is>
      </c>
      <c r="C136" t="inlineStr">
        <is>
          <t>Föryngringsavverkning</t>
        </is>
      </c>
      <c r="D136" s="1" t="n">
        <v>44715</v>
      </c>
      <c r="E136" s="1" t="n">
        <v>46220</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65255-2021</t>
        </is>
      </c>
      <c r="B137" t="inlineStr">
        <is>
          <t>avverkningsanmälan</t>
        </is>
      </c>
      <c r="C137" t="inlineStr">
        <is>
          <t>Föryngringsavverkning</t>
        </is>
      </c>
      <c r="D137" s="1" t="n">
        <v>44515</v>
      </c>
      <c r="E137" s="1" t="n">
        <v>46220</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46220</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46220</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46220</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46220</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46220</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46220</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46220</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46220</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46220</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46220</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10783-2022</t>
        </is>
      </c>
      <c r="B148" t="inlineStr">
        <is>
          <t>avverkningsanmälan</t>
        </is>
      </c>
      <c r="C148" t="inlineStr">
        <is>
          <t>Föryngringsavverkning</t>
        </is>
      </c>
      <c r="D148" s="1" t="n">
        <v>44627</v>
      </c>
      <c r="E148" s="1" t="n">
        <v>46220</v>
      </c>
      <c r="F148" t="inlineStr">
        <is>
          <t>UPPSALA LÄN</t>
        </is>
      </c>
      <c r="G148" t="inlineStr">
        <is>
          <t>TIERP</t>
        </is>
      </c>
      <c r="I148" t="n">
        <v>0.2</v>
      </c>
      <c r="J148" t="n">
        <v>0</v>
      </c>
      <c r="K148" t="n">
        <v>0</v>
      </c>
      <c r="L148" t="n">
        <v>0</v>
      </c>
      <c r="M148" t="n">
        <v>0</v>
      </c>
      <c r="N148" t="n">
        <v>0</v>
      </c>
      <c r="O148" t="n">
        <v>0</v>
      </c>
      <c r="P148" t="n">
        <v>0</v>
      </c>
      <c r="Q148" t="n">
        <v>0</v>
      </c>
      <c r="R148" t="n">
        <v>0</v>
      </c>
      <c r="S148" t="n">
        <v>0</v>
      </c>
      <c r="T148" t="n">
        <v>0</v>
      </c>
      <c r="U148" s="2" t="inlineStr"/>
    </row>
    <row r="149" ht="15" customHeight="1">
      <c r="A149" t="inlineStr">
        <is>
          <t>A 2795-2022</t>
        </is>
      </c>
      <c r="B149" t="inlineStr">
        <is>
          <t>avverkningsanmälan</t>
        </is>
      </c>
      <c r="C149" t="inlineStr">
        <is>
          <t>Föryngringsavverkning</t>
        </is>
      </c>
      <c r="D149" s="1" t="n">
        <v>44581</v>
      </c>
      <c r="E149" s="1" t="n">
        <v>46220</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46220</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46220</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46220</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46220</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46220</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46220</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46220</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46220</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46220</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46220</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46220</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46220</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46220</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46220</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46220</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46220</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46220</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46220</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46220</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46220</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27533-2022</t>
        </is>
      </c>
      <c r="B170" t="inlineStr">
        <is>
          <t>avverkningsanmälan</t>
        </is>
      </c>
      <c r="C170" t="inlineStr">
        <is>
          <t>Föryngringsavverkning</t>
        </is>
      </c>
      <c r="D170" s="1" t="n">
        <v>44742</v>
      </c>
      <c r="E170" s="1" t="n">
        <v>46220</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48455-2021</t>
        </is>
      </c>
      <c r="B171" t="inlineStr">
        <is>
          <t>avverkningsanmälan</t>
        </is>
      </c>
      <c r="C171" t="inlineStr">
        <is>
          <t>Föryngringsavverkning</t>
        </is>
      </c>
      <c r="D171" s="1" t="n">
        <v>44452</v>
      </c>
      <c r="E171" s="1" t="n">
        <v>46220</v>
      </c>
      <c r="F171" t="inlineStr">
        <is>
          <t>UPPSALA LÄN</t>
        </is>
      </c>
      <c r="G171" t="inlineStr">
        <is>
          <t>TIERP</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46220</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46220</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46220</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59378-2021</t>
        </is>
      </c>
      <c r="B175" t="inlineStr">
        <is>
          <t>avverkningsanmälan</t>
        </is>
      </c>
      <c r="C175" t="inlineStr">
        <is>
          <t>Föryngringsavverkning</t>
        </is>
      </c>
      <c r="D175" s="1" t="n">
        <v>44491</v>
      </c>
      <c r="E175" s="1" t="n">
        <v>46220</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53766-2021</t>
        </is>
      </c>
      <c r="B176" t="inlineStr">
        <is>
          <t>avverkningsanmälan</t>
        </is>
      </c>
      <c r="C176" t="inlineStr">
        <is>
          <t>Föryngringsavverkning</t>
        </is>
      </c>
      <c r="D176" s="1" t="n">
        <v>44469</v>
      </c>
      <c r="E176" s="1" t="n">
        <v>46220</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46220</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46220</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16556-2022</t>
        </is>
      </c>
      <c r="B179" t="inlineStr">
        <is>
          <t>avverkningsanmälan</t>
        </is>
      </c>
      <c r="C179" t="inlineStr">
        <is>
          <t>Föryngringsavverkning</t>
        </is>
      </c>
      <c r="D179" s="1" t="n">
        <v>44672</v>
      </c>
      <c r="E179" s="1" t="n">
        <v>46220</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53666-2021</t>
        </is>
      </c>
      <c r="B180" t="inlineStr">
        <is>
          <t>avverkningsanmälan</t>
        </is>
      </c>
      <c r="C180" t="inlineStr">
        <is>
          <t>Föryngringsavverkning</t>
        </is>
      </c>
      <c r="D180" s="1" t="n">
        <v>44469</v>
      </c>
      <c r="E180" s="1" t="n">
        <v>46220</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46220</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46220</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10780-2022</t>
        </is>
      </c>
      <c r="B183" t="inlineStr">
        <is>
          <t>avverkningsanmälan</t>
        </is>
      </c>
      <c r="C183" t="inlineStr">
        <is>
          <t>Föryngringsavverkning</t>
        </is>
      </c>
      <c r="D183" s="1" t="n">
        <v>44627</v>
      </c>
      <c r="E183" s="1" t="n">
        <v>46220</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10785-2022</t>
        </is>
      </c>
      <c r="B184" t="inlineStr">
        <is>
          <t>avverkningsanmälan</t>
        </is>
      </c>
      <c r="C184" t="inlineStr">
        <is>
          <t>Föryngringsavverkning</t>
        </is>
      </c>
      <c r="D184" s="1" t="n">
        <v>44627</v>
      </c>
      <c r="E184" s="1" t="n">
        <v>46220</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28881-2022</t>
        </is>
      </c>
      <c r="B185" t="inlineStr">
        <is>
          <t>avverkningsanmälan</t>
        </is>
      </c>
      <c r="C185" t="inlineStr">
        <is>
          <t>Föryngringsavverkning</t>
        </is>
      </c>
      <c r="D185" s="1" t="n">
        <v>44749</v>
      </c>
      <c r="E185" s="1" t="n">
        <v>46220</v>
      </c>
      <c r="F185" t="inlineStr">
        <is>
          <t>UPPSALA LÄN</t>
        </is>
      </c>
      <c r="G185" t="inlineStr">
        <is>
          <t>TIERP</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39802-2022</t>
        </is>
      </c>
      <c r="B186" t="inlineStr">
        <is>
          <t>avverkningsanmälan</t>
        </is>
      </c>
      <c r="C186" t="inlineStr">
        <is>
          <t>Föryngringsavverkning</t>
        </is>
      </c>
      <c r="D186" s="1" t="n">
        <v>44819</v>
      </c>
      <c r="E186" s="1" t="n">
        <v>46220</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s="2" t="inlineStr"/>
    </row>
    <row r="187" ht="15" customHeight="1">
      <c r="A187" t="inlineStr">
        <is>
          <t>A 2901-2023</t>
        </is>
      </c>
      <c r="B187" t="inlineStr">
        <is>
          <t>avverkningsanmälan</t>
        </is>
      </c>
      <c r="C187" t="inlineStr">
        <is>
          <t>Föryngringsavverkning</t>
        </is>
      </c>
      <c r="D187" s="1" t="n">
        <v>44945</v>
      </c>
      <c r="E187" s="1" t="n">
        <v>46220</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58900-2023</t>
        </is>
      </c>
      <c r="B188" t="inlineStr">
        <is>
          <t>avverkningsanmälan</t>
        </is>
      </c>
      <c r="C188" t="inlineStr">
        <is>
          <t>Avverkning för annat ändamål</t>
        </is>
      </c>
      <c r="D188" s="1" t="n">
        <v>45252</v>
      </c>
      <c r="E188" s="1" t="n">
        <v>46220</v>
      </c>
      <c r="F188" t="inlineStr">
        <is>
          <t>UPPSALA LÄN</t>
        </is>
      </c>
      <c r="G188" t="inlineStr">
        <is>
          <t>TIERP</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58947-2023</t>
        </is>
      </c>
      <c r="B189" t="inlineStr">
        <is>
          <t>avverkningsanmälan</t>
        </is>
      </c>
      <c r="C189" t="inlineStr">
        <is>
          <t>Föryngringsavverkning</t>
        </is>
      </c>
      <c r="D189" s="1" t="n">
        <v>45252</v>
      </c>
      <c r="E189" s="1" t="n">
        <v>46220</v>
      </c>
      <c r="F189" t="inlineStr">
        <is>
          <t>UPPSALA LÄN</t>
        </is>
      </c>
      <c r="G189" t="inlineStr">
        <is>
          <t>TIERP</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6288-2023</t>
        </is>
      </c>
      <c r="B190" t="inlineStr">
        <is>
          <t>avverkningsanmälan</t>
        </is>
      </c>
      <c r="C190" t="inlineStr">
        <is>
          <t>Föryngringsavverkning</t>
        </is>
      </c>
      <c r="D190" s="1" t="n">
        <v>44965</v>
      </c>
      <c r="E190" s="1" t="n">
        <v>46220</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44430-2023</t>
        </is>
      </c>
      <c r="B191" t="inlineStr">
        <is>
          <t>avverkningsanmälan</t>
        </is>
      </c>
      <c r="C191" t="inlineStr">
        <is>
          <t>Föryngringsavverkning</t>
        </is>
      </c>
      <c r="D191" s="1" t="n">
        <v>45189</v>
      </c>
      <c r="E191" s="1" t="n">
        <v>46220</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59350-2021</t>
        </is>
      </c>
      <c r="B192" t="inlineStr">
        <is>
          <t>avverkningsanmälan</t>
        </is>
      </c>
      <c r="C192" t="inlineStr">
        <is>
          <t>Föryngringsavverkning</t>
        </is>
      </c>
      <c r="D192" s="1" t="n">
        <v>44491</v>
      </c>
      <c r="E192" s="1" t="n">
        <v>46220</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45915-2024</t>
        </is>
      </c>
      <c r="B193" t="inlineStr">
        <is>
          <t>avverkningsanmälan</t>
        </is>
      </c>
      <c r="C193" t="inlineStr">
        <is>
          <t>Föryngringsavverkning</t>
        </is>
      </c>
      <c r="D193" s="1" t="n">
        <v>45580</v>
      </c>
      <c r="E193" s="1" t="n">
        <v>46220</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25408-2023</t>
        </is>
      </c>
      <c r="B194" t="inlineStr">
        <is>
          <t>avverkningsanmälan</t>
        </is>
      </c>
      <c r="C194" t="inlineStr">
        <is>
          <t>Föryngringsavverkning</t>
        </is>
      </c>
      <c r="D194" s="1" t="n">
        <v>45080</v>
      </c>
      <c r="E194" s="1" t="n">
        <v>46220</v>
      </c>
      <c r="F194" t="inlineStr">
        <is>
          <t>UPPSALA LÄN</t>
        </is>
      </c>
      <c r="G194" t="inlineStr">
        <is>
          <t>TIERP</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4343-2025</t>
        </is>
      </c>
      <c r="B195" t="inlineStr">
        <is>
          <t>avverkningsanmälan</t>
        </is>
      </c>
      <c r="C195" t="inlineStr">
        <is>
          <t>Föryngringsavverkning</t>
        </is>
      </c>
      <c r="D195" s="1" t="n">
        <v>45685</v>
      </c>
      <c r="E195" s="1" t="n">
        <v>46220</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46275-2022</t>
        </is>
      </c>
      <c r="B196" t="inlineStr">
        <is>
          <t>avverkningsanmälan</t>
        </is>
      </c>
      <c r="C196" t="inlineStr">
        <is>
          <t>Föryngringsavverkning</t>
        </is>
      </c>
      <c r="D196" s="1" t="n">
        <v>44847</v>
      </c>
      <c r="E196" s="1" t="n">
        <v>46220</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48486-2022</t>
        </is>
      </c>
      <c r="B197" t="inlineStr">
        <is>
          <t>avverkningsanmälan</t>
        </is>
      </c>
      <c r="C197" t="inlineStr">
        <is>
          <t>Föryngringsavverkning</t>
        </is>
      </c>
      <c r="D197" s="1" t="n">
        <v>44858</v>
      </c>
      <c r="E197" s="1" t="n">
        <v>46220</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59589-2022</t>
        </is>
      </c>
      <c r="B198" t="inlineStr">
        <is>
          <t>avverkningsanmälan</t>
        </is>
      </c>
      <c r="C198" t="inlineStr">
        <is>
          <t>Föryngringsavverkning</t>
        </is>
      </c>
      <c r="D198" s="1" t="n">
        <v>44907</v>
      </c>
      <c r="E198" s="1" t="n">
        <v>46220</v>
      </c>
      <c r="F198" t="inlineStr">
        <is>
          <t>UPPSALA LÄN</t>
        </is>
      </c>
      <c r="G198" t="inlineStr">
        <is>
          <t>TIERP</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13447-2023</t>
        </is>
      </c>
      <c r="B199" t="inlineStr">
        <is>
          <t>avverkningsanmälan</t>
        </is>
      </c>
      <c r="C199" t="inlineStr">
        <is>
          <t>Föryngringsavverkning</t>
        </is>
      </c>
      <c r="D199" s="1" t="n">
        <v>45005</v>
      </c>
      <c r="E199" s="1" t="n">
        <v>46220</v>
      </c>
      <c r="F199" t="inlineStr">
        <is>
          <t>UPPSALA LÄN</t>
        </is>
      </c>
      <c r="G199" t="inlineStr">
        <is>
          <t>TIERP</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21032-2022</t>
        </is>
      </c>
      <c r="B200" t="inlineStr">
        <is>
          <t>avverkningsanmälan</t>
        </is>
      </c>
      <c r="C200" t="inlineStr">
        <is>
          <t>Föryngringsavverkning</t>
        </is>
      </c>
      <c r="D200" s="1" t="n">
        <v>44704</v>
      </c>
      <c r="E200" s="1" t="n">
        <v>46220</v>
      </c>
      <c r="F200" t="inlineStr">
        <is>
          <t>UPPSALA LÄN</t>
        </is>
      </c>
      <c r="G200" t="inlineStr">
        <is>
          <t>TIERP</t>
        </is>
      </c>
      <c r="H200" t="inlineStr">
        <is>
          <t>Bergvik skog öst AB</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59482-2023</t>
        </is>
      </c>
      <c r="B201" t="inlineStr">
        <is>
          <t>avverkningsanmälan</t>
        </is>
      </c>
      <c r="C201" t="inlineStr">
        <is>
          <t>Föryngringsavverkning</t>
        </is>
      </c>
      <c r="D201" s="1" t="n">
        <v>45253</v>
      </c>
      <c r="E201" s="1" t="n">
        <v>46220</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s="2" t="inlineStr"/>
    </row>
    <row r="202" ht="15" customHeight="1">
      <c r="A202" t="inlineStr">
        <is>
          <t>A 14483-2024</t>
        </is>
      </c>
      <c r="B202" t="inlineStr">
        <is>
          <t>avverkningsanmälan</t>
        </is>
      </c>
      <c r="C202" t="inlineStr">
        <is>
          <t>Föryngringsavverkning</t>
        </is>
      </c>
      <c r="D202" s="1" t="n">
        <v>45394</v>
      </c>
      <c r="E202" s="1" t="n">
        <v>46220</v>
      </c>
      <c r="F202" t="inlineStr">
        <is>
          <t>UPPSALA LÄN</t>
        </is>
      </c>
      <c r="G202" t="inlineStr">
        <is>
          <t>TIERP</t>
        </is>
      </c>
      <c r="H202" t="inlineStr">
        <is>
          <t>Bergvik skog väst AB</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9893-2022</t>
        </is>
      </c>
      <c r="B203" t="inlineStr">
        <is>
          <t>avverkningsanmälan</t>
        </is>
      </c>
      <c r="C203" t="inlineStr">
        <is>
          <t>Föryngringsavverkning</t>
        </is>
      </c>
      <c r="D203" s="1" t="n">
        <v>44620</v>
      </c>
      <c r="E203" s="1" t="n">
        <v>46220</v>
      </c>
      <c r="F203" t="inlineStr">
        <is>
          <t>UPPSALA LÄN</t>
        </is>
      </c>
      <c r="G203" t="inlineStr">
        <is>
          <t>TIERP</t>
        </is>
      </c>
      <c r="I203" t="n">
        <v>3.1</v>
      </c>
      <c r="J203" t="n">
        <v>0</v>
      </c>
      <c r="K203" t="n">
        <v>0</v>
      </c>
      <c r="L203" t="n">
        <v>0</v>
      </c>
      <c r="M203" t="n">
        <v>0</v>
      </c>
      <c r="N203" t="n">
        <v>0</v>
      </c>
      <c r="O203" t="n">
        <v>0</v>
      </c>
      <c r="P203" t="n">
        <v>0</v>
      </c>
      <c r="Q203" t="n">
        <v>0</v>
      </c>
      <c r="R203" t="n">
        <v>0</v>
      </c>
      <c r="S203" t="n">
        <v>0</v>
      </c>
      <c r="T203" t="n">
        <v>0</v>
      </c>
      <c r="U203" s="2" t="inlineStr"/>
    </row>
    <row r="204" ht="15" customHeight="1">
      <c r="A204" t="inlineStr">
        <is>
          <t>A 40864-2023</t>
        </is>
      </c>
      <c r="B204" t="inlineStr">
        <is>
          <t>avverkningsanmälan</t>
        </is>
      </c>
      <c r="C204" t="inlineStr">
        <is>
          <t>Föryngringsavverkning</t>
        </is>
      </c>
      <c r="D204" s="1" t="n">
        <v>45173</v>
      </c>
      <c r="E204" s="1" t="n">
        <v>46220</v>
      </c>
      <c r="F204" t="inlineStr">
        <is>
          <t>UPPSALA LÄN</t>
        </is>
      </c>
      <c r="G204" t="inlineStr">
        <is>
          <t>TIERP</t>
        </is>
      </c>
      <c r="H204" t="inlineStr">
        <is>
          <t>Bergvik skog väst AB</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7127-2024</t>
        </is>
      </c>
      <c r="B205" t="inlineStr">
        <is>
          <t>avverkningsanmälan</t>
        </is>
      </c>
      <c r="C205" t="inlineStr">
        <is>
          <t>Föryngringsavverkning</t>
        </is>
      </c>
      <c r="D205" s="1" t="n">
        <v>45344</v>
      </c>
      <c r="E205" s="1" t="n">
        <v>46220</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52380-2023</t>
        </is>
      </c>
      <c r="B206" t="inlineStr">
        <is>
          <t>avverkningsanmälan</t>
        </is>
      </c>
      <c r="C206" t="inlineStr">
        <is>
          <t>Föryngringsavverkning</t>
        </is>
      </c>
      <c r="D206" s="1" t="n">
        <v>45224</v>
      </c>
      <c r="E206" s="1" t="n">
        <v>46220</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55678-2024</t>
        </is>
      </c>
      <c r="B207" t="inlineStr">
        <is>
          <t>avverkningsanmälan</t>
        </is>
      </c>
      <c r="C207" t="inlineStr">
        <is>
          <t>Föryngringsavverkning</t>
        </is>
      </c>
      <c r="D207" s="1" t="n">
        <v>45622</v>
      </c>
      <c r="E207" s="1" t="n">
        <v>46220</v>
      </c>
      <c r="F207" t="inlineStr">
        <is>
          <t>UPPSALA LÄN</t>
        </is>
      </c>
      <c r="G207" t="inlineStr">
        <is>
          <t>TIERP</t>
        </is>
      </c>
      <c r="I207" t="n">
        <v>8.4</v>
      </c>
      <c r="J207" t="n">
        <v>0</v>
      </c>
      <c r="K207" t="n">
        <v>0</v>
      </c>
      <c r="L207" t="n">
        <v>0</v>
      </c>
      <c r="M207" t="n">
        <v>0</v>
      </c>
      <c r="N207" t="n">
        <v>0</v>
      </c>
      <c r="O207" t="n">
        <v>0</v>
      </c>
      <c r="P207" t="n">
        <v>0</v>
      </c>
      <c r="Q207" t="n">
        <v>0</v>
      </c>
      <c r="R207" t="n">
        <v>0</v>
      </c>
      <c r="S207" t="n">
        <v>0</v>
      </c>
      <c r="T207" t="n">
        <v>0</v>
      </c>
      <c r="U207" s="2" t="inlineStr"/>
    </row>
    <row r="208" ht="15" customHeight="1">
      <c r="A208" t="inlineStr">
        <is>
          <t>A 55688-2024</t>
        </is>
      </c>
      <c r="B208" t="inlineStr">
        <is>
          <t>avverkningsanmälan</t>
        </is>
      </c>
      <c r="C208" t="inlineStr">
        <is>
          <t>Föryngringsavverkning</t>
        </is>
      </c>
      <c r="D208" s="1" t="n">
        <v>45622</v>
      </c>
      <c r="E208" s="1" t="n">
        <v>46220</v>
      </c>
      <c r="F208" t="inlineStr">
        <is>
          <t>UPPSALA LÄN</t>
        </is>
      </c>
      <c r="G208" t="inlineStr">
        <is>
          <t>TIERP</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39333-2024</t>
        </is>
      </c>
      <c r="B209" t="inlineStr">
        <is>
          <t>avverkningsanmälan</t>
        </is>
      </c>
      <c r="C209" t="inlineStr">
        <is>
          <t>Föryngringsavverkning</t>
        </is>
      </c>
      <c r="D209" s="1" t="n">
        <v>45551</v>
      </c>
      <c r="E209" s="1" t="n">
        <v>46220</v>
      </c>
      <c r="F209" t="inlineStr">
        <is>
          <t>UPPSALA LÄN</t>
        </is>
      </c>
      <c r="G209" t="inlineStr">
        <is>
          <t>TIERP</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31103-2022</t>
        </is>
      </c>
      <c r="B210" t="inlineStr">
        <is>
          <t>avverkningsanmälan</t>
        </is>
      </c>
      <c r="C210" t="inlineStr">
        <is>
          <t>Föryngringsavverkning</t>
        </is>
      </c>
      <c r="D210" s="1" t="n">
        <v>44769</v>
      </c>
      <c r="E210" s="1" t="n">
        <v>46220</v>
      </c>
      <c r="F210" t="inlineStr">
        <is>
          <t>UPPSALA LÄN</t>
        </is>
      </c>
      <c r="G210" t="inlineStr">
        <is>
          <t>TIERP</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22636-2024</t>
        </is>
      </c>
      <c r="B211" t="inlineStr">
        <is>
          <t>avverkningsanmälan</t>
        </is>
      </c>
      <c r="C211" t="inlineStr">
        <is>
          <t>Föryngringsavverkning</t>
        </is>
      </c>
      <c r="D211" s="1" t="n">
        <v>45447</v>
      </c>
      <c r="E211" s="1" t="n">
        <v>46220</v>
      </c>
      <c r="F211" t="inlineStr">
        <is>
          <t>UPPSALA LÄN</t>
        </is>
      </c>
      <c r="G211" t="inlineStr">
        <is>
          <t>TIERP</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15851-2023</t>
        </is>
      </c>
      <c r="B212" t="inlineStr">
        <is>
          <t>avverkningsanmälan</t>
        </is>
      </c>
      <c r="C212" t="inlineStr">
        <is>
          <t>Föryngringsavverkning</t>
        </is>
      </c>
      <c r="D212" s="1" t="n">
        <v>45022</v>
      </c>
      <c r="E212" s="1" t="n">
        <v>46220</v>
      </c>
      <c r="F212" t="inlineStr">
        <is>
          <t>UPPSALA LÄN</t>
        </is>
      </c>
      <c r="G212" t="inlineStr">
        <is>
          <t>TIERP</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33677-2023</t>
        </is>
      </c>
      <c r="B213" t="inlineStr">
        <is>
          <t>avverkningsanmälan</t>
        </is>
      </c>
      <c r="C213" t="inlineStr">
        <is>
          <t>Föryngringsavverkning</t>
        </is>
      </c>
      <c r="D213" s="1" t="n">
        <v>45119</v>
      </c>
      <c r="E213" s="1" t="n">
        <v>46220</v>
      </c>
      <c r="F213" t="inlineStr">
        <is>
          <t>UPPSALA LÄN</t>
        </is>
      </c>
      <c r="G213" t="inlineStr">
        <is>
          <t>TIERP</t>
        </is>
      </c>
      <c r="H213" t="inlineStr">
        <is>
          <t>Bergvik skog väst AB</t>
        </is>
      </c>
      <c r="I213" t="n">
        <v>57.7</v>
      </c>
      <c r="J213" t="n">
        <v>0</v>
      </c>
      <c r="K213" t="n">
        <v>0</v>
      </c>
      <c r="L213" t="n">
        <v>0</v>
      </c>
      <c r="M213" t="n">
        <v>0</v>
      </c>
      <c r="N213" t="n">
        <v>0</v>
      </c>
      <c r="O213" t="n">
        <v>0</v>
      </c>
      <c r="P213" t="n">
        <v>0</v>
      </c>
      <c r="Q213" t="n">
        <v>0</v>
      </c>
      <c r="R213" t="n">
        <v>0</v>
      </c>
      <c r="S213" t="n">
        <v>0</v>
      </c>
      <c r="T213" t="n">
        <v>0</v>
      </c>
      <c r="U213" s="2" t="inlineStr"/>
    </row>
    <row r="214" ht="15" customHeight="1">
      <c r="A214" t="inlineStr">
        <is>
          <t>A 48736-2023</t>
        </is>
      </c>
      <c r="B214" t="inlineStr">
        <is>
          <t>avverkningsanmälan</t>
        </is>
      </c>
      <c r="C214" t="inlineStr">
        <is>
          <t>Föryngringsavverkning</t>
        </is>
      </c>
      <c r="D214" s="1" t="n">
        <v>45203</v>
      </c>
      <c r="E214" s="1" t="n">
        <v>46220</v>
      </c>
      <c r="F214" t="inlineStr">
        <is>
          <t>UPPSALA LÄN</t>
        </is>
      </c>
      <c r="G214" t="inlineStr">
        <is>
          <t>TIERP</t>
        </is>
      </c>
      <c r="H214" t="inlineStr">
        <is>
          <t>Bergvik skog väst AB</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63747-2025</t>
        </is>
      </c>
      <c r="B215" t="inlineStr">
        <is>
          <t>avverkningsanmälan</t>
        </is>
      </c>
      <c r="C215" t="inlineStr">
        <is>
          <t>Föryngringsavverkning</t>
        </is>
      </c>
      <c r="D215" s="1" t="n">
        <v>46017</v>
      </c>
      <c r="E215" s="1" t="n">
        <v>46220</v>
      </c>
      <c r="F215" t="inlineStr">
        <is>
          <t>UPPSALA LÄN</t>
        </is>
      </c>
      <c r="G215" t="inlineStr">
        <is>
          <t>TIERP</t>
        </is>
      </c>
      <c r="H215" t="inlineStr">
        <is>
          <t>Bergvik skog öst AB</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61617-2022</t>
        </is>
      </c>
      <c r="B216" t="inlineStr">
        <is>
          <t>avverkningsanmälan</t>
        </is>
      </c>
      <c r="C216" t="inlineStr">
        <is>
          <t>Föryngringsavverkning</t>
        </is>
      </c>
      <c r="D216" s="1" t="n">
        <v>44916</v>
      </c>
      <c r="E216" s="1" t="n">
        <v>46220</v>
      </c>
      <c r="F216" t="inlineStr">
        <is>
          <t>UPPSALA LÄN</t>
        </is>
      </c>
      <c r="G216" t="inlineStr">
        <is>
          <t>TIERP</t>
        </is>
      </c>
      <c r="I216" t="n">
        <v>0.3</v>
      </c>
      <c r="J216" t="n">
        <v>0</v>
      </c>
      <c r="K216" t="n">
        <v>0</v>
      </c>
      <c r="L216" t="n">
        <v>0</v>
      </c>
      <c r="M216" t="n">
        <v>0</v>
      </c>
      <c r="N216" t="n">
        <v>0</v>
      </c>
      <c r="O216" t="n">
        <v>0</v>
      </c>
      <c r="P216" t="n">
        <v>0</v>
      </c>
      <c r="Q216" t="n">
        <v>0</v>
      </c>
      <c r="R216" t="n">
        <v>0</v>
      </c>
      <c r="S216" t="n">
        <v>0</v>
      </c>
      <c r="T216" t="n">
        <v>0</v>
      </c>
      <c r="U216" s="2" t="inlineStr"/>
    </row>
    <row r="217" ht="15" customHeight="1">
      <c r="A217" t="inlineStr">
        <is>
          <t>A 44946-2022</t>
        </is>
      </c>
      <c r="B217" t="inlineStr">
        <is>
          <t>avverkningsanmälan</t>
        </is>
      </c>
      <c r="C217" t="inlineStr">
        <is>
          <t>Föryngringsavverkning</t>
        </is>
      </c>
      <c r="D217" s="1" t="n">
        <v>44841</v>
      </c>
      <c r="E217" s="1" t="n">
        <v>46220</v>
      </c>
      <c r="F217" t="inlineStr">
        <is>
          <t>UPPSALA LÄN</t>
        </is>
      </c>
      <c r="G217" t="inlineStr">
        <is>
          <t>TIERP</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32212-2024</t>
        </is>
      </c>
      <c r="B218" t="inlineStr">
        <is>
          <t>avverkningsanmälan</t>
        </is>
      </c>
      <c r="C218" t="inlineStr">
        <is>
          <t>Föryngringsavverkning</t>
        </is>
      </c>
      <c r="D218" s="1" t="n">
        <v>45511</v>
      </c>
      <c r="E218" s="1" t="n">
        <v>46220</v>
      </c>
      <c r="F218" t="inlineStr">
        <is>
          <t>UPPSALA LÄN</t>
        </is>
      </c>
      <c r="G218" t="inlineStr">
        <is>
          <t>TIERP</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51712-2025</t>
        </is>
      </c>
      <c r="B219" t="inlineStr">
        <is>
          <t>avverkningsanmälan</t>
        </is>
      </c>
      <c r="C219" t="inlineStr">
        <is>
          <t>Föryngringsavverkning</t>
        </is>
      </c>
      <c r="D219" s="1" t="n">
        <v>45951</v>
      </c>
      <c r="E219" s="1" t="n">
        <v>46220</v>
      </c>
      <c r="F219" t="inlineStr">
        <is>
          <t>UPPSALA LÄN</t>
        </is>
      </c>
      <c r="G219" t="inlineStr">
        <is>
          <t>TIERP</t>
        </is>
      </c>
      <c r="H219" t="inlineStr">
        <is>
          <t>Bergvik skog väst AB</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43260-2025</t>
        </is>
      </c>
      <c r="B220" t="inlineStr">
        <is>
          <t>avverkningsanmälan</t>
        </is>
      </c>
      <c r="C220" t="inlineStr">
        <is>
          <t>Föryngringsavverkning</t>
        </is>
      </c>
      <c r="D220" s="1" t="n">
        <v>45910</v>
      </c>
      <c r="E220" s="1" t="n">
        <v>46220</v>
      </c>
      <c r="F220" t="inlineStr">
        <is>
          <t>UPPSALA LÄN</t>
        </is>
      </c>
      <c r="G220" t="inlineStr">
        <is>
          <t>TIERP</t>
        </is>
      </c>
      <c r="H220" t="inlineStr">
        <is>
          <t>Bergvik skog väst AB</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47422-2022</t>
        </is>
      </c>
      <c r="B221" t="inlineStr">
        <is>
          <t>avverkningsanmälan</t>
        </is>
      </c>
      <c r="C221" t="inlineStr">
        <is>
          <t>Föryngringsavverkning</t>
        </is>
      </c>
      <c r="D221" s="1" t="n">
        <v>44853</v>
      </c>
      <c r="E221" s="1" t="n">
        <v>46220</v>
      </c>
      <c r="F221" t="inlineStr">
        <is>
          <t>UPPSALA LÄN</t>
        </is>
      </c>
      <c r="G221" t="inlineStr">
        <is>
          <t>TIERP</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21782-2025</t>
        </is>
      </c>
      <c r="B222" t="inlineStr">
        <is>
          <t>avverkningsanmälan</t>
        </is>
      </c>
      <c r="C222" t="inlineStr">
        <is>
          <t>Föryngringsavverkning</t>
        </is>
      </c>
      <c r="D222" s="1" t="n">
        <v>45783</v>
      </c>
      <c r="E222" s="1" t="n">
        <v>46220</v>
      </c>
      <c r="F222" t="inlineStr">
        <is>
          <t>UPPSALA LÄN</t>
        </is>
      </c>
      <c r="G222" t="inlineStr">
        <is>
          <t>TIERP</t>
        </is>
      </c>
      <c r="H222" t="inlineStr">
        <is>
          <t>Bergvik skog öst AB</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43378-2025</t>
        </is>
      </c>
      <c r="B223" t="inlineStr">
        <is>
          <t>avverkningsanmälan</t>
        </is>
      </c>
      <c r="C223" t="inlineStr">
        <is>
          <t>Föryngringsavverkning</t>
        </is>
      </c>
      <c r="D223" s="1" t="n">
        <v>45911</v>
      </c>
      <c r="E223" s="1" t="n">
        <v>46220</v>
      </c>
      <c r="F223" t="inlineStr">
        <is>
          <t>UPPSALA LÄN</t>
        </is>
      </c>
      <c r="G223" t="inlineStr">
        <is>
          <t>TIERP</t>
        </is>
      </c>
      <c r="H223" t="inlineStr">
        <is>
          <t>Bergvik skog väst AB</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39790-2025</t>
        </is>
      </c>
      <c r="B224" t="inlineStr">
        <is>
          <t>avverkningsanmälan</t>
        </is>
      </c>
      <c r="C224" t="inlineStr">
        <is>
          <t>Föryngringsavverkning</t>
        </is>
      </c>
      <c r="D224" s="1" t="n">
        <v>45891</v>
      </c>
      <c r="E224" s="1" t="n">
        <v>46220</v>
      </c>
      <c r="F224" t="inlineStr">
        <is>
          <t>UPPSALA LÄN</t>
        </is>
      </c>
      <c r="G224" t="inlineStr">
        <is>
          <t>TIERP</t>
        </is>
      </c>
      <c r="H224" t="inlineStr">
        <is>
          <t>Bergvik skog väst AB</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63883-2025</t>
        </is>
      </c>
      <c r="B225" t="inlineStr">
        <is>
          <t>avverkningsanmälan</t>
        </is>
      </c>
      <c r="C225" t="inlineStr">
        <is>
          <t>Föryngringsavverkning</t>
        </is>
      </c>
      <c r="D225" s="1" t="n">
        <v>46020</v>
      </c>
      <c r="E225" s="1" t="n">
        <v>46220</v>
      </c>
      <c r="F225" t="inlineStr">
        <is>
          <t>UPPSALA LÄN</t>
        </is>
      </c>
      <c r="G225" t="inlineStr">
        <is>
          <t>TIERP</t>
        </is>
      </c>
      <c r="H225" t="inlineStr">
        <is>
          <t>Bergvik skog öst AB</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61156-2024</t>
        </is>
      </c>
      <c r="B226" t="inlineStr">
        <is>
          <t>avverkningsanmälan</t>
        </is>
      </c>
      <c r="C226" t="inlineStr">
        <is>
          <t>Föryngringsavverkning</t>
        </is>
      </c>
      <c r="D226" s="1" t="n">
        <v>45645</v>
      </c>
      <c r="E226" s="1" t="n">
        <v>46220</v>
      </c>
      <c r="F226" t="inlineStr">
        <is>
          <t>UPPSALA LÄN</t>
        </is>
      </c>
      <c r="G226" t="inlineStr">
        <is>
          <t>TIERP</t>
        </is>
      </c>
      <c r="H226" t="inlineStr">
        <is>
          <t>Bergvik skog väst AB</t>
        </is>
      </c>
      <c r="I226" t="n">
        <v>10.6</v>
      </c>
      <c r="J226" t="n">
        <v>0</v>
      </c>
      <c r="K226" t="n">
        <v>0</v>
      </c>
      <c r="L226" t="n">
        <v>0</v>
      </c>
      <c r="M226" t="n">
        <v>0</v>
      </c>
      <c r="N226" t="n">
        <v>0</v>
      </c>
      <c r="O226" t="n">
        <v>0</v>
      </c>
      <c r="P226" t="n">
        <v>0</v>
      </c>
      <c r="Q226" t="n">
        <v>0</v>
      </c>
      <c r="R226" t="n">
        <v>0</v>
      </c>
      <c r="S226" t="n">
        <v>0</v>
      </c>
      <c r="T226" t="n">
        <v>0</v>
      </c>
      <c r="U226" s="2" t="inlineStr"/>
    </row>
    <row r="227" ht="15" customHeight="1">
      <c r="A227" t="inlineStr">
        <is>
          <t>A 34835-2024</t>
        </is>
      </c>
      <c r="B227" t="inlineStr">
        <is>
          <t>avverkningsanmälan</t>
        </is>
      </c>
      <c r="C227" t="inlineStr">
        <is>
          <t>Föryngringsavverkning</t>
        </is>
      </c>
      <c r="D227" s="1" t="n">
        <v>45526</v>
      </c>
      <c r="E227" s="1" t="n">
        <v>46220</v>
      </c>
      <c r="F227" t="inlineStr">
        <is>
          <t>UPPSALA LÄN</t>
        </is>
      </c>
      <c r="G227" t="inlineStr">
        <is>
          <t>TIERP</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24807-2025</t>
        </is>
      </c>
      <c r="B228" t="inlineStr">
        <is>
          <t>avverkningsanmälan</t>
        </is>
      </c>
      <c r="C228" t="inlineStr">
        <is>
          <t>Föryngringsavverkning</t>
        </is>
      </c>
      <c r="D228" s="1" t="n">
        <v>45799</v>
      </c>
      <c r="E228" s="1" t="n">
        <v>46220</v>
      </c>
      <c r="F228" t="inlineStr">
        <is>
          <t>UPPSALA LÄN</t>
        </is>
      </c>
      <c r="G228" t="inlineStr">
        <is>
          <t>TIERP</t>
        </is>
      </c>
      <c r="H228" t="inlineStr">
        <is>
          <t>Bergvik skog öst AB</t>
        </is>
      </c>
      <c r="I228" t="n">
        <v>0.3</v>
      </c>
      <c r="J228" t="n">
        <v>0</v>
      </c>
      <c r="K228" t="n">
        <v>0</v>
      </c>
      <c r="L228" t="n">
        <v>0</v>
      </c>
      <c r="M228" t="n">
        <v>0</v>
      </c>
      <c r="N228" t="n">
        <v>0</v>
      </c>
      <c r="O228" t="n">
        <v>0</v>
      </c>
      <c r="P228" t="n">
        <v>0</v>
      </c>
      <c r="Q228" t="n">
        <v>0</v>
      </c>
      <c r="R228" t="n">
        <v>0</v>
      </c>
      <c r="S228" t="n">
        <v>0</v>
      </c>
      <c r="T228" t="n">
        <v>0</v>
      </c>
      <c r="U228" s="2" t="inlineStr"/>
    </row>
    <row r="229" ht="15" customHeight="1">
      <c r="A229" t="inlineStr">
        <is>
          <t>A 437-2023</t>
        </is>
      </c>
      <c r="B229" t="inlineStr">
        <is>
          <t>avverkningsanmälan</t>
        </is>
      </c>
      <c r="C229" t="inlineStr">
        <is>
          <t>Föryngringsavverkning</t>
        </is>
      </c>
      <c r="D229" s="1" t="n">
        <v>44924</v>
      </c>
      <c r="E229" s="1" t="n">
        <v>46220</v>
      </c>
      <c r="F229" t="inlineStr">
        <is>
          <t>UPPSALA LÄN</t>
        </is>
      </c>
      <c r="G229" t="inlineStr">
        <is>
          <t>TIERP</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380-2026</t>
        </is>
      </c>
      <c r="B230" t="inlineStr">
        <is>
          <t>avverkningsanmälan</t>
        </is>
      </c>
      <c r="C230" t="inlineStr">
        <is>
          <t>Föryngringsavverkning</t>
        </is>
      </c>
      <c r="D230" s="1" t="n">
        <v>46027</v>
      </c>
      <c r="E230" s="1" t="n">
        <v>46220</v>
      </c>
      <c r="F230" t="inlineStr">
        <is>
          <t>UPPSALA LÄN</t>
        </is>
      </c>
      <c r="G230" t="inlineStr">
        <is>
          <t>TIERP</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26656-2022</t>
        </is>
      </c>
      <c r="B231" t="inlineStr">
        <is>
          <t>avverkningsanmälan</t>
        </is>
      </c>
      <c r="C231" t="inlineStr">
        <is>
          <t>Föryngringsavverkning</t>
        </is>
      </c>
      <c r="D231" s="1" t="n">
        <v>44739</v>
      </c>
      <c r="E231" s="1" t="n">
        <v>46220</v>
      </c>
      <c r="F231" t="inlineStr">
        <is>
          <t>UPPSALA LÄN</t>
        </is>
      </c>
      <c r="G231" t="inlineStr">
        <is>
          <t>TIERP</t>
        </is>
      </c>
      <c r="I231" t="n">
        <v>2.8</v>
      </c>
      <c r="J231" t="n">
        <v>0</v>
      </c>
      <c r="K231" t="n">
        <v>0</v>
      </c>
      <c r="L231" t="n">
        <v>0</v>
      </c>
      <c r="M231" t="n">
        <v>0</v>
      </c>
      <c r="N231" t="n">
        <v>0</v>
      </c>
      <c r="O231" t="n">
        <v>0</v>
      </c>
      <c r="P231" t="n">
        <v>0</v>
      </c>
      <c r="Q231" t="n">
        <v>0</v>
      </c>
      <c r="R231" t="n">
        <v>0</v>
      </c>
      <c r="S231" t="n">
        <v>0</v>
      </c>
      <c r="T231" t="n">
        <v>0</v>
      </c>
      <c r="U231" s="2" t="inlineStr"/>
    </row>
    <row r="232" ht="15" customHeight="1">
      <c r="A232" t="inlineStr">
        <is>
          <t>A 13460-2024</t>
        </is>
      </c>
      <c r="B232" t="inlineStr">
        <is>
          <t>avverkningsanmälan</t>
        </is>
      </c>
      <c r="C232" t="inlineStr">
        <is>
          <t>Föryngringsavverkning</t>
        </is>
      </c>
      <c r="D232" s="1" t="n">
        <v>45387</v>
      </c>
      <c r="E232" s="1" t="n">
        <v>46220</v>
      </c>
      <c r="F232" t="inlineStr">
        <is>
          <t>UPPSALA LÄN</t>
        </is>
      </c>
      <c r="G232" t="inlineStr">
        <is>
          <t>TIERP</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10551-2024</t>
        </is>
      </c>
      <c r="B233" t="inlineStr">
        <is>
          <t>avverkningsanmälan</t>
        </is>
      </c>
      <c r="C233" t="inlineStr">
        <is>
          <t>Föryngringsavverkning</t>
        </is>
      </c>
      <c r="D233" s="1" t="n">
        <v>45366</v>
      </c>
      <c r="E233" s="1" t="n">
        <v>46220</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888-2026</t>
        </is>
      </c>
      <c r="B234" t="inlineStr">
        <is>
          <t>avverkningsanmälan</t>
        </is>
      </c>
      <c r="C234" t="inlineStr">
        <is>
          <t>Föryngringsavverkning</t>
        </is>
      </c>
      <c r="D234" s="1" t="n">
        <v>46030</v>
      </c>
      <c r="E234" s="1" t="n">
        <v>46220</v>
      </c>
      <c r="F234" t="inlineStr">
        <is>
          <t>UPPSALA LÄN</t>
        </is>
      </c>
      <c r="G234" t="inlineStr">
        <is>
          <t>TIERP</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22274-2025</t>
        </is>
      </c>
      <c r="B235" t="inlineStr">
        <is>
          <t>avverkningsanmälan</t>
        </is>
      </c>
      <c r="C235" t="inlineStr">
        <is>
          <t>Föryngringsavverkning</t>
        </is>
      </c>
      <c r="D235" s="1" t="n">
        <v>45786</v>
      </c>
      <c r="E235" s="1" t="n">
        <v>46220</v>
      </c>
      <c r="F235" t="inlineStr">
        <is>
          <t>UPPSALA LÄN</t>
        </is>
      </c>
      <c r="G235" t="inlineStr">
        <is>
          <t>TIERP</t>
        </is>
      </c>
      <c r="I235" t="n">
        <v>3.1</v>
      </c>
      <c r="J235" t="n">
        <v>0</v>
      </c>
      <c r="K235" t="n">
        <v>0</v>
      </c>
      <c r="L235" t="n">
        <v>0</v>
      </c>
      <c r="M235" t="n">
        <v>0</v>
      </c>
      <c r="N235" t="n">
        <v>0</v>
      </c>
      <c r="O235" t="n">
        <v>0</v>
      </c>
      <c r="P235" t="n">
        <v>0</v>
      </c>
      <c r="Q235" t="n">
        <v>0</v>
      </c>
      <c r="R235" t="n">
        <v>0</v>
      </c>
      <c r="S235" t="n">
        <v>0</v>
      </c>
      <c r="T235" t="n">
        <v>0</v>
      </c>
      <c r="U235" s="2" t="inlineStr"/>
    </row>
    <row r="236" ht="15" customHeight="1">
      <c r="A236" t="inlineStr">
        <is>
          <t>A 61152-2024</t>
        </is>
      </c>
      <c r="B236" t="inlineStr">
        <is>
          <t>avverkningsanmälan</t>
        </is>
      </c>
      <c r="C236" t="inlineStr">
        <is>
          <t>Föryngringsavverkning</t>
        </is>
      </c>
      <c r="D236" s="1" t="n">
        <v>45645</v>
      </c>
      <c r="E236" s="1" t="n">
        <v>46220</v>
      </c>
      <c r="F236" t="inlineStr">
        <is>
          <t>UPPSALA LÄN</t>
        </is>
      </c>
      <c r="G236" t="inlineStr">
        <is>
          <t>TIERP</t>
        </is>
      </c>
      <c r="H236" t="inlineStr">
        <is>
          <t>Bergvik skog väst AB</t>
        </is>
      </c>
      <c r="I236" t="n">
        <v>4.8</v>
      </c>
      <c r="J236" t="n">
        <v>0</v>
      </c>
      <c r="K236" t="n">
        <v>0</v>
      </c>
      <c r="L236" t="n">
        <v>0</v>
      </c>
      <c r="M236" t="n">
        <v>0</v>
      </c>
      <c r="N236" t="n">
        <v>0</v>
      </c>
      <c r="O236" t="n">
        <v>0</v>
      </c>
      <c r="P236" t="n">
        <v>0</v>
      </c>
      <c r="Q236" t="n">
        <v>0</v>
      </c>
      <c r="R236" t="n">
        <v>0</v>
      </c>
      <c r="S236" t="n">
        <v>0</v>
      </c>
      <c r="T236" t="n">
        <v>0</v>
      </c>
      <c r="U236" s="2" t="inlineStr"/>
    </row>
    <row r="237" ht="15" customHeight="1">
      <c r="A237" t="inlineStr">
        <is>
          <t>A 12449-2022</t>
        </is>
      </c>
      <c r="B237" t="inlineStr">
        <is>
          <t>avverkningsanmälan</t>
        </is>
      </c>
      <c r="C237" t="inlineStr">
        <is>
          <t>Föryngringsavverkning</t>
        </is>
      </c>
      <c r="D237" s="1" t="n">
        <v>44638</v>
      </c>
      <c r="E237" s="1" t="n">
        <v>46220</v>
      </c>
      <c r="F237" t="inlineStr">
        <is>
          <t>UPPSALA LÄN</t>
        </is>
      </c>
      <c r="G237" t="inlineStr">
        <is>
          <t>TIERP</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38298-2023</t>
        </is>
      </c>
      <c r="B238" t="inlineStr">
        <is>
          <t>avverkningsanmälan</t>
        </is>
      </c>
      <c r="C238" t="inlineStr">
        <is>
          <t>Föryngringsavverkning</t>
        </is>
      </c>
      <c r="D238" s="1" t="n">
        <v>45161</v>
      </c>
      <c r="E238" s="1" t="n">
        <v>46220</v>
      </c>
      <c r="F238" t="inlineStr">
        <is>
          <t>UPPSALA LÄN</t>
        </is>
      </c>
      <c r="G238" t="inlineStr">
        <is>
          <t>TIERP</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2364-2026</t>
        </is>
      </c>
      <c r="B239" t="inlineStr">
        <is>
          <t>avverkningsanmälan</t>
        </is>
      </c>
      <c r="C239" t="inlineStr">
        <is>
          <t>Föryngringsavverkning</t>
        </is>
      </c>
      <c r="D239" s="1" t="n">
        <v>46034</v>
      </c>
      <c r="E239" s="1" t="n">
        <v>46220</v>
      </c>
      <c r="F239" t="inlineStr">
        <is>
          <t>UPPSALA LÄN</t>
        </is>
      </c>
      <c r="G239" t="inlineStr">
        <is>
          <t>TIERP</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2366-2026</t>
        </is>
      </c>
      <c r="B240" t="inlineStr">
        <is>
          <t>avverkningsanmälan</t>
        </is>
      </c>
      <c r="C240" t="inlineStr">
        <is>
          <t>Föryngringsavverkning</t>
        </is>
      </c>
      <c r="D240" s="1" t="n">
        <v>46034</v>
      </c>
      <c r="E240" s="1" t="n">
        <v>46220</v>
      </c>
      <c r="F240" t="inlineStr">
        <is>
          <t>UPPSALA LÄN</t>
        </is>
      </c>
      <c r="G240" t="inlineStr">
        <is>
          <t>TIERP</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37476-2024</t>
        </is>
      </c>
      <c r="B241" t="inlineStr">
        <is>
          <t>avverkningsanmälan</t>
        </is>
      </c>
      <c r="C241" t="inlineStr">
        <is>
          <t>Föryngringsavverkning</t>
        </is>
      </c>
      <c r="D241" s="1" t="n">
        <v>45541</v>
      </c>
      <c r="E241" s="1" t="n">
        <v>46220</v>
      </c>
      <c r="F241" t="inlineStr">
        <is>
          <t>UPPSALA LÄN</t>
        </is>
      </c>
      <c r="G241" t="inlineStr">
        <is>
          <t>TIERP</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28538-2024</t>
        </is>
      </c>
      <c r="B242" t="inlineStr">
        <is>
          <t>avverkningsanmälan</t>
        </is>
      </c>
      <c r="C242" t="inlineStr">
        <is>
          <t>Föryngringsavverkning</t>
        </is>
      </c>
      <c r="D242" s="1" t="n">
        <v>45478</v>
      </c>
      <c r="E242" s="1" t="n">
        <v>46220</v>
      </c>
      <c r="F242" t="inlineStr">
        <is>
          <t>UPPSALA LÄN</t>
        </is>
      </c>
      <c r="G242" t="inlineStr">
        <is>
          <t>TIERP</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23312-2025</t>
        </is>
      </c>
      <c r="B243" t="inlineStr">
        <is>
          <t>avverkningsanmälan</t>
        </is>
      </c>
      <c r="C243" t="inlineStr">
        <is>
          <t>Avverkning för annat ändamål</t>
        </is>
      </c>
      <c r="D243" s="1" t="n">
        <v>45791</v>
      </c>
      <c r="E243" s="1" t="n">
        <v>46220</v>
      </c>
      <c r="F243" t="inlineStr">
        <is>
          <t>UPPSALA LÄN</t>
        </is>
      </c>
      <c r="G243" t="inlineStr">
        <is>
          <t>TIERP</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15055-2024</t>
        </is>
      </c>
      <c r="B244" t="inlineStr">
        <is>
          <t>avverkningsanmälan</t>
        </is>
      </c>
      <c r="C244" t="inlineStr">
        <is>
          <t>Föryngringsavverkning</t>
        </is>
      </c>
      <c r="D244" s="1" t="n">
        <v>45399</v>
      </c>
      <c r="E244" s="1" t="n">
        <v>46220</v>
      </c>
      <c r="F244" t="inlineStr">
        <is>
          <t>UPPSALA LÄN</t>
        </is>
      </c>
      <c r="G244" t="inlineStr">
        <is>
          <t>TIERP</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40164-2025</t>
        </is>
      </c>
      <c r="B245" t="inlineStr">
        <is>
          <t>avverkningsanmälan</t>
        </is>
      </c>
      <c r="C245" t="inlineStr">
        <is>
          <t>Föryngringsavverkning</t>
        </is>
      </c>
      <c r="D245" s="1" t="n">
        <v>45894</v>
      </c>
      <c r="E245" s="1" t="n">
        <v>46220</v>
      </c>
      <c r="F245" t="inlineStr">
        <is>
          <t>UPPSALA LÄN</t>
        </is>
      </c>
      <c r="G245" t="inlineStr">
        <is>
          <t>TIERP</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7065-2024</t>
        </is>
      </c>
      <c r="B246" t="inlineStr">
        <is>
          <t>avverkningsanmälan</t>
        </is>
      </c>
      <c r="C246" t="inlineStr">
        <is>
          <t>Föryngringsavverkning</t>
        </is>
      </c>
      <c r="D246" s="1" t="n">
        <v>45343</v>
      </c>
      <c r="E246" s="1" t="n">
        <v>46220</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4314-2025</t>
        </is>
      </c>
      <c r="B247" t="inlineStr">
        <is>
          <t>avverkningsanmälan</t>
        </is>
      </c>
      <c r="C247" t="inlineStr">
        <is>
          <t>Föryngringsavverkning</t>
        </is>
      </c>
      <c r="D247" s="1" t="n">
        <v>45685</v>
      </c>
      <c r="E247" s="1" t="n">
        <v>46220</v>
      </c>
      <c r="F247" t="inlineStr">
        <is>
          <t>UPPSALA LÄN</t>
        </is>
      </c>
      <c r="G247" t="inlineStr">
        <is>
          <t>TIERP</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40627-2025</t>
        </is>
      </c>
      <c r="B248" t="inlineStr">
        <is>
          <t>avverkningsanmälan</t>
        </is>
      </c>
      <c r="C248" t="inlineStr">
        <is>
          <t>Föryngringsavverkning</t>
        </is>
      </c>
      <c r="D248" s="1" t="n">
        <v>45896</v>
      </c>
      <c r="E248" s="1" t="n">
        <v>46220</v>
      </c>
      <c r="F248" t="inlineStr">
        <is>
          <t>UPPSALA LÄN</t>
        </is>
      </c>
      <c r="G248" t="inlineStr">
        <is>
          <t>TIERP</t>
        </is>
      </c>
      <c r="H248" t="inlineStr">
        <is>
          <t>Bergvik skog öst AB</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41490-2025</t>
        </is>
      </c>
      <c r="B249" t="inlineStr">
        <is>
          <t>avverkningsanmälan</t>
        </is>
      </c>
      <c r="C249" t="inlineStr">
        <is>
          <t>Föryngringsavverkning</t>
        </is>
      </c>
      <c r="D249" s="1" t="n">
        <v>45901</v>
      </c>
      <c r="E249" s="1" t="n">
        <v>46220</v>
      </c>
      <c r="F249" t="inlineStr">
        <is>
          <t>UPPSALA LÄN</t>
        </is>
      </c>
      <c r="G249" t="inlineStr">
        <is>
          <t>TIERP</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41497-2025</t>
        </is>
      </c>
      <c r="B250" t="inlineStr">
        <is>
          <t>avverkningsanmälan</t>
        </is>
      </c>
      <c r="C250" t="inlineStr">
        <is>
          <t>Föryngringsavverkning</t>
        </is>
      </c>
      <c r="D250" s="1" t="n">
        <v>45901</v>
      </c>
      <c r="E250" s="1" t="n">
        <v>46220</v>
      </c>
      <c r="F250" t="inlineStr">
        <is>
          <t>UPPSALA LÄN</t>
        </is>
      </c>
      <c r="G250" t="inlineStr">
        <is>
          <t>TIERP</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41537-2025</t>
        </is>
      </c>
      <c r="B251" t="inlineStr">
        <is>
          <t>avverkningsanmälan</t>
        </is>
      </c>
      <c r="C251" t="inlineStr">
        <is>
          <t>Föryngringsavverkning</t>
        </is>
      </c>
      <c r="D251" s="1" t="n">
        <v>45901</v>
      </c>
      <c r="E251" s="1" t="n">
        <v>46220</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7359-2023</t>
        </is>
      </c>
      <c r="B252" t="inlineStr">
        <is>
          <t>avverkningsanmälan</t>
        </is>
      </c>
      <c r="C252" t="inlineStr">
        <is>
          <t>Föryngringsavverkning</t>
        </is>
      </c>
      <c r="D252" s="1" t="n">
        <v>44966</v>
      </c>
      <c r="E252" s="1" t="n">
        <v>46220</v>
      </c>
      <c r="F252" t="inlineStr">
        <is>
          <t>UPPSALA LÄN</t>
        </is>
      </c>
      <c r="G252" t="inlineStr">
        <is>
          <t>TIERP</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41527-2025</t>
        </is>
      </c>
      <c r="B253" t="inlineStr">
        <is>
          <t>avverkningsanmälan</t>
        </is>
      </c>
      <c r="C253" t="inlineStr">
        <is>
          <t>Föryngringsavverkning</t>
        </is>
      </c>
      <c r="D253" s="1" t="n">
        <v>45901</v>
      </c>
      <c r="E253" s="1" t="n">
        <v>46220</v>
      </c>
      <c r="F253" t="inlineStr">
        <is>
          <t>UPPSALA LÄN</t>
        </is>
      </c>
      <c r="G253" t="inlineStr">
        <is>
          <t>TIERP</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22393-2024</t>
        </is>
      </c>
      <c r="B254" t="inlineStr">
        <is>
          <t>avverkningsanmälan</t>
        </is>
      </c>
      <c r="C254" t="inlineStr">
        <is>
          <t>Föryngringsavverkning</t>
        </is>
      </c>
      <c r="D254" s="1" t="n">
        <v>45446</v>
      </c>
      <c r="E254" s="1" t="n">
        <v>46220</v>
      </c>
      <c r="F254" t="inlineStr">
        <is>
          <t>UPPSALA LÄN</t>
        </is>
      </c>
      <c r="G254" t="inlineStr">
        <is>
          <t>TIERP</t>
        </is>
      </c>
      <c r="H254" t="inlineStr">
        <is>
          <t>Bergvik skog väst AB</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41531-2025</t>
        </is>
      </c>
      <c r="B255" t="inlineStr">
        <is>
          <t>avverkningsanmälan</t>
        </is>
      </c>
      <c r="C255" t="inlineStr">
        <is>
          <t>Föryngringsavverkning</t>
        </is>
      </c>
      <c r="D255" s="1" t="n">
        <v>45901</v>
      </c>
      <c r="E255" s="1" t="n">
        <v>46220</v>
      </c>
      <c r="F255" t="inlineStr">
        <is>
          <t>UPPSALA LÄN</t>
        </is>
      </c>
      <c r="G255" t="inlineStr">
        <is>
          <t>TIERP</t>
        </is>
      </c>
      <c r="I255" t="n">
        <v>1.1</v>
      </c>
      <c r="J255" t="n">
        <v>0</v>
      </c>
      <c r="K255" t="n">
        <v>0</v>
      </c>
      <c r="L255" t="n">
        <v>0</v>
      </c>
      <c r="M255" t="n">
        <v>0</v>
      </c>
      <c r="N255" t="n">
        <v>0</v>
      </c>
      <c r="O255" t="n">
        <v>0</v>
      </c>
      <c r="P255" t="n">
        <v>0</v>
      </c>
      <c r="Q255" t="n">
        <v>0</v>
      </c>
      <c r="R255" t="n">
        <v>0</v>
      </c>
      <c r="S255" t="n">
        <v>0</v>
      </c>
      <c r="T255" t="n">
        <v>0</v>
      </c>
      <c r="U255" s="2" t="inlineStr"/>
    </row>
    <row r="256" ht="15" customHeight="1">
      <c r="A256" t="inlineStr">
        <is>
          <t>A 41535-2025</t>
        </is>
      </c>
      <c r="B256" t="inlineStr">
        <is>
          <t>avverkningsanmälan</t>
        </is>
      </c>
      <c r="C256" t="inlineStr">
        <is>
          <t>Föryngringsavverkning</t>
        </is>
      </c>
      <c r="D256" s="1" t="n">
        <v>45901</v>
      </c>
      <c r="E256" s="1" t="n">
        <v>46220</v>
      </c>
      <c r="F256" t="inlineStr">
        <is>
          <t>UPPSALA LÄN</t>
        </is>
      </c>
      <c r="G256" t="inlineStr">
        <is>
          <t>TIERP</t>
        </is>
      </c>
      <c r="I256" t="n">
        <v>4.2</v>
      </c>
      <c r="J256" t="n">
        <v>0</v>
      </c>
      <c r="K256" t="n">
        <v>0</v>
      </c>
      <c r="L256" t="n">
        <v>0</v>
      </c>
      <c r="M256" t="n">
        <v>0</v>
      </c>
      <c r="N256" t="n">
        <v>0</v>
      </c>
      <c r="O256" t="n">
        <v>0</v>
      </c>
      <c r="P256" t="n">
        <v>0</v>
      </c>
      <c r="Q256" t="n">
        <v>0</v>
      </c>
      <c r="R256" t="n">
        <v>0</v>
      </c>
      <c r="S256" t="n">
        <v>0</v>
      </c>
      <c r="T256" t="n">
        <v>0</v>
      </c>
      <c r="U256" s="2" t="inlineStr"/>
    </row>
    <row r="257" ht="15" customHeight="1">
      <c r="A257" t="inlineStr">
        <is>
          <t>A 41719-2025</t>
        </is>
      </c>
      <c r="B257" t="inlineStr">
        <is>
          <t>avverkningsanmälan</t>
        </is>
      </c>
      <c r="C257" t="inlineStr">
        <is>
          <t>Föryngringsavverkning</t>
        </is>
      </c>
      <c r="D257" s="1" t="n">
        <v>45902</v>
      </c>
      <c r="E257" s="1" t="n">
        <v>46220</v>
      </c>
      <c r="F257" t="inlineStr">
        <is>
          <t>UPPSALA LÄN</t>
        </is>
      </c>
      <c r="G257" t="inlineStr">
        <is>
          <t>TIERP</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36830-2024</t>
        </is>
      </c>
      <c r="B258" t="inlineStr">
        <is>
          <t>avverkningsanmälan</t>
        </is>
      </c>
      <c r="C258" t="inlineStr">
        <is>
          <t>Föryngringsavverkning</t>
        </is>
      </c>
      <c r="D258" s="1" t="n">
        <v>45538</v>
      </c>
      <c r="E258" s="1" t="n">
        <v>46220</v>
      </c>
      <c r="F258" t="inlineStr">
        <is>
          <t>UPPSALA LÄN</t>
        </is>
      </c>
      <c r="G258" t="inlineStr">
        <is>
          <t>TIERP</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61827-2024</t>
        </is>
      </c>
      <c r="B259" t="inlineStr">
        <is>
          <t>avverkningsanmälan</t>
        </is>
      </c>
      <c r="C259" t="inlineStr">
        <is>
          <t>Föryngringsavverkning</t>
        </is>
      </c>
      <c r="D259" s="1" t="n">
        <v>45649</v>
      </c>
      <c r="E259" s="1" t="n">
        <v>46220</v>
      </c>
      <c r="F259" t="inlineStr">
        <is>
          <t>UPPSALA LÄN</t>
        </is>
      </c>
      <c r="G259" t="inlineStr">
        <is>
          <t>TIERP</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15793-2025</t>
        </is>
      </c>
      <c r="B260" t="inlineStr">
        <is>
          <t>avverkningsanmälan</t>
        </is>
      </c>
      <c r="C260" t="inlineStr">
        <is>
          <t>Föryngringsavverkning</t>
        </is>
      </c>
      <c r="D260" s="1" t="n">
        <v>45748</v>
      </c>
      <c r="E260" s="1" t="n">
        <v>46220</v>
      </c>
      <c r="F260" t="inlineStr">
        <is>
          <t>UPPSALA LÄN</t>
        </is>
      </c>
      <c r="G260" t="inlineStr">
        <is>
          <t>TIERP</t>
        </is>
      </c>
      <c r="I260" t="n">
        <v>8.300000000000001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5995-2023</t>
        </is>
      </c>
      <c r="B261" t="inlineStr">
        <is>
          <t>avverkningsanmälan</t>
        </is>
      </c>
      <c r="C261" t="inlineStr">
        <is>
          <t>Föryngringsavverkning</t>
        </is>
      </c>
      <c r="D261" s="1" t="n">
        <v>44964</v>
      </c>
      <c r="E261" s="1" t="n">
        <v>46220</v>
      </c>
      <c r="F261" t="inlineStr">
        <is>
          <t>UPPSALA LÄN</t>
        </is>
      </c>
      <c r="G261" t="inlineStr">
        <is>
          <t>TIERP</t>
        </is>
      </c>
      <c r="H261" t="inlineStr">
        <is>
          <t>Bergvik skog öst AB</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43121-2025</t>
        </is>
      </c>
      <c r="B262" t="inlineStr">
        <is>
          <t>avverkningsanmälan</t>
        </is>
      </c>
      <c r="C262" t="inlineStr">
        <is>
          <t>Föryngringsavverkning</t>
        </is>
      </c>
      <c r="D262" s="1" t="n">
        <v>45909</v>
      </c>
      <c r="E262" s="1" t="n">
        <v>46220</v>
      </c>
      <c r="F262" t="inlineStr">
        <is>
          <t>UPPSALA LÄN</t>
        </is>
      </c>
      <c r="G262" t="inlineStr">
        <is>
          <t>TIERP</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42688-2025</t>
        </is>
      </c>
      <c r="B263" t="inlineStr">
        <is>
          <t>avverkningsanmälan</t>
        </is>
      </c>
      <c r="C263" t="inlineStr">
        <is>
          <t>Föryngringsavverkning</t>
        </is>
      </c>
      <c r="D263" s="1" t="n">
        <v>45908</v>
      </c>
      <c r="E263" s="1" t="n">
        <v>46220</v>
      </c>
      <c r="F263" t="inlineStr">
        <is>
          <t>UPPSALA LÄN</t>
        </is>
      </c>
      <c r="G263" t="inlineStr">
        <is>
          <t>TIERP</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42695-2025</t>
        </is>
      </c>
      <c r="B264" t="inlineStr">
        <is>
          <t>avverkningsanmälan</t>
        </is>
      </c>
      <c r="C264" t="inlineStr">
        <is>
          <t>Föryngringsavverkning</t>
        </is>
      </c>
      <c r="D264" s="1" t="n">
        <v>45908</v>
      </c>
      <c r="E264" s="1" t="n">
        <v>46220</v>
      </c>
      <c r="F264" t="inlineStr">
        <is>
          <t>UPPSALA LÄN</t>
        </is>
      </c>
      <c r="G264" t="inlineStr">
        <is>
          <t>TIERP</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43222-2025</t>
        </is>
      </c>
      <c r="B265" t="inlineStr">
        <is>
          <t>avverkningsanmälan</t>
        </is>
      </c>
      <c r="C265" t="inlineStr">
        <is>
          <t>Föryngringsavverkning</t>
        </is>
      </c>
      <c r="D265" s="1" t="n">
        <v>45910</v>
      </c>
      <c r="E265" s="1" t="n">
        <v>46220</v>
      </c>
      <c r="F265" t="inlineStr">
        <is>
          <t>UPPSALA LÄN</t>
        </is>
      </c>
      <c r="G265" t="inlineStr">
        <is>
          <t>TIERP</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43525-2025</t>
        </is>
      </c>
      <c r="B266" t="inlineStr">
        <is>
          <t>avverkningsanmälan</t>
        </is>
      </c>
      <c r="C266" t="inlineStr">
        <is>
          <t>Föryngringsavverkning</t>
        </is>
      </c>
      <c r="D266" s="1" t="n">
        <v>45911</v>
      </c>
      <c r="E266" s="1" t="n">
        <v>46220</v>
      </c>
      <c r="F266" t="inlineStr">
        <is>
          <t>UPPSALA LÄN</t>
        </is>
      </c>
      <c r="G266" t="inlineStr">
        <is>
          <t>TIERP</t>
        </is>
      </c>
      <c r="H266" t="inlineStr">
        <is>
          <t>Bergvik skog öst AB</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60314-2024</t>
        </is>
      </c>
      <c r="B267" t="inlineStr">
        <is>
          <t>avverkningsanmälan</t>
        </is>
      </c>
      <c r="C267" t="inlineStr">
        <is>
          <t>Föryngringsavverkning</t>
        </is>
      </c>
      <c r="D267" s="1" t="n">
        <v>45643</v>
      </c>
      <c r="E267" s="1" t="n">
        <v>46220</v>
      </c>
      <c r="F267" t="inlineStr">
        <is>
          <t>UPPSALA LÄN</t>
        </is>
      </c>
      <c r="G267" t="inlineStr">
        <is>
          <t>TIERP</t>
        </is>
      </c>
      <c r="H267" t="inlineStr">
        <is>
          <t>Bergvik skog öst AB</t>
        </is>
      </c>
      <c r="I267" t="n">
        <v>4.4</v>
      </c>
      <c r="J267" t="n">
        <v>0</v>
      </c>
      <c r="K267" t="n">
        <v>0</v>
      </c>
      <c r="L267" t="n">
        <v>0</v>
      </c>
      <c r="M267" t="n">
        <v>0</v>
      </c>
      <c r="N267" t="n">
        <v>0</v>
      </c>
      <c r="O267" t="n">
        <v>0</v>
      </c>
      <c r="P267" t="n">
        <v>0</v>
      </c>
      <c r="Q267" t="n">
        <v>0</v>
      </c>
      <c r="R267" t="n">
        <v>0</v>
      </c>
      <c r="S267" t="n">
        <v>0</v>
      </c>
      <c r="T267" t="n">
        <v>0</v>
      </c>
      <c r="U267" s="2" t="inlineStr"/>
    </row>
    <row r="268" ht="15" customHeight="1">
      <c r="A268" t="inlineStr">
        <is>
          <t>A 37053-2024</t>
        </is>
      </c>
      <c r="B268" t="inlineStr">
        <is>
          <t>avverkningsanmälan</t>
        </is>
      </c>
      <c r="C268" t="inlineStr">
        <is>
          <t>Föryngringsavverkning</t>
        </is>
      </c>
      <c r="D268" s="1" t="n">
        <v>45539</v>
      </c>
      <c r="E268" s="1" t="n">
        <v>46220</v>
      </c>
      <c r="F268" t="inlineStr">
        <is>
          <t>UPPSALA LÄN</t>
        </is>
      </c>
      <c r="G268" t="inlineStr">
        <is>
          <t>TIERP</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31525-2025</t>
        </is>
      </c>
      <c r="B269" t="inlineStr">
        <is>
          <t>avverkningsanmälan</t>
        </is>
      </c>
      <c r="C269" t="inlineStr">
        <is>
          <t>Föryngringsavverkning</t>
        </is>
      </c>
      <c r="D269" s="1" t="n">
        <v>45833</v>
      </c>
      <c r="E269" s="1" t="n">
        <v>46220</v>
      </c>
      <c r="F269" t="inlineStr">
        <is>
          <t>UPPSALA LÄN</t>
        </is>
      </c>
      <c r="G269" t="inlineStr">
        <is>
          <t>TIERP</t>
        </is>
      </c>
      <c r="H269" t="inlineStr">
        <is>
          <t>Bergvik skog öst AB</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44774-2024</t>
        </is>
      </c>
      <c r="B270" t="inlineStr">
        <is>
          <t>avverkningsanmälan</t>
        </is>
      </c>
      <c r="C270" t="inlineStr">
        <is>
          <t>Föryngringsavverkning</t>
        </is>
      </c>
      <c r="D270" s="1" t="n">
        <v>45574</v>
      </c>
      <c r="E270" s="1" t="n">
        <v>46220</v>
      </c>
      <c r="F270" t="inlineStr">
        <is>
          <t>UPPSALA LÄN</t>
        </is>
      </c>
      <c r="G270" t="inlineStr">
        <is>
          <t>TIERP</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31523-2025</t>
        </is>
      </c>
      <c r="B271" t="inlineStr">
        <is>
          <t>avverkningsanmälan</t>
        </is>
      </c>
      <c r="C271" t="inlineStr">
        <is>
          <t>Föryngringsavverkning</t>
        </is>
      </c>
      <c r="D271" s="1" t="n">
        <v>45833</v>
      </c>
      <c r="E271" s="1" t="n">
        <v>46220</v>
      </c>
      <c r="F271" t="inlineStr">
        <is>
          <t>UPPSALA LÄN</t>
        </is>
      </c>
      <c r="G271" t="inlineStr">
        <is>
          <t>TIERP</t>
        </is>
      </c>
      <c r="H271" t="inlineStr">
        <is>
          <t>Bergvik skog öst AB</t>
        </is>
      </c>
      <c r="I271" t="n">
        <v>5.6</v>
      </c>
      <c r="J271" t="n">
        <v>0</v>
      </c>
      <c r="K271" t="n">
        <v>0</v>
      </c>
      <c r="L271" t="n">
        <v>0</v>
      </c>
      <c r="M271" t="n">
        <v>0</v>
      </c>
      <c r="N271" t="n">
        <v>0</v>
      </c>
      <c r="O271" t="n">
        <v>0</v>
      </c>
      <c r="P271" t="n">
        <v>0</v>
      </c>
      <c r="Q271" t="n">
        <v>0</v>
      </c>
      <c r="R271" t="n">
        <v>0</v>
      </c>
      <c r="S271" t="n">
        <v>0</v>
      </c>
      <c r="T271" t="n">
        <v>0</v>
      </c>
      <c r="U271" s="2" t="inlineStr"/>
    </row>
    <row r="272" ht="15" customHeight="1">
      <c r="A272" t="inlineStr">
        <is>
          <t>A 55780-2024</t>
        </is>
      </c>
      <c r="B272" t="inlineStr">
        <is>
          <t>avverkningsanmälan</t>
        </is>
      </c>
      <c r="C272" t="inlineStr">
        <is>
          <t>Föryngringsavverkning</t>
        </is>
      </c>
      <c r="D272" s="1" t="n">
        <v>45623</v>
      </c>
      <c r="E272" s="1" t="n">
        <v>46220</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s="2" t="inlineStr"/>
    </row>
    <row r="273" ht="15" customHeight="1">
      <c r="A273" t="inlineStr">
        <is>
          <t>A 22529-2025</t>
        </is>
      </c>
      <c r="B273" t="inlineStr">
        <is>
          <t>avverkningsanmälan</t>
        </is>
      </c>
      <c r="C273" t="inlineStr">
        <is>
          <t>Föryngringsavverkning</t>
        </is>
      </c>
      <c r="D273" s="1" t="n">
        <v>45786</v>
      </c>
      <c r="E273" s="1" t="n">
        <v>46220</v>
      </c>
      <c r="F273" t="inlineStr">
        <is>
          <t>UPPSALA LÄN</t>
        </is>
      </c>
      <c r="G273" t="inlineStr">
        <is>
          <t>TIERP</t>
        </is>
      </c>
      <c r="H273" t="inlineStr">
        <is>
          <t>Övriga Aktiebolag</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33570-2025</t>
        </is>
      </c>
      <c r="B274" t="inlineStr">
        <is>
          <t>avverkningsanmälan</t>
        </is>
      </c>
      <c r="C274" t="inlineStr">
        <is>
          <t>Föryngringsavverkning</t>
        </is>
      </c>
      <c r="D274" s="1" t="n">
        <v>45841</v>
      </c>
      <c r="E274" s="1" t="n">
        <v>46220</v>
      </c>
      <c r="F274" t="inlineStr">
        <is>
          <t>UPPSALA LÄN</t>
        </is>
      </c>
      <c r="G274" t="inlineStr">
        <is>
          <t>TIERP</t>
        </is>
      </c>
      <c r="H274" t="inlineStr">
        <is>
          <t>Övriga Aktiebolag</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57532-2022</t>
        </is>
      </c>
      <c r="B275" t="inlineStr">
        <is>
          <t>avverkningsanmälan</t>
        </is>
      </c>
      <c r="C275" t="inlineStr">
        <is>
          <t>Föryngringsavverkning</t>
        </is>
      </c>
      <c r="D275" s="1" t="n">
        <v>44896</v>
      </c>
      <c r="E275" s="1" t="n">
        <v>46220</v>
      </c>
      <c r="F275" t="inlineStr">
        <is>
          <t>UPPSALA LÄN</t>
        </is>
      </c>
      <c r="G275" t="inlineStr">
        <is>
          <t>TIERP</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57536-2022</t>
        </is>
      </c>
      <c r="B276" t="inlineStr">
        <is>
          <t>avverkningsanmälan</t>
        </is>
      </c>
      <c r="C276" t="inlineStr">
        <is>
          <t>Föryngringsavverkning</t>
        </is>
      </c>
      <c r="D276" s="1" t="n">
        <v>44896</v>
      </c>
      <c r="E276" s="1" t="n">
        <v>46220</v>
      </c>
      <c r="F276" t="inlineStr">
        <is>
          <t>UPPSALA LÄN</t>
        </is>
      </c>
      <c r="G276" t="inlineStr">
        <is>
          <t>TIERP</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73-2023</t>
        </is>
      </c>
      <c r="B277" t="inlineStr">
        <is>
          <t>avverkningsanmälan</t>
        </is>
      </c>
      <c r="C277" t="inlineStr">
        <is>
          <t>Föryngringsavverkning</t>
        </is>
      </c>
      <c r="D277" s="1" t="n">
        <v>44928</v>
      </c>
      <c r="E277" s="1" t="n">
        <v>46220</v>
      </c>
      <c r="F277" t="inlineStr">
        <is>
          <t>UPPSALA LÄN</t>
        </is>
      </c>
      <c r="G277" t="inlineStr">
        <is>
          <t>TIERP</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4329-2023</t>
        </is>
      </c>
      <c r="B278" t="inlineStr">
        <is>
          <t>avverkningsanmälan</t>
        </is>
      </c>
      <c r="C278" t="inlineStr">
        <is>
          <t>Föryngringsavverkning</t>
        </is>
      </c>
      <c r="D278" s="1" t="n">
        <v>44953</v>
      </c>
      <c r="E278" s="1" t="n">
        <v>46220</v>
      </c>
      <c r="F278" t="inlineStr">
        <is>
          <t>UPPSALA LÄN</t>
        </is>
      </c>
      <c r="G278" t="inlineStr">
        <is>
          <t>TIERP</t>
        </is>
      </c>
      <c r="I278" t="n">
        <v>4.9</v>
      </c>
      <c r="J278" t="n">
        <v>0</v>
      </c>
      <c r="K278" t="n">
        <v>0</v>
      </c>
      <c r="L278" t="n">
        <v>0</v>
      </c>
      <c r="M278" t="n">
        <v>0</v>
      </c>
      <c r="N278" t="n">
        <v>0</v>
      </c>
      <c r="O278" t="n">
        <v>0</v>
      </c>
      <c r="P278" t="n">
        <v>0</v>
      </c>
      <c r="Q278" t="n">
        <v>0</v>
      </c>
      <c r="R278" t="n">
        <v>0</v>
      </c>
      <c r="S278" t="n">
        <v>0</v>
      </c>
      <c r="T278" t="n">
        <v>0</v>
      </c>
      <c r="U278" s="2" t="inlineStr"/>
    </row>
    <row r="279" ht="15" customHeight="1">
      <c r="A279" t="inlineStr">
        <is>
          <t>A 44659-2025</t>
        </is>
      </c>
      <c r="B279" t="inlineStr">
        <is>
          <t>avverkningsanmälan</t>
        </is>
      </c>
      <c r="C279" t="inlineStr">
        <is>
          <t>Föryngringsavverkning</t>
        </is>
      </c>
      <c r="D279" s="1" t="n">
        <v>45917</v>
      </c>
      <c r="E279" s="1" t="n">
        <v>46220</v>
      </c>
      <c r="F279" t="inlineStr">
        <is>
          <t>UPPSALA LÄN</t>
        </is>
      </c>
      <c r="G279" t="inlineStr">
        <is>
          <t>TIERP</t>
        </is>
      </c>
      <c r="H279" t="inlineStr">
        <is>
          <t>Bergvik skog väst AB</t>
        </is>
      </c>
      <c r="I279" t="n">
        <v>12.2</v>
      </c>
      <c r="J279" t="n">
        <v>0</v>
      </c>
      <c r="K279" t="n">
        <v>0</v>
      </c>
      <c r="L279" t="n">
        <v>0</v>
      </c>
      <c r="M279" t="n">
        <v>0</v>
      </c>
      <c r="N279" t="n">
        <v>0</v>
      </c>
      <c r="O279" t="n">
        <v>0</v>
      </c>
      <c r="P279" t="n">
        <v>0</v>
      </c>
      <c r="Q279" t="n">
        <v>0</v>
      </c>
      <c r="R279" t="n">
        <v>0</v>
      </c>
      <c r="S279" t="n">
        <v>0</v>
      </c>
      <c r="T279" t="n">
        <v>0</v>
      </c>
      <c r="U279" s="2" t="inlineStr"/>
    </row>
    <row r="280" ht="15" customHeight="1">
      <c r="A280" t="inlineStr">
        <is>
          <t>A 35196-2025</t>
        </is>
      </c>
      <c r="B280" t="inlineStr">
        <is>
          <t>avverkningsanmälan</t>
        </is>
      </c>
      <c r="C280" t="inlineStr">
        <is>
          <t>Avverkning för annat ändamål</t>
        </is>
      </c>
      <c r="D280" s="1" t="n">
        <v>45853</v>
      </c>
      <c r="E280" s="1" t="n">
        <v>46220</v>
      </c>
      <c r="F280" t="inlineStr">
        <is>
          <t>UPPSALA LÄN</t>
        </is>
      </c>
      <c r="G280" t="inlineStr">
        <is>
          <t>TIERP</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44675-2025</t>
        </is>
      </c>
      <c r="B281" t="inlineStr">
        <is>
          <t>avverkningsanmälan</t>
        </is>
      </c>
      <c r="C281" t="inlineStr">
        <is>
          <t>Föryngringsavverkning</t>
        </is>
      </c>
      <c r="D281" s="1" t="n">
        <v>45917</v>
      </c>
      <c r="E281" s="1" t="n">
        <v>46220</v>
      </c>
      <c r="F281" t="inlineStr">
        <is>
          <t>UPPSALA LÄN</t>
        </is>
      </c>
      <c r="G281" t="inlineStr">
        <is>
          <t>TIERP</t>
        </is>
      </c>
      <c r="H281" t="inlineStr">
        <is>
          <t>Bergvik skog väst AB</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34044-2025</t>
        </is>
      </c>
      <c r="B282" t="inlineStr">
        <is>
          <t>avverkningsanmälan</t>
        </is>
      </c>
      <c r="C282" t="inlineStr">
        <is>
          <t>Föryngringsavverkning</t>
        </is>
      </c>
      <c r="D282" s="1" t="n">
        <v>45845</v>
      </c>
      <c r="E282" s="1" t="n">
        <v>46220</v>
      </c>
      <c r="F282" t="inlineStr">
        <is>
          <t>UPPSALA LÄN</t>
        </is>
      </c>
      <c r="G282" t="inlineStr">
        <is>
          <t>TIERP</t>
        </is>
      </c>
      <c r="H282" t="inlineStr">
        <is>
          <t>Övriga Aktiebolag</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30125-2024</t>
        </is>
      </c>
      <c r="B283" t="inlineStr">
        <is>
          <t>avverkningsanmälan</t>
        </is>
      </c>
      <c r="C283" t="inlineStr">
        <is>
          <t>Föryngringsavverkning</t>
        </is>
      </c>
      <c r="D283" s="1" t="n">
        <v>45489</v>
      </c>
      <c r="E283" s="1" t="n">
        <v>46220</v>
      </c>
      <c r="F283" t="inlineStr">
        <is>
          <t>UPPSALA LÄN</t>
        </is>
      </c>
      <c r="G283" t="inlineStr">
        <is>
          <t>TIERP</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43874-2025</t>
        </is>
      </c>
      <c r="B284" t="inlineStr">
        <is>
          <t>avverkningsanmälan</t>
        </is>
      </c>
      <c r="C284" t="inlineStr">
        <is>
          <t>Föryngringsavverkning</t>
        </is>
      </c>
      <c r="D284" s="1" t="n">
        <v>45912</v>
      </c>
      <c r="E284" s="1" t="n">
        <v>46220</v>
      </c>
      <c r="F284" t="inlineStr">
        <is>
          <t>UPPSALA LÄN</t>
        </is>
      </c>
      <c r="G284" t="inlineStr">
        <is>
          <t>TIERP</t>
        </is>
      </c>
      <c r="I284" t="n">
        <v>0.4</v>
      </c>
      <c r="J284" t="n">
        <v>0</v>
      </c>
      <c r="K284" t="n">
        <v>0</v>
      </c>
      <c r="L284" t="n">
        <v>0</v>
      </c>
      <c r="M284" t="n">
        <v>0</v>
      </c>
      <c r="N284" t="n">
        <v>0</v>
      </c>
      <c r="O284" t="n">
        <v>0</v>
      </c>
      <c r="P284" t="n">
        <v>0</v>
      </c>
      <c r="Q284" t="n">
        <v>0</v>
      </c>
      <c r="R284" t="n">
        <v>0</v>
      </c>
      <c r="S284" t="n">
        <v>0</v>
      </c>
      <c r="T284" t="n">
        <v>0</v>
      </c>
      <c r="U284" s="2" t="inlineStr"/>
    </row>
    <row r="285" ht="15" customHeight="1">
      <c r="A285" t="inlineStr">
        <is>
          <t>A 30110-2024</t>
        </is>
      </c>
      <c r="B285" t="inlineStr">
        <is>
          <t>avverkningsanmälan</t>
        </is>
      </c>
      <c r="C285" t="inlineStr">
        <is>
          <t>Föryngringsavverkning</t>
        </is>
      </c>
      <c r="D285" s="1" t="n">
        <v>45489</v>
      </c>
      <c r="E285" s="1" t="n">
        <v>46220</v>
      </c>
      <c r="F285" t="inlineStr">
        <is>
          <t>UPPSALA LÄN</t>
        </is>
      </c>
      <c r="G285" t="inlineStr">
        <is>
          <t>TIERP</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22672-2023</t>
        </is>
      </c>
      <c r="B286" t="inlineStr">
        <is>
          <t>avverkningsanmälan</t>
        </is>
      </c>
      <c r="C286" t="inlineStr">
        <is>
          <t>Föryngringsavverkning</t>
        </is>
      </c>
      <c r="D286" s="1" t="n">
        <v>45071</v>
      </c>
      <c r="E286" s="1" t="n">
        <v>46220</v>
      </c>
      <c r="F286" t="inlineStr">
        <is>
          <t>UPPSALA LÄN</t>
        </is>
      </c>
      <c r="G286" t="inlineStr">
        <is>
          <t>TIERP</t>
        </is>
      </c>
      <c r="I286" t="n">
        <v>1.5</v>
      </c>
      <c r="J286" t="n">
        <v>0</v>
      </c>
      <c r="K286" t="n">
        <v>0</v>
      </c>
      <c r="L286" t="n">
        <v>0</v>
      </c>
      <c r="M286" t="n">
        <v>0</v>
      </c>
      <c r="N286" t="n">
        <v>0</v>
      </c>
      <c r="O286" t="n">
        <v>0</v>
      </c>
      <c r="P286" t="n">
        <v>0</v>
      </c>
      <c r="Q286" t="n">
        <v>0</v>
      </c>
      <c r="R286" t="n">
        <v>0</v>
      </c>
      <c r="S286" t="n">
        <v>0</v>
      </c>
      <c r="T286" t="n">
        <v>0</v>
      </c>
      <c r="U286" s="2" t="inlineStr"/>
    </row>
    <row r="287" ht="15" customHeight="1">
      <c r="A287" t="inlineStr">
        <is>
          <t>A 2406-2026</t>
        </is>
      </c>
      <c r="B287" t="inlineStr">
        <is>
          <t>avverkningsanmälan</t>
        </is>
      </c>
      <c r="C287" t="inlineStr">
        <is>
          <t>Föryngringsavverkning</t>
        </is>
      </c>
      <c r="D287" s="1" t="n">
        <v>46036</v>
      </c>
      <c r="E287" s="1" t="n">
        <v>46220</v>
      </c>
      <c r="F287" t="inlineStr">
        <is>
          <t>UPPSALA LÄN</t>
        </is>
      </c>
      <c r="G287" t="inlineStr">
        <is>
          <t>TIERP</t>
        </is>
      </c>
      <c r="H287" t="inlineStr">
        <is>
          <t>Bergvik skog väst AB</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47505-2024</t>
        </is>
      </c>
      <c r="B288" t="inlineStr">
        <is>
          <t>avverkningsanmälan</t>
        </is>
      </c>
      <c r="C288" t="inlineStr">
        <is>
          <t>Föryngringsavverkning</t>
        </is>
      </c>
      <c r="D288" s="1" t="n">
        <v>45587</v>
      </c>
      <c r="E288" s="1" t="n">
        <v>46220</v>
      </c>
      <c r="F288" t="inlineStr">
        <is>
          <t>UPPSALA LÄN</t>
        </is>
      </c>
      <c r="G288" t="inlineStr">
        <is>
          <t>TIERP</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43873-2025</t>
        </is>
      </c>
      <c r="B289" t="inlineStr">
        <is>
          <t>avverkningsanmälan</t>
        </is>
      </c>
      <c r="C289" t="inlineStr">
        <is>
          <t>Föryngringsavverkning</t>
        </is>
      </c>
      <c r="D289" s="1" t="n">
        <v>45912</v>
      </c>
      <c r="E289" s="1" t="n">
        <v>46220</v>
      </c>
      <c r="F289" t="inlineStr">
        <is>
          <t>UPPSALA LÄN</t>
        </is>
      </c>
      <c r="G289" t="inlineStr">
        <is>
          <t>TIERP</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1056-2025</t>
        </is>
      </c>
      <c r="B290" t="inlineStr">
        <is>
          <t>avverkningsanmälan</t>
        </is>
      </c>
      <c r="C290" t="inlineStr">
        <is>
          <t>Föryngringsavverkning</t>
        </is>
      </c>
      <c r="D290" s="1" t="n">
        <v>45666</v>
      </c>
      <c r="E290" s="1" t="n">
        <v>46220</v>
      </c>
      <c r="F290" t="inlineStr">
        <is>
          <t>UPPSALA LÄN</t>
        </is>
      </c>
      <c r="G290" t="inlineStr">
        <is>
          <t>TIERP</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22528-2025</t>
        </is>
      </c>
      <c r="B291" t="inlineStr">
        <is>
          <t>avverkningsanmälan</t>
        </is>
      </c>
      <c r="C291" t="inlineStr">
        <is>
          <t>Föryngringsavverkning</t>
        </is>
      </c>
      <c r="D291" s="1" t="n">
        <v>45786</v>
      </c>
      <c r="E291" s="1" t="n">
        <v>46220</v>
      </c>
      <c r="F291" t="inlineStr">
        <is>
          <t>UPPSALA LÄN</t>
        </is>
      </c>
      <c r="G291" t="inlineStr">
        <is>
          <t>TIERP</t>
        </is>
      </c>
      <c r="H291" t="inlineStr">
        <is>
          <t>Övriga Aktiebolag</t>
        </is>
      </c>
      <c r="I291" t="n">
        <v>7.7</v>
      </c>
      <c r="J291" t="n">
        <v>0</v>
      </c>
      <c r="K291" t="n">
        <v>0</v>
      </c>
      <c r="L291" t="n">
        <v>0</v>
      </c>
      <c r="M291" t="n">
        <v>0</v>
      </c>
      <c r="N291" t="n">
        <v>0</v>
      </c>
      <c r="O291" t="n">
        <v>0</v>
      </c>
      <c r="P291" t="n">
        <v>0</v>
      </c>
      <c r="Q291" t="n">
        <v>0</v>
      </c>
      <c r="R291" t="n">
        <v>0</v>
      </c>
      <c r="S291" t="n">
        <v>0</v>
      </c>
      <c r="T291" t="n">
        <v>0</v>
      </c>
      <c r="U291" s="2" t="inlineStr"/>
    </row>
    <row r="292" ht="15" customHeight="1">
      <c r="A292" t="inlineStr">
        <is>
          <t>A 35195-2025</t>
        </is>
      </c>
      <c r="B292" t="inlineStr">
        <is>
          <t>avverkningsanmälan</t>
        </is>
      </c>
      <c r="C292" t="inlineStr">
        <is>
          <t>Föryngringsavverkning</t>
        </is>
      </c>
      <c r="D292" s="1" t="n">
        <v>45853</v>
      </c>
      <c r="E292" s="1" t="n">
        <v>46220</v>
      </c>
      <c r="F292" t="inlineStr">
        <is>
          <t>UPPSALA LÄN</t>
        </is>
      </c>
      <c r="G292" t="inlineStr">
        <is>
          <t>TIERP</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1384-2023</t>
        </is>
      </c>
      <c r="B293" t="inlineStr">
        <is>
          <t>avverkningsanmälan</t>
        </is>
      </c>
      <c r="C293" t="inlineStr">
        <is>
          <t>Föryngringsavverkning</t>
        </is>
      </c>
      <c r="D293" s="1" t="n">
        <v>44936</v>
      </c>
      <c r="E293" s="1" t="n">
        <v>46220</v>
      </c>
      <c r="F293" t="inlineStr">
        <is>
          <t>UPPSALA LÄN</t>
        </is>
      </c>
      <c r="G293" t="inlineStr">
        <is>
          <t>TIERP</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44612-2025</t>
        </is>
      </c>
      <c r="B294" t="inlineStr">
        <is>
          <t>avverkningsanmälan</t>
        </is>
      </c>
      <c r="C294" t="inlineStr">
        <is>
          <t>Föryngringsavverkning</t>
        </is>
      </c>
      <c r="D294" s="1" t="n">
        <v>45917</v>
      </c>
      <c r="E294" s="1" t="n">
        <v>46220</v>
      </c>
      <c r="F294" t="inlineStr">
        <is>
          <t>UPPSALA LÄN</t>
        </is>
      </c>
      <c r="G294" t="inlineStr">
        <is>
          <t>TIERP</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38464-2023</t>
        </is>
      </c>
      <c r="B295" t="inlineStr">
        <is>
          <t>avverkningsanmälan</t>
        </is>
      </c>
      <c r="C295" t="inlineStr">
        <is>
          <t>Föryngringsavverkning</t>
        </is>
      </c>
      <c r="D295" s="1" t="n">
        <v>45162</v>
      </c>
      <c r="E295" s="1" t="n">
        <v>46220</v>
      </c>
      <c r="F295" t="inlineStr">
        <is>
          <t>UPPSALA LÄN</t>
        </is>
      </c>
      <c r="G295" t="inlineStr">
        <is>
          <t>TIERP</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55816-2024</t>
        </is>
      </c>
      <c r="B296" t="inlineStr">
        <is>
          <t>avverkningsanmälan</t>
        </is>
      </c>
      <c r="C296" t="inlineStr">
        <is>
          <t>Föryngringsavverkning</t>
        </is>
      </c>
      <c r="D296" s="1" t="n">
        <v>45623</v>
      </c>
      <c r="E296" s="1" t="n">
        <v>46220</v>
      </c>
      <c r="F296" t="inlineStr">
        <is>
          <t>UPPSALA LÄN</t>
        </is>
      </c>
      <c r="G296" t="inlineStr">
        <is>
          <t>TIERP</t>
        </is>
      </c>
      <c r="I296" t="n">
        <v>5.2</v>
      </c>
      <c r="J296" t="n">
        <v>0</v>
      </c>
      <c r="K296" t="n">
        <v>0</v>
      </c>
      <c r="L296" t="n">
        <v>0</v>
      </c>
      <c r="M296" t="n">
        <v>0</v>
      </c>
      <c r="N296" t="n">
        <v>0</v>
      </c>
      <c r="O296" t="n">
        <v>0</v>
      </c>
      <c r="P296" t="n">
        <v>0</v>
      </c>
      <c r="Q296" t="n">
        <v>0</v>
      </c>
      <c r="R296" t="n">
        <v>0</v>
      </c>
      <c r="S296" t="n">
        <v>0</v>
      </c>
      <c r="T296" t="n">
        <v>0</v>
      </c>
      <c r="U296" s="2" t="inlineStr"/>
    </row>
    <row r="297" ht="15" customHeight="1">
      <c r="A297" t="inlineStr">
        <is>
          <t>A 45308-2025</t>
        </is>
      </c>
      <c r="B297" t="inlineStr">
        <is>
          <t>avverkningsanmälan</t>
        </is>
      </c>
      <c r="C297" t="inlineStr">
        <is>
          <t>Föryngringsavverkning</t>
        </is>
      </c>
      <c r="D297" s="1" t="n">
        <v>45921</v>
      </c>
      <c r="E297" s="1" t="n">
        <v>46220</v>
      </c>
      <c r="F297" t="inlineStr">
        <is>
          <t>UPPSALA LÄN</t>
        </is>
      </c>
      <c r="G297" t="inlineStr">
        <is>
          <t>TIERP</t>
        </is>
      </c>
      <c r="H297" t="inlineStr">
        <is>
          <t>Bergvik skog väst AB</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45449-2025</t>
        </is>
      </c>
      <c r="B298" t="inlineStr">
        <is>
          <t>avverkningsanmälan</t>
        </is>
      </c>
      <c r="C298" t="inlineStr">
        <is>
          <t>Föryngringsavverkning</t>
        </is>
      </c>
      <c r="D298" s="1" t="n">
        <v>45922</v>
      </c>
      <c r="E298" s="1" t="n">
        <v>46220</v>
      </c>
      <c r="F298" t="inlineStr">
        <is>
          <t>UPPSALA LÄN</t>
        </is>
      </c>
      <c r="G298" t="inlineStr">
        <is>
          <t>TIERP</t>
        </is>
      </c>
      <c r="I298" t="n">
        <v>3.2</v>
      </c>
      <c r="J298" t="n">
        <v>0</v>
      </c>
      <c r="K298" t="n">
        <v>0</v>
      </c>
      <c r="L298" t="n">
        <v>0</v>
      </c>
      <c r="M298" t="n">
        <v>0</v>
      </c>
      <c r="N298" t="n">
        <v>0</v>
      </c>
      <c r="O298" t="n">
        <v>0</v>
      </c>
      <c r="P298" t="n">
        <v>0</v>
      </c>
      <c r="Q298" t="n">
        <v>0</v>
      </c>
      <c r="R298" t="n">
        <v>0</v>
      </c>
      <c r="S298" t="n">
        <v>0</v>
      </c>
      <c r="T298" t="n">
        <v>0</v>
      </c>
      <c r="U298" s="2" t="inlineStr"/>
    </row>
    <row r="299" ht="15" customHeight="1">
      <c r="A299" t="inlineStr">
        <is>
          <t>A 45460-2025</t>
        </is>
      </c>
      <c r="B299" t="inlineStr">
        <is>
          <t>avverkningsanmälan</t>
        </is>
      </c>
      <c r="C299" t="inlineStr">
        <is>
          <t>Föryngringsavverkning</t>
        </is>
      </c>
      <c r="D299" s="1" t="n">
        <v>45922</v>
      </c>
      <c r="E299" s="1" t="n">
        <v>46220</v>
      </c>
      <c r="F299" t="inlineStr">
        <is>
          <t>UPPSALA LÄN</t>
        </is>
      </c>
      <c r="G299" t="inlineStr">
        <is>
          <t>TIERP</t>
        </is>
      </c>
      <c r="I299" t="n">
        <v>4.2</v>
      </c>
      <c r="J299" t="n">
        <v>0</v>
      </c>
      <c r="K299" t="n">
        <v>0</v>
      </c>
      <c r="L299" t="n">
        <v>0</v>
      </c>
      <c r="M299" t="n">
        <v>0</v>
      </c>
      <c r="N299" t="n">
        <v>0</v>
      </c>
      <c r="O299" t="n">
        <v>0</v>
      </c>
      <c r="P299" t="n">
        <v>0</v>
      </c>
      <c r="Q299" t="n">
        <v>0</v>
      </c>
      <c r="R299" t="n">
        <v>0</v>
      </c>
      <c r="S299" t="n">
        <v>0</v>
      </c>
      <c r="T299" t="n">
        <v>0</v>
      </c>
      <c r="U299" s="2" t="inlineStr"/>
    </row>
    <row r="300" ht="15" customHeight="1">
      <c r="A300" t="inlineStr">
        <is>
          <t>A 45311-2025</t>
        </is>
      </c>
      <c r="B300" t="inlineStr">
        <is>
          <t>avverkningsanmälan</t>
        </is>
      </c>
      <c r="C300" t="inlineStr">
        <is>
          <t>Föryngringsavverkning</t>
        </is>
      </c>
      <c r="D300" s="1" t="n">
        <v>45921</v>
      </c>
      <c r="E300" s="1" t="n">
        <v>46220</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45328-2025</t>
        </is>
      </c>
      <c r="B301" t="inlineStr">
        <is>
          <t>avverkningsanmälan</t>
        </is>
      </c>
      <c r="C301" t="inlineStr">
        <is>
          <t>Föryngringsavverkning</t>
        </is>
      </c>
      <c r="D301" s="1" t="n">
        <v>45922</v>
      </c>
      <c r="E301" s="1" t="n">
        <v>46220</v>
      </c>
      <c r="F301" t="inlineStr">
        <is>
          <t>UPPSALA LÄN</t>
        </is>
      </c>
      <c r="G301" t="inlineStr">
        <is>
          <t>TIERP</t>
        </is>
      </c>
      <c r="I301" t="n">
        <v>0.9</v>
      </c>
      <c r="J301" t="n">
        <v>0</v>
      </c>
      <c r="K301" t="n">
        <v>0</v>
      </c>
      <c r="L301" t="n">
        <v>0</v>
      </c>
      <c r="M301" t="n">
        <v>0</v>
      </c>
      <c r="N301" t="n">
        <v>0</v>
      </c>
      <c r="O301" t="n">
        <v>0</v>
      </c>
      <c r="P301" t="n">
        <v>0</v>
      </c>
      <c r="Q301" t="n">
        <v>0</v>
      </c>
      <c r="R301" t="n">
        <v>0</v>
      </c>
      <c r="S301" t="n">
        <v>0</v>
      </c>
      <c r="T301" t="n">
        <v>0</v>
      </c>
      <c r="U301" s="2" t="inlineStr"/>
    </row>
    <row r="302" ht="15" customHeight="1">
      <c r="A302" t="inlineStr">
        <is>
          <t>A 7068-2022</t>
        </is>
      </c>
      <c r="B302" t="inlineStr">
        <is>
          <t>avverkningsanmälan</t>
        </is>
      </c>
      <c r="C302" t="inlineStr">
        <is>
          <t>Föryngringsavverkning</t>
        </is>
      </c>
      <c r="D302" s="1" t="n">
        <v>44603</v>
      </c>
      <c r="E302" s="1" t="n">
        <v>46220</v>
      </c>
      <c r="F302" t="inlineStr">
        <is>
          <t>UPPSALA LÄN</t>
        </is>
      </c>
      <c r="G302" t="inlineStr">
        <is>
          <t>TIERP</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11529-2022</t>
        </is>
      </c>
      <c r="B303" t="inlineStr">
        <is>
          <t>avverkningsanmälan</t>
        </is>
      </c>
      <c r="C303" t="inlineStr">
        <is>
          <t>Föryngringsavverkning</t>
        </is>
      </c>
      <c r="D303" s="1" t="n">
        <v>44631</v>
      </c>
      <c r="E303" s="1" t="n">
        <v>46220</v>
      </c>
      <c r="F303" t="inlineStr">
        <is>
          <t>UPPSALA LÄN</t>
        </is>
      </c>
      <c r="G303" t="inlineStr">
        <is>
          <t>TIERP</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48403-2022</t>
        </is>
      </c>
      <c r="B304" t="inlineStr">
        <is>
          <t>avverkningsanmälan</t>
        </is>
      </c>
      <c r="C304" t="inlineStr">
        <is>
          <t>Föryngringsavverkning</t>
        </is>
      </c>
      <c r="D304" s="1" t="n">
        <v>44858</v>
      </c>
      <c r="E304" s="1" t="n">
        <v>46220</v>
      </c>
      <c r="F304" t="inlineStr">
        <is>
          <t>UPPSALA LÄN</t>
        </is>
      </c>
      <c r="G304" t="inlineStr">
        <is>
          <t>TIERP</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15574-2024</t>
        </is>
      </c>
      <c r="B305" t="inlineStr">
        <is>
          <t>avverkningsanmälan</t>
        </is>
      </c>
      <c r="C305" t="inlineStr">
        <is>
          <t>Föryngringsavverkning</t>
        </is>
      </c>
      <c r="D305" s="1" t="n">
        <v>45401</v>
      </c>
      <c r="E305" s="1" t="n">
        <v>46220</v>
      </c>
      <c r="F305" t="inlineStr">
        <is>
          <t>UPPSALA LÄN</t>
        </is>
      </c>
      <c r="G305" t="inlineStr">
        <is>
          <t>TIERP</t>
        </is>
      </c>
      <c r="H305" t="inlineStr">
        <is>
          <t>Bergvik skog väst AB</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46842-2025</t>
        </is>
      </c>
      <c r="B306" t="inlineStr">
        <is>
          <t>avverkningsanmälan</t>
        </is>
      </c>
      <c r="C306" t="inlineStr">
        <is>
          <t>Föryngringsavverkning</t>
        </is>
      </c>
      <c r="D306" s="1" t="n">
        <v>45928</v>
      </c>
      <c r="E306" s="1" t="n">
        <v>46220</v>
      </c>
      <c r="F306" t="inlineStr">
        <is>
          <t>UPPSALA LÄN</t>
        </is>
      </c>
      <c r="G306" t="inlineStr">
        <is>
          <t>TIERP</t>
        </is>
      </c>
      <c r="H306" t="inlineStr">
        <is>
          <t>Bergvik skog väst AB</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35011-2025</t>
        </is>
      </c>
      <c r="B307" t="inlineStr">
        <is>
          <t>avverkningsanmälan</t>
        </is>
      </c>
      <c r="C307" t="inlineStr">
        <is>
          <t>Föryngringsavverkning</t>
        </is>
      </c>
      <c r="D307" s="1" t="n">
        <v>45851</v>
      </c>
      <c r="E307" s="1" t="n">
        <v>46220</v>
      </c>
      <c r="F307" t="inlineStr">
        <is>
          <t>UPPSALA LÄN</t>
        </is>
      </c>
      <c r="G307" t="inlineStr">
        <is>
          <t>TIERP</t>
        </is>
      </c>
      <c r="H307" t="inlineStr">
        <is>
          <t>Bergvik skog väst AB</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27269-2025</t>
        </is>
      </c>
      <c r="B308" t="inlineStr">
        <is>
          <t>avverkningsanmälan</t>
        </is>
      </c>
      <c r="C308" t="inlineStr">
        <is>
          <t>Föryngringsavverkning</t>
        </is>
      </c>
      <c r="D308" s="1" t="n">
        <v>45812</v>
      </c>
      <c r="E308" s="1" t="n">
        <v>46220</v>
      </c>
      <c r="F308" t="inlineStr">
        <is>
          <t>UPPSALA LÄN</t>
        </is>
      </c>
      <c r="G308" t="inlineStr">
        <is>
          <t>TIERP</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35108-2025</t>
        </is>
      </c>
      <c r="B309" t="inlineStr">
        <is>
          <t>avverkningsanmälan</t>
        </is>
      </c>
      <c r="C309" t="inlineStr">
        <is>
          <t>Föryngringsavverkning</t>
        </is>
      </c>
      <c r="D309" s="1" t="n">
        <v>45852</v>
      </c>
      <c r="E309" s="1" t="n">
        <v>46220</v>
      </c>
      <c r="F309" t="inlineStr">
        <is>
          <t>UPPSALA LÄN</t>
        </is>
      </c>
      <c r="G309" t="inlineStr">
        <is>
          <t>TIERP</t>
        </is>
      </c>
      <c r="H309" t="inlineStr">
        <is>
          <t>Bergvik skog väst AB</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35012-2025</t>
        </is>
      </c>
      <c r="B310" t="inlineStr">
        <is>
          <t>avverkningsanmälan</t>
        </is>
      </c>
      <c r="C310" t="inlineStr">
        <is>
          <t>Föryngringsavverkning</t>
        </is>
      </c>
      <c r="D310" s="1" t="n">
        <v>45851</v>
      </c>
      <c r="E310" s="1" t="n">
        <v>46220</v>
      </c>
      <c r="F310" t="inlineStr">
        <is>
          <t>UPPSALA LÄN</t>
        </is>
      </c>
      <c r="G310" t="inlineStr">
        <is>
          <t>TIERP</t>
        </is>
      </c>
      <c r="H310" t="inlineStr">
        <is>
          <t>Bergvik skog väst AB</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35013-2025</t>
        </is>
      </c>
      <c r="B311" t="inlineStr">
        <is>
          <t>avverkningsanmälan</t>
        </is>
      </c>
      <c r="C311" t="inlineStr">
        <is>
          <t>Föryngringsavverkning</t>
        </is>
      </c>
      <c r="D311" s="1" t="n">
        <v>45851</v>
      </c>
      <c r="E311" s="1" t="n">
        <v>46220</v>
      </c>
      <c r="F311" t="inlineStr">
        <is>
          <t>UPPSALA LÄN</t>
        </is>
      </c>
      <c r="G311" t="inlineStr">
        <is>
          <t>TIERP</t>
        </is>
      </c>
      <c r="H311" t="inlineStr">
        <is>
          <t>Bergvik skog väst AB</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46644-2025</t>
        </is>
      </c>
      <c r="B312" t="inlineStr">
        <is>
          <t>avverkningsanmälan</t>
        </is>
      </c>
      <c r="C312" t="inlineStr">
        <is>
          <t>Föryngringsavverkning</t>
        </is>
      </c>
      <c r="D312" s="1" t="n">
        <v>45926</v>
      </c>
      <c r="E312" s="1" t="n">
        <v>46220</v>
      </c>
      <c r="F312" t="inlineStr">
        <is>
          <t>UPPSALA LÄN</t>
        </is>
      </c>
      <c r="G312" t="inlineStr">
        <is>
          <t>TIERP</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2899-2023</t>
        </is>
      </c>
      <c r="B313" t="inlineStr">
        <is>
          <t>avverkningsanmälan</t>
        </is>
      </c>
      <c r="C313" t="inlineStr">
        <is>
          <t>Föryngringsavverkning</t>
        </is>
      </c>
      <c r="D313" s="1" t="n">
        <v>44945</v>
      </c>
      <c r="E313" s="1" t="n">
        <v>46220</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22135-2025</t>
        </is>
      </c>
      <c r="B314" t="inlineStr">
        <is>
          <t>avverkningsanmälan</t>
        </is>
      </c>
      <c r="C314" t="inlineStr">
        <is>
          <t>Föryngringsavverkning</t>
        </is>
      </c>
      <c r="D314" s="1" t="n">
        <v>45785</v>
      </c>
      <c r="E314" s="1" t="n">
        <v>46220</v>
      </c>
      <c r="F314" t="inlineStr">
        <is>
          <t>UPPSALA LÄN</t>
        </is>
      </c>
      <c r="G314" t="inlineStr">
        <is>
          <t>TIERP</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16631-2023</t>
        </is>
      </c>
      <c r="B315" t="inlineStr">
        <is>
          <t>avverkningsanmälan</t>
        </is>
      </c>
      <c r="C315" t="inlineStr">
        <is>
          <t>Avverkning för annat ändamål</t>
        </is>
      </c>
      <c r="D315" s="1" t="n">
        <v>45030</v>
      </c>
      <c r="E315" s="1" t="n">
        <v>46220</v>
      </c>
      <c r="F315" t="inlineStr">
        <is>
          <t>UPPSALA LÄN</t>
        </is>
      </c>
      <c r="G315" t="inlineStr">
        <is>
          <t>TIERP</t>
        </is>
      </c>
      <c r="H315" t="inlineStr">
        <is>
          <t>Bergvik skog väst AB</t>
        </is>
      </c>
      <c r="I315" t="n">
        <v>0.3</v>
      </c>
      <c r="J315" t="n">
        <v>0</v>
      </c>
      <c r="K315" t="n">
        <v>0</v>
      </c>
      <c r="L315" t="n">
        <v>0</v>
      </c>
      <c r="M315" t="n">
        <v>0</v>
      </c>
      <c r="N315" t="n">
        <v>0</v>
      </c>
      <c r="O315" t="n">
        <v>0</v>
      </c>
      <c r="P315" t="n">
        <v>0</v>
      </c>
      <c r="Q315" t="n">
        <v>0</v>
      </c>
      <c r="R315" t="n">
        <v>0</v>
      </c>
      <c r="S315" t="n">
        <v>0</v>
      </c>
      <c r="T315" t="n">
        <v>0</v>
      </c>
      <c r="U315" s="2" t="inlineStr"/>
    </row>
    <row r="316" ht="15" customHeight="1">
      <c r="A316" t="inlineStr">
        <is>
          <t>A 26161-2022</t>
        </is>
      </c>
      <c r="B316" t="inlineStr">
        <is>
          <t>avverkningsanmälan</t>
        </is>
      </c>
      <c r="C316" t="inlineStr">
        <is>
          <t>Föryngringsavverkning</t>
        </is>
      </c>
      <c r="D316" s="1" t="n">
        <v>44735</v>
      </c>
      <c r="E316" s="1" t="n">
        <v>46220</v>
      </c>
      <c r="F316" t="inlineStr">
        <is>
          <t>UPPSALA LÄN</t>
        </is>
      </c>
      <c r="G316" t="inlineStr">
        <is>
          <t>TIERP</t>
        </is>
      </c>
      <c r="I316" t="n">
        <v>5</v>
      </c>
      <c r="J316" t="n">
        <v>0</v>
      </c>
      <c r="K316" t="n">
        <v>0</v>
      </c>
      <c r="L316" t="n">
        <v>0</v>
      </c>
      <c r="M316" t="n">
        <v>0</v>
      </c>
      <c r="N316" t="n">
        <v>0</v>
      </c>
      <c r="O316" t="n">
        <v>0</v>
      </c>
      <c r="P316" t="n">
        <v>0</v>
      </c>
      <c r="Q316" t="n">
        <v>0</v>
      </c>
      <c r="R316" t="n">
        <v>0</v>
      </c>
      <c r="S316" t="n">
        <v>0</v>
      </c>
      <c r="T316" t="n">
        <v>0</v>
      </c>
      <c r="U316" s="2" t="inlineStr"/>
    </row>
    <row r="317" ht="15" customHeight="1">
      <c r="A317" t="inlineStr">
        <is>
          <t>A 36195-2025</t>
        </is>
      </c>
      <c r="B317" t="inlineStr">
        <is>
          <t>avverkningsanmälan</t>
        </is>
      </c>
      <c r="C317" t="inlineStr">
        <is>
          <t>Föryngringsavverkning</t>
        </is>
      </c>
      <c r="D317" s="1" t="n">
        <v>45867</v>
      </c>
      <c r="E317" s="1" t="n">
        <v>46220</v>
      </c>
      <c r="F317" t="inlineStr">
        <is>
          <t>UPPSALA LÄN</t>
        </is>
      </c>
      <c r="G317" t="inlineStr">
        <is>
          <t>TIERP</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319-2023</t>
        </is>
      </c>
      <c r="B318" t="inlineStr">
        <is>
          <t>avverkningsanmälan</t>
        </is>
      </c>
      <c r="C318" t="inlineStr">
        <is>
          <t>Avverkning för annat ändamål</t>
        </is>
      </c>
      <c r="D318" s="1" t="n">
        <v>44929</v>
      </c>
      <c r="E318" s="1" t="n">
        <v>46220</v>
      </c>
      <c r="F318" t="inlineStr">
        <is>
          <t>UPPSALA LÄN</t>
        </is>
      </c>
      <c r="G318" t="inlineStr">
        <is>
          <t>TIERP</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36423-2025</t>
        </is>
      </c>
      <c r="B319" t="inlineStr">
        <is>
          <t>avverkningsanmälan</t>
        </is>
      </c>
      <c r="C319" t="inlineStr">
        <is>
          <t>Föryngringsavverkning</t>
        </is>
      </c>
      <c r="D319" s="1" t="n">
        <v>45868</v>
      </c>
      <c r="E319" s="1" t="n">
        <v>46220</v>
      </c>
      <c r="F319" t="inlineStr">
        <is>
          <t>UPPSALA LÄN</t>
        </is>
      </c>
      <c r="G319" t="inlineStr">
        <is>
          <t>TIERP</t>
        </is>
      </c>
      <c r="H319" t="inlineStr">
        <is>
          <t>Bergvik skog väst AB</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48674-2025</t>
        </is>
      </c>
      <c r="B320" t="inlineStr">
        <is>
          <t>avverkningsanmälan</t>
        </is>
      </c>
      <c r="C320" t="inlineStr">
        <is>
          <t>Föryngringsavverkning</t>
        </is>
      </c>
      <c r="D320" s="1" t="n">
        <v>45936</v>
      </c>
      <c r="E320" s="1" t="n">
        <v>46220</v>
      </c>
      <c r="F320" t="inlineStr">
        <is>
          <t>UPPSALA LÄN</t>
        </is>
      </c>
      <c r="G320" t="inlineStr">
        <is>
          <t>TIERP</t>
        </is>
      </c>
      <c r="I320" t="n">
        <v>4.7</v>
      </c>
      <c r="J320" t="n">
        <v>0</v>
      </c>
      <c r="K320" t="n">
        <v>0</v>
      </c>
      <c r="L320" t="n">
        <v>0</v>
      </c>
      <c r="M320" t="n">
        <v>0</v>
      </c>
      <c r="N320" t="n">
        <v>0</v>
      </c>
      <c r="O320" t="n">
        <v>0</v>
      </c>
      <c r="P320" t="n">
        <v>0</v>
      </c>
      <c r="Q320" t="n">
        <v>0</v>
      </c>
      <c r="R320" t="n">
        <v>0</v>
      </c>
      <c r="S320" t="n">
        <v>0</v>
      </c>
      <c r="T320" t="n">
        <v>0</v>
      </c>
      <c r="U320" s="2" t="inlineStr"/>
    </row>
    <row r="321" ht="15" customHeight="1">
      <c r="A321" t="inlineStr">
        <is>
          <t>A 48685-2025</t>
        </is>
      </c>
      <c r="B321" t="inlineStr">
        <is>
          <t>avverkningsanmälan</t>
        </is>
      </c>
      <c r="C321" t="inlineStr">
        <is>
          <t>Föryngringsavverkning</t>
        </is>
      </c>
      <c r="D321" s="1" t="n">
        <v>45936</v>
      </c>
      <c r="E321" s="1" t="n">
        <v>46220</v>
      </c>
      <c r="F321" t="inlineStr">
        <is>
          <t>UPPSALA LÄN</t>
        </is>
      </c>
      <c r="G321" t="inlineStr">
        <is>
          <t>TIERP</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48545-2025</t>
        </is>
      </c>
      <c r="B322" t="inlineStr">
        <is>
          <t>avverkningsanmälan</t>
        </is>
      </c>
      <c r="C322" t="inlineStr">
        <is>
          <t>Föryngringsavverkning</t>
        </is>
      </c>
      <c r="D322" s="1" t="n">
        <v>45936</v>
      </c>
      <c r="E322" s="1" t="n">
        <v>46220</v>
      </c>
      <c r="F322" t="inlineStr">
        <is>
          <t>UPPSALA LÄN</t>
        </is>
      </c>
      <c r="G322" t="inlineStr">
        <is>
          <t>TIERP</t>
        </is>
      </c>
      <c r="H322" t="inlineStr">
        <is>
          <t>Bergvik skog väst AB</t>
        </is>
      </c>
      <c r="I322" t="n">
        <v>8</v>
      </c>
      <c r="J322" t="n">
        <v>0</v>
      </c>
      <c r="K322" t="n">
        <v>0</v>
      </c>
      <c r="L322" t="n">
        <v>0</v>
      </c>
      <c r="M322" t="n">
        <v>0</v>
      </c>
      <c r="N322" t="n">
        <v>0</v>
      </c>
      <c r="O322" t="n">
        <v>0</v>
      </c>
      <c r="P322" t="n">
        <v>0</v>
      </c>
      <c r="Q322" t="n">
        <v>0</v>
      </c>
      <c r="R322" t="n">
        <v>0</v>
      </c>
      <c r="S322" t="n">
        <v>0</v>
      </c>
      <c r="T322" t="n">
        <v>0</v>
      </c>
      <c r="U322" s="2" t="inlineStr"/>
    </row>
    <row r="323" ht="15" customHeight="1">
      <c r="A323" t="inlineStr">
        <is>
          <t>A 48550-2025</t>
        </is>
      </c>
      <c r="B323" t="inlineStr">
        <is>
          <t>avverkningsanmälan</t>
        </is>
      </c>
      <c r="C323" t="inlineStr">
        <is>
          <t>Föryngringsavverkning</t>
        </is>
      </c>
      <c r="D323" s="1" t="n">
        <v>45936</v>
      </c>
      <c r="E323" s="1" t="n">
        <v>46220</v>
      </c>
      <c r="F323" t="inlineStr">
        <is>
          <t>UPPSALA LÄN</t>
        </is>
      </c>
      <c r="G323" t="inlineStr">
        <is>
          <t>TIERP</t>
        </is>
      </c>
      <c r="H323" t="inlineStr">
        <is>
          <t>Bergvik skog väst AB</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20021-2025</t>
        </is>
      </c>
      <c r="B324" t="inlineStr">
        <is>
          <t>avverkningsanmälan</t>
        </is>
      </c>
      <c r="C324" t="inlineStr">
        <is>
          <t>Avverkning för annat ändamål</t>
        </is>
      </c>
      <c r="D324" s="1" t="n">
        <v>45772</v>
      </c>
      <c r="E324" s="1" t="n">
        <v>46220</v>
      </c>
      <c r="F324" t="inlineStr">
        <is>
          <t>UPPSALA LÄN</t>
        </is>
      </c>
      <c r="G324" t="inlineStr">
        <is>
          <t>TIERP</t>
        </is>
      </c>
      <c r="H324" t="inlineStr">
        <is>
          <t>Kyrkan</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2266-2023</t>
        </is>
      </c>
      <c r="B325" t="inlineStr">
        <is>
          <t>avverkningsanmälan</t>
        </is>
      </c>
      <c r="C325" t="inlineStr">
        <is>
          <t>Föryngringsavverkning</t>
        </is>
      </c>
      <c r="D325" s="1" t="n">
        <v>44942</v>
      </c>
      <c r="E325" s="1" t="n">
        <v>46220</v>
      </c>
      <c r="F325" t="inlineStr">
        <is>
          <t>UPPSALA LÄN</t>
        </is>
      </c>
      <c r="G325" t="inlineStr">
        <is>
          <t>TIERP</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48684-2025</t>
        </is>
      </c>
      <c r="B326" t="inlineStr">
        <is>
          <t>avverkningsanmälan</t>
        </is>
      </c>
      <c r="C326" t="inlineStr">
        <is>
          <t>Föryngringsavverkning</t>
        </is>
      </c>
      <c r="D326" s="1" t="n">
        <v>45936</v>
      </c>
      <c r="E326" s="1" t="n">
        <v>46220</v>
      </c>
      <c r="F326" t="inlineStr">
        <is>
          <t>UPPSALA LÄN</t>
        </is>
      </c>
      <c r="G326" t="inlineStr">
        <is>
          <t>TIERP</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3438-2026</t>
        </is>
      </c>
      <c r="B327" t="inlineStr">
        <is>
          <t>avverkningsanmälan</t>
        </is>
      </c>
      <c r="C327" t="inlineStr">
        <is>
          <t>Föryngringsavverkning</t>
        </is>
      </c>
      <c r="D327" s="1" t="n">
        <v>46042</v>
      </c>
      <c r="E327" s="1" t="n">
        <v>46220</v>
      </c>
      <c r="F327" t="inlineStr">
        <is>
          <t>UPPSALA LÄN</t>
        </is>
      </c>
      <c r="G327" t="inlineStr">
        <is>
          <t>TIERP</t>
        </is>
      </c>
      <c r="I327" t="n">
        <v>4.5</v>
      </c>
      <c r="J327" t="n">
        <v>0</v>
      </c>
      <c r="K327" t="n">
        <v>0</v>
      </c>
      <c r="L327" t="n">
        <v>0</v>
      </c>
      <c r="M327" t="n">
        <v>0</v>
      </c>
      <c r="N327" t="n">
        <v>0</v>
      </c>
      <c r="O327" t="n">
        <v>0</v>
      </c>
      <c r="P327" t="n">
        <v>0</v>
      </c>
      <c r="Q327" t="n">
        <v>0</v>
      </c>
      <c r="R327" t="n">
        <v>0</v>
      </c>
      <c r="S327" t="n">
        <v>0</v>
      </c>
      <c r="T327" t="n">
        <v>0</v>
      </c>
      <c r="U327" s="2" t="inlineStr"/>
    </row>
    <row r="328" ht="15" customHeight="1">
      <c r="A328" t="inlineStr">
        <is>
          <t>A 35122-2025</t>
        </is>
      </c>
      <c r="B328" t="inlineStr">
        <is>
          <t>avverkningsanmälan</t>
        </is>
      </c>
      <c r="C328" t="inlineStr">
        <is>
          <t>Föryngringsavverkning</t>
        </is>
      </c>
      <c r="D328" s="1" t="n">
        <v>45852</v>
      </c>
      <c r="E328" s="1" t="n">
        <v>46220</v>
      </c>
      <c r="F328" t="inlineStr">
        <is>
          <t>UPPSALA LÄN</t>
        </is>
      </c>
      <c r="G328" t="inlineStr">
        <is>
          <t>TIERP</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49191-2025</t>
        </is>
      </c>
      <c r="B329" t="inlineStr">
        <is>
          <t>avverkningsanmälan</t>
        </is>
      </c>
      <c r="C329" t="inlineStr">
        <is>
          <t>Föryngringsavverkning</t>
        </is>
      </c>
      <c r="D329" s="1" t="n">
        <v>45938</v>
      </c>
      <c r="E329" s="1" t="n">
        <v>46220</v>
      </c>
      <c r="F329" t="inlineStr">
        <is>
          <t>UPPSALA LÄN</t>
        </is>
      </c>
      <c r="G329" t="inlineStr">
        <is>
          <t>TIERP</t>
        </is>
      </c>
      <c r="H329" t="inlineStr">
        <is>
          <t>Bergvik skog väst AB</t>
        </is>
      </c>
      <c r="I329" t="n">
        <v>38.9</v>
      </c>
      <c r="J329" t="n">
        <v>0</v>
      </c>
      <c r="K329" t="n">
        <v>0</v>
      </c>
      <c r="L329" t="n">
        <v>0</v>
      </c>
      <c r="M329" t="n">
        <v>0</v>
      </c>
      <c r="N329" t="n">
        <v>0</v>
      </c>
      <c r="O329" t="n">
        <v>0</v>
      </c>
      <c r="P329" t="n">
        <v>0</v>
      </c>
      <c r="Q329" t="n">
        <v>0</v>
      </c>
      <c r="R329" t="n">
        <v>0</v>
      </c>
      <c r="S329" t="n">
        <v>0</v>
      </c>
      <c r="T329" t="n">
        <v>0</v>
      </c>
      <c r="U329" s="2" t="inlineStr"/>
    </row>
    <row r="330" ht="15" customHeight="1">
      <c r="A330" t="inlineStr">
        <is>
          <t>A 49558-2025</t>
        </is>
      </c>
      <c r="B330" t="inlineStr">
        <is>
          <t>avverkningsanmälan</t>
        </is>
      </c>
      <c r="C330" t="inlineStr">
        <is>
          <t>Föryngringsavverkning</t>
        </is>
      </c>
      <c r="D330" s="1" t="n">
        <v>45939</v>
      </c>
      <c r="E330" s="1" t="n">
        <v>46220</v>
      </c>
      <c r="F330" t="inlineStr">
        <is>
          <t>UPPSALA LÄN</t>
        </is>
      </c>
      <c r="G330" t="inlineStr">
        <is>
          <t>TIERP</t>
        </is>
      </c>
      <c r="H330" t="inlineStr">
        <is>
          <t>Bergvik skog väst AB</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3865-2026</t>
        </is>
      </c>
      <c r="B331" t="inlineStr">
        <is>
          <t>avverkningsanmälan</t>
        </is>
      </c>
      <c r="C331" t="inlineStr">
        <is>
          <t>Föryngringsavverkning</t>
        </is>
      </c>
      <c r="D331" s="1" t="n">
        <v>46043</v>
      </c>
      <c r="E331" s="1" t="n">
        <v>46220</v>
      </c>
      <c r="F331" t="inlineStr">
        <is>
          <t>UPPSALA LÄN</t>
        </is>
      </c>
      <c r="G331" t="inlineStr">
        <is>
          <t>TIERP</t>
        </is>
      </c>
      <c r="H331" t="inlineStr">
        <is>
          <t>Bergvik skog väst AB</t>
        </is>
      </c>
      <c r="I331" t="n">
        <v>4.2</v>
      </c>
      <c r="J331" t="n">
        <v>0</v>
      </c>
      <c r="K331" t="n">
        <v>0</v>
      </c>
      <c r="L331" t="n">
        <v>0</v>
      </c>
      <c r="M331" t="n">
        <v>0</v>
      </c>
      <c r="N331" t="n">
        <v>0</v>
      </c>
      <c r="O331" t="n">
        <v>0</v>
      </c>
      <c r="P331" t="n">
        <v>0</v>
      </c>
      <c r="Q331" t="n">
        <v>0</v>
      </c>
      <c r="R331" t="n">
        <v>0</v>
      </c>
      <c r="S331" t="n">
        <v>0</v>
      </c>
      <c r="T331" t="n">
        <v>0</v>
      </c>
      <c r="U331" s="2" t="inlineStr"/>
    </row>
    <row r="332" ht="15" customHeight="1">
      <c r="A332" t="inlineStr">
        <is>
          <t>A 66241-2021</t>
        </is>
      </c>
      <c r="B332" t="inlineStr">
        <is>
          <t>avverkningsanmälan</t>
        </is>
      </c>
      <c r="C332" t="inlineStr">
        <is>
          <t>Föryngringsavverkning</t>
        </is>
      </c>
      <c r="D332" s="1" t="n">
        <v>44518</v>
      </c>
      <c r="E332" s="1" t="n">
        <v>46220</v>
      </c>
      <c r="F332" t="inlineStr">
        <is>
          <t>UPPSALA LÄN</t>
        </is>
      </c>
      <c r="G332" t="inlineStr">
        <is>
          <t>TIERP</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23468-2025</t>
        </is>
      </c>
      <c r="B333" t="inlineStr">
        <is>
          <t>avverkningsanmälan</t>
        </is>
      </c>
      <c r="C333" t="inlineStr">
        <is>
          <t>Föryngringsavverkning</t>
        </is>
      </c>
      <c r="D333" s="1" t="n">
        <v>45792</v>
      </c>
      <c r="E333" s="1" t="n">
        <v>46220</v>
      </c>
      <c r="F333" t="inlineStr">
        <is>
          <t>UPPSALA LÄN</t>
        </is>
      </c>
      <c r="G333" t="inlineStr">
        <is>
          <t>TIERP</t>
        </is>
      </c>
      <c r="H333" t="inlineStr">
        <is>
          <t>Bergvik skog väst AB</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48871-2025</t>
        </is>
      </c>
      <c r="B334" t="inlineStr">
        <is>
          <t>avverkningsanmälan</t>
        </is>
      </c>
      <c r="C334" t="inlineStr">
        <is>
          <t>Föryngringsavverkning</t>
        </is>
      </c>
      <c r="D334" s="1" t="n">
        <v>45937</v>
      </c>
      <c r="E334" s="1" t="n">
        <v>46220</v>
      </c>
      <c r="F334" t="inlineStr">
        <is>
          <t>UPPSALA LÄN</t>
        </is>
      </c>
      <c r="G334" t="inlineStr">
        <is>
          <t>TIERP</t>
        </is>
      </c>
      <c r="H334" t="inlineStr">
        <is>
          <t>Bergvik skog väst AB</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3443-2026</t>
        </is>
      </c>
      <c r="B335" t="inlineStr">
        <is>
          <t>avverkningsanmälan</t>
        </is>
      </c>
      <c r="C335" t="inlineStr">
        <is>
          <t>Föryngringsavverkning</t>
        </is>
      </c>
      <c r="D335" s="1" t="n">
        <v>46042</v>
      </c>
      <c r="E335" s="1" t="n">
        <v>46220</v>
      </c>
      <c r="F335" t="inlineStr">
        <is>
          <t>UPPSALA LÄN</t>
        </is>
      </c>
      <c r="G335" t="inlineStr">
        <is>
          <t>TIERP</t>
        </is>
      </c>
      <c r="I335" t="n">
        <v>1.9</v>
      </c>
      <c r="J335" t="n">
        <v>0</v>
      </c>
      <c r="K335" t="n">
        <v>0</v>
      </c>
      <c r="L335" t="n">
        <v>0</v>
      </c>
      <c r="M335" t="n">
        <v>0</v>
      </c>
      <c r="N335" t="n">
        <v>0</v>
      </c>
      <c r="O335" t="n">
        <v>0</v>
      </c>
      <c r="P335" t="n">
        <v>0</v>
      </c>
      <c r="Q335" t="n">
        <v>0</v>
      </c>
      <c r="R335" t="n">
        <v>0</v>
      </c>
      <c r="S335" t="n">
        <v>0</v>
      </c>
      <c r="T335" t="n">
        <v>0</v>
      </c>
      <c r="U335" s="2" t="inlineStr"/>
    </row>
    <row r="336" ht="15" customHeight="1">
      <c r="A336" t="inlineStr">
        <is>
          <t>A 34838-2024</t>
        </is>
      </c>
      <c r="B336" t="inlineStr">
        <is>
          <t>avverkningsanmälan</t>
        </is>
      </c>
      <c r="C336" t="inlineStr">
        <is>
          <t>Avverkning för annat ändamål</t>
        </is>
      </c>
      <c r="D336" s="1" t="n">
        <v>45526</v>
      </c>
      <c r="E336" s="1" t="n">
        <v>46220</v>
      </c>
      <c r="F336" t="inlineStr">
        <is>
          <t>UPPSALA LÄN</t>
        </is>
      </c>
      <c r="G336" t="inlineStr">
        <is>
          <t>TIERP</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3433-2026</t>
        </is>
      </c>
      <c r="B337" t="inlineStr">
        <is>
          <t>avverkningsanmälan</t>
        </is>
      </c>
      <c r="C337" t="inlineStr">
        <is>
          <t>Föryngringsavverkning</t>
        </is>
      </c>
      <c r="D337" s="1" t="n">
        <v>46042</v>
      </c>
      <c r="E337" s="1" t="n">
        <v>46220</v>
      </c>
      <c r="F337" t="inlineStr">
        <is>
          <t>UPPSALA LÄN</t>
        </is>
      </c>
      <c r="G337" t="inlineStr">
        <is>
          <t>TIERP</t>
        </is>
      </c>
      <c r="I337" t="n">
        <v>6.4</v>
      </c>
      <c r="J337" t="n">
        <v>0</v>
      </c>
      <c r="K337" t="n">
        <v>0</v>
      </c>
      <c r="L337" t="n">
        <v>0</v>
      </c>
      <c r="M337" t="n">
        <v>0</v>
      </c>
      <c r="N337" t="n">
        <v>0</v>
      </c>
      <c r="O337" t="n">
        <v>0</v>
      </c>
      <c r="P337" t="n">
        <v>0</v>
      </c>
      <c r="Q337" t="n">
        <v>0</v>
      </c>
      <c r="R337" t="n">
        <v>0</v>
      </c>
      <c r="S337" t="n">
        <v>0</v>
      </c>
      <c r="T337" t="n">
        <v>0</v>
      </c>
      <c r="U337" s="2" t="inlineStr"/>
    </row>
    <row r="338" ht="15" customHeight="1">
      <c r="A338" t="inlineStr">
        <is>
          <t>A 34837-2024</t>
        </is>
      </c>
      <c r="B338" t="inlineStr">
        <is>
          <t>avverkningsanmälan</t>
        </is>
      </c>
      <c r="C338" t="inlineStr">
        <is>
          <t>Föryngringsavverkning</t>
        </is>
      </c>
      <c r="D338" s="1" t="n">
        <v>45526</v>
      </c>
      <c r="E338" s="1" t="n">
        <v>46220</v>
      </c>
      <c r="F338" t="inlineStr">
        <is>
          <t>UPPSALA LÄN</t>
        </is>
      </c>
      <c r="G338" t="inlineStr">
        <is>
          <t>TIERP</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51116-2025</t>
        </is>
      </c>
      <c r="B339" t="inlineStr">
        <is>
          <t>avverkningsanmälan</t>
        </is>
      </c>
      <c r="C339" t="inlineStr">
        <is>
          <t>Föryngringsavverkning</t>
        </is>
      </c>
      <c r="D339" s="1" t="n">
        <v>45947</v>
      </c>
      <c r="E339" s="1" t="n">
        <v>46220</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50879-2025</t>
        </is>
      </c>
      <c r="B340" t="inlineStr">
        <is>
          <t>avverkningsanmälan</t>
        </is>
      </c>
      <c r="C340" t="inlineStr">
        <is>
          <t>Föryngringsavverkning</t>
        </is>
      </c>
      <c r="D340" s="1" t="n">
        <v>45946</v>
      </c>
      <c r="E340" s="1" t="n">
        <v>46220</v>
      </c>
      <c r="F340" t="inlineStr">
        <is>
          <t>UPPSALA LÄN</t>
        </is>
      </c>
      <c r="G340" t="inlineStr">
        <is>
          <t>TIERP</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2301-2024</t>
        </is>
      </c>
      <c r="B341" t="inlineStr">
        <is>
          <t>avverkningsanmälan</t>
        </is>
      </c>
      <c r="C341" t="inlineStr">
        <is>
          <t>Föryngringsavverkning</t>
        </is>
      </c>
      <c r="D341" s="1" t="n">
        <v>45310</v>
      </c>
      <c r="E341" s="1" t="n">
        <v>46220</v>
      </c>
      <c r="F341" t="inlineStr">
        <is>
          <t>UPPSALA LÄN</t>
        </is>
      </c>
      <c r="G341" t="inlineStr">
        <is>
          <t>TIERP</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43713-2022</t>
        </is>
      </c>
      <c r="B342" t="inlineStr">
        <is>
          <t>avverkningsanmälan</t>
        </is>
      </c>
      <c r="C342" t="inlineStr">
        <is>
          <t>Föryngringsavverkning</t>
        </is>
      </c>
      <c r="D342" s="1" t="n">
        <v>44837</v>
      </c>
      <c r="E342" s="1" t="n">
        <v>46220</v>
      </c>
      <c r="F342" t="inlineStr">
        <is>
          <t>UPPSALA LÄN</t>
        </is>
      </c>
      <c r="G342" t="inlineStr">
        <is>
          <t>TIERP</t>
        </is>
      </c>
      <c r="I342" t="n">
        <v>3.4</v>
      </c>
      <c r="J342" t="n">
        <v>0</v>
      </c>
      <c r="K342" t="n">
        <v>0</v>
      </c>
      <c r="L342" t="n">
        <v>0</v>
      </c>
      <c r="M342" t="n">
        <v>0</v>
      </c>
      <c r="N342" t="n">
        <v>0</v>
      </c>
      <c r="O342" t="n">
        <v>0</v>
      </c>
      <c r="P342" t="n">
        <v>0</v>
      </c>
      <c r="Q342" t="n">
        <v>0</v>
      </c>
      <c r="R342" t="n">
        <v>0</v>
      </c>
      <c r="S342" t="n">
        <v>0</v>
      </c>
      <c r="T342" t="n">
        <v>0</v>
      </c>
      <c r="U342" s="2" t="inlineStr"/>
    </row>
    <row r="343" ht="15" customHeight="1">
      <c r="A343" t="inlineStr">
        <is>
          <t>A 61615-2022</t>
        </is>
      </c>
      <c r="B343" t="inlineStr">
        <is>
          <t>avverkningsanmälan</t>
        </is>
      </c>
      <c r="C343" t="inlineStr">
        <is>
          <t>Föryngringsavverkning</t>
        </is>
      </c>
      <c r="D343" s="1" t="n">
        <v>44916</v>
      </c>
      <c r="E343" s="1" t="n">
        <v>46220</v>
      </c>
      <c r="F343" t="inlineStr">
        <is>
          <t>UPPSALA LÄN</t>
        </is>
      </c>
      <c r="G343" t="inlineStr">
        <is>
          <t>TIERP</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14241-2024</t>
        </is>
      </c>
      <c r="B344" t="inlineStr">
        <is>
          <t>avverkningsanmälan</t>
        </is>
      </c>
      <c r="C344" t="inlineStr">
        <is>
          <t>Föryngringsavverkning</t>
        </is>
      </c>
      <c r="D344" s="1" t="n">
        <v>45393</v>
      </c>
      <c r="E344" s="1" t="n">
        <v>46220</v>
      </c>
      <c r="F344" t="inlineStr">
        <is>
          <t>UPPSALA LÄN</t>
        </is>
      </c>
      <c r="G344" t="inlineStr">
        <is>
          <t>TIERP</t>
        </is>
      </c>
      <c r="H344" t="inlineStr">
        <is>
          <t>Bergvik skog öst AB</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53164-2025</t>
        </is>
      </c>
      <c r="B345" t="inlineStr">
        <is>
          <t>avverkningsanmälan</t>
        </is>
      </c>
      <c r="C345" t="inlineStr">
        <is>
          <t>Föryngringsavverkning</t>
        </is>
      </c>
      <c r="D345" s="1" t="n">
        <v>45957</v>
      </c>
      <c r="E345" s="1" t="n">
        <v>46220</v>
      </c>
      <c r="F345" t="inlineStr">
        <is>
          <t>UPPSALA LÄN</t>
        </is>
      </c>
      <c r="G345" t="inlineStr">
        <is>
          <t>TIERP</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4706-2026</t>
        </is>
      </c>
      <c r="B346" t="inlineStr">
        <is>
          <t>avverkningsanmälan</t>
        </is>
      </c>
      <c r="C346" t="inlineStr">
        <is>
          <t>Föryngringsavverkning</t>
        </is>
      </c>
      <c r="D346" s="1" t="n">
        <v>46048</v>
      </c>
      <c r="E346" s="1" t="n">
        <v>46220</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52863-2025</t>
        </is>
      </c>
      <c r="B347" t="inlineStr">
        <is>
          <t>avverkningsanmälan</t>
        </is>
      </c>
      <c r="C347" t="inlineStr">
        <is>
          <t>Föryngringsavverkning</t>
        </is>
      </c>
      <c r="D347" s="1" t="n">
        <v>45957</v>
      </c>
      <c r="E347" s="1" t="n">
        <v>46220</v>
      </c>
      <c r="F347" t="inlineStr">
        <is>
          <t>UPPSALA LÄN</t>
        </is>
      </c>
      <c r="G347" t="inlineStr">
        <is>
          <t>TIERP</t>
        </is>
      </c>
      <c r="I347" t="n">
        <v>5.2</v>
      </c>
      <c r="J347" t="n">
        <v>0</v>
      </c>
      <c r="K347" t="n">
        <v>0</v>
      </c>
      <c r="L347" t="n">
        <v>0</v>
      </c>
      <c r="M347" t="n">
        <v>0</v>
      </c>
      <c r="N347" t="n">
        <v>0</v>
      </c>
      <c r="O347" t="n">
        <v>0</v>
      </c>
      <c r="P347" t="n">
        <v>0</v>
      </c>
      <c r="Q347" t="n">
        <v>0</v>
      </c>
      <c r="R347" t="n">
        <v>0</v>
      </c>
      <c r="S347" t="n">
        <v>0</v>
      </c>
      <c r="T347" t="n">
        <v>0</v>
      </c>
      <c r="U347" s="2" t="inlineStr"/>
    </row>
    <row r="348" ht="15" customHeight="1">
      <c r="A348" t="inlineStr">
        <is>
          <t>A 52873-2025</t>
        </is>
      </c>
      <c r="B348" t="inlineStr">
        <is>
          <t>avverkningsanmälan</t>
        </is>
      </c>
      <c r="C348" t="inlineStr">
        <is>
          <t>Föryngringsavverkning</t>
        </is>
      </c>
      <c r="D348" s="1" t="n">
        <v>45957</v>
      </c>
      <c r="E348" s="1" t="n">
        <v>46220</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s="2" t="inlineStr"/>
    </row>
    <row r="349" ht="15" customHeight="1">
      <c r="A349" t="inlineStr">
        <is>
          <t>A 53199-2025</t>
        </is>
      </c>
      <c r="B349" t="inlineStr">
        <is>
          <t>avverkningsanmälan</t>
        </is>
      </c>
      <c r="C349" t="inlineStr">
        <is>
          <t>Föryngringsavverkning</t>
        </is>
      </c>
      <c r="D349" s="1" t="n">
        <v>45957</v>
      </c>
      <c r="E349" s="1" t="n">
        <v>46220</v>
      </c>
      <c r="F349" t="inlineStr">
        <is>
          <t>UPPSALA LÄN</t>
        </is>
      </c>
      <c r="G349" t="inlineStr">
        <is>
          <t>TIERP</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6364-2023</t>
        </is>
      </c>
      <c r="B350" t="inlineStr">
        <is>
          <t>avverkningsanmälan</t>
        </is>
      </c>
      <c r="C350" t="inlineStr">
        <is>
          <t>Föryngringsavverkning</t>
        </is>
      </c>
      <c r="D350" s="1" t="n">
        <v>44965</v>
      </c>
      <c r="E350" s="1" t="n">
        <v>46220</v>
      </c>
      <c r="F350" t="inlineStr">
        <is>
          <t>UPPSALA LÄN</t>
        </is>
      </c>
      <c r="G350" t="inlineStr">
        <is>
          <t>TIERP</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52502-2025</t>
        </is>
      </c>
      <c r="B351" t="inlineStr">
        <is>
          <t>avverkningsanmälan</t>
        </is>
      </c>
      <c r="C351" t="inlineStr">
        <is>
          <t>Föryngringsavverkning</t>
        </is>
      </c>
      <c r="D351" s="1" t="n">
        <v>45954</v>
      </c>
      <c r="E351" s="1" t="n">
        <v>46220</v>
      </c>
      <c r="F351" t="inlineStr">
        <is>
          <t>UPPSALA LÄN</t>
        </is>
      </c>
      <c r="G351" t="inlineStr">
        <is>
          <t>TIERP</t>
        </is>
      </c>
      <c r="H351" t="inlineStr">
        <is>
          <t>Bergvik skog väst AB</t>
        </is>
      </c>
      <c r="I351" t="n">
        <v>2.7</v>
      </c>
      <c r="J351" t="n">
        <v>0</v>
      </c>
      <c r="K351" t="n">
        <v>0</v>
      </c>
      <c r="L351" t="n">
        <v>0</v>
      </c>
      <c r="M351" t="n">
        <v>0</v>
      </c>
      <c r="N351" t="n">
        <v>0</v>
      </c>
      <c r="O351" t="n">
        <v>0</v>
      </c>
      <c r="P351" t="n">
        <v>0</v>
      </c>
      <c r="Q351" t="n">
        <v>0</v>
      </c>
      <c r="R351" t="n">
        <v>0</v>
      </c>
      <c r="S351" t="n">
        <v>0</v>
      </c>
      <c r="T351" t="n">
        <v>0</v>
      </c>
      <c r="U351" s="2" t="inlineStr"/>
    </row>
    <row r="352" ht="15" customHeight="1">
      <c r="A352" t="inlineStr">
        <is>
          <t>A 52790-2025</t>
        </is>
      </c>
      <c r="B352" t="inlineStr">
        <is>
          <t>avverkningsanmälan</t>
        </is>
      </c>
      <c r="C352" t="inlineStr">
        <is>
          <t>Föryngringsavverkning</t>
        </is>
      </c>
      <c r="D352" s="1" t="n">
        <v>45957</v>
      </c>
      <c r="E352" s="1" t="n">
        <v>46220</v>
      </c>
      <c r="F352" t="inlineStr">
        <is>
          <t>UPPSALA LÄN</t>
        </is>
      </c>
      <c r="G352" t="inlineStr">
        <is>
          <t>TIERP</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52490-2025</t>
        </is>
      </c>
      <c r="B353" t="inlineStr">
        <is>
          <t>avverkningsanmälan</t>
        </is>
      </c>
      <c r="C353" t="inlineStr">
        <is>
          <t>Föryngringsavverkning</t>
        </is>
      </c>
      <c r="D353" s="1" t="n">
        <v>45954</v>
      </c>
      <c r="E353" s="1" t="n">
        <v>46220</v>
      </c>
      <c r="F353" t="inlineStr">
        <is>
          <t>UPPSALA LÄN</t>
        </is>
      </c>
      <c r="G353" t="inlineStr">
        <is>
          <t>TIERP</t>
        </is>
      </c>
      <c r="H353" t="inlineStr">
        <is>
          <t>Bergvik skog väst AB</t>
        </is>
      </c>
      <c r="I353" t="n">
        <v>7</v>
      </c>
      <c r="J353" t="n">
        <v>0</v>
      </c>
      <c r="K353" t="n">
        <v>0</v>
      </c>
      <c r="L353" t="n">
        <v>0</v>
      </c>
      <c r="M353" t="n">
        <v>0</v>
      </c>
      <c r="N353" t="n">
        <v>0</v>
      </c>
      <c r="O353" t="n">
        <v>0</v>
      </c>
      <c r="P353" t="n">
        <v>0</v>
      </c>
      <c r="Q353" t="n">
        <v>0</v>
      </c>
      <c r="R353" t="n">
        <v>0</v>
      </c>
      <c r="S353" t="n">
        <v>0</v>
      </c>
      <c r="T353" t="n">
        <v>0</v>
      </c>
      <c r="U353" s="2" t="inlineStr"/>
    </row>
    <row r="354" ht="15" customHeight="1">
      <c r="A354" t="inlineStr">
        <is>
          <t>A 4716-2026</t>
        </is>
      </c>
      <c r="B354" t="inlineStr">
        <is>
          <t>avverkningsanmälan</t>
        </is>
      </c>
      <c r="C354" t="inlineStr">
        <is>
          <t>Föryngringsavverkning</t>
        </is>
      </c>
      <c r="D354" s="1" t="n">
        <v>46048</v>
      </c>
      <c r="E354" s="1" t="n">
        <v>46220</v>
      </c>
      <c r="F354" t="inlineStr">
        <is>
          <t>UPPSALA LÄN</t>
        </is>
      </c>
      <c r="G354" t="inlineStr">
        <is>
          <t>TIERP</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5727-2026</t>
        </is>
      </c>
      <c r="B355" t="inlineStr">
        <is>
          <t>avverkningsanmälan</t>
        </is>
      </c>
      <c r="C355" t="inlineStr">
        <is>
          <t>Föryngringsavverkning</t>
        </is>
      </c>
      <c r="D355" s="1" t="n">
        <v>46051</v>
      </c>
      <c r="E355" s="1" t="n">
        <v>46220</v>
      </c>
      <c r="F355" t="inlineStr">
        <is>
          <t>UPPSALA LÄN</t>
        </is>
      </c>
      <c r="G355" t="inlineStr">
        <is>
          <t>TIERP</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5735-2026</t>
        </is>
      </c>
      <c r="B356" t="inlineStr">
        <is>
          <t>avverkningsanmälan</t>
        </is>
      </c>
      <c r="C356" t="inlineStr">
        <is>
          <t>Föryngringsavverkning</t>
        </is>
      </c>
      <c r="D356" s="1" t="n">
        <v>46051</v>
      </c>
      <c r="E356" s="1" t="n">
        <v>46220</v>
      </c>
      <c r="F356" t="inlineStr">
        <is>
          <t>UPPSALA LÄN</t>
        </is>
      </c>
      <c r="G356" t="inlineStr">
        <is>
          <t>TIERP</t>
        </is>
      </c>
      <c r="I356" t="n">
        <v>1.6</v>
      </c>
      <c r="J356" t="n">
        <v>0</v>
      </c>
      <c r="K356" t="n">
        <v>0</v>
      </c>
      <c r="L356" t="n">
        <v>0</v>
      </c>
      <c r="M356" t="n">
        <v>0</v>
      </c>
      <c r="N356" t="n">
        <v>0</v>
      </c>
      <c r="O356" t="n">
        <v>0</v>
      </c>
      <c r="P356" t="n">
        <v>0</v>
      </c>
      <c r="Q356" t="n">
        <v>0</v>
      </c>
      <c r="R356" t="n">
        <v>0</v>
      </c>
      <c r="S356" t="n">
        <v>0</v>
      </c>
      <c r="T356" t="n">
        <v>0</v>
      </c>
      <c r="U356" s="2" t="inlineStr"/>
    </row>
    <row r="357" ht="15" customHeight="1">
      <c r="A357" t="inlineStr">
        <is>
          <t>A 5741-2026</t>
        </is>
      </c>
      <c r="B357" t="inlineStr">
        <is>
          <t>avverkningsanmälan</t>
        </is>
      </c>
      <c r="C357" t="inlineStr">
        <is>
          <t>Föryngringsavverkning</t>
        </is>
      </c>
      <c r="D357" s="1" t="n">
        <v>46051</v>
      </c>
      <c r="E357" s="1" t="n">
        <v>46220</v>
      </c>
      <c r="F357" t="inlineStr">
        <is>
          <t>UPPSALA LÄN</t>
        </is>
      </c>
      <c r="G357" t="inlineStr">
        <is>
          <t>TIERP</t>
        </is>
      </c>
      <c r="I357" t="n">
        <v>5.8</v>
      </c>
      <c r="J357" t="n">
        <v>0</v>
      </c>
      <c r="K357" t="n">
        <v>0</v>
      </c>
      <c r="L357" t="n">
        <v>0</v>
      </c>
      <c r="M357" t="n">
        <v>0</v>
      </c>
      <c r="N357" t="n">
        <v>0</v>
      </c>
      <c r="O357" t="n">
        <v>0</v>
      </c>
      <c r="P357" t="n">
        <v>0</v>
      </c>
      <c r="Q357" t="n">
        <v>0</v>
      </c>
      <c r="R357" t="n">
        <v>0</v>
      </c>
      <c r="S357" t="n">
        <v>0</v>
      </c>
      <c r="T357" t="n">
        <v>0</v>
      </c>
      <c r="U357" s="2" t="inlineStr"/>
    </row>
    <row r="358" ht="15" customHeight="1">
      <c r="A358" t="inlineStr">
        <is>
          <t>A 53036-2025</t>
        </is>
      </c>
      <c r="B358" t="inlineStr">
        <is>
          <t>avverkningsanmälan</t>
        </is>
      </c>
      <c r="C358" t="inlineStr">
        <is>
          <t>Föryngringsavverkning</t>
        </is>
      </c>
      <c r="D358" s="1" t="n">
        <v>45958</v>
      </c>
      <c r="E358" s="1" t="n">
        <v>46220</v>
      </c>
      <c r="F358" t="inlineStr">
        <is>
          <t>UPPSALA LÄN</t>
        </is>
      </c>
      <c r="G358" t="inlineStr">
        <is>
          <t>TIERP</t>
        </is>
      </c>
      <c r="I358" t="n">
        <v>12.3</v>
      </c>
      <c r="J358" t="n">
        <v>0</v>
      </c>
      <c r="K358" t="n">
        <v>0</v>
      </c>
      <c r="L358" t="n">
        <v>0</v>
      </c>
      <c r="M358" t="n">
        <v>0</v>
      </c>
      <c r="N358" t="n">
        <v>0</v>
      </c>
      <c r="O358" t="n">
        <v>0</v>
      </c>
      <c r="P358" t="n">
        <v>0</v>
      </c>
      <c r="Q358" t="n">
        <v>0</v>
      </c>
      <c r="R358" t="n">
        <v>0</v>
      </c>
      <c r="S358" t="n">
        <v>0</v>
      </c>
      <c r="T358" t="n">
        <v>0</v>
      </c>
      <c r="U358" s="2" t="inlineStr"/>
    </row>
    <row r="359" ht="15" customHeight="1">
      <c r="A359" t="inlineStr">
        <is>
          <t>A 5662-2026</t>
        </is>
      </c>
      <c r="B359" t="inlineStr">
        <is>
          <t>avverkningsanmälan</t>
        </is>
      </c>
      <c r="C359" t="inlineStr">
        <is>
          <t>Föryngringsavverkning</t>
        </is>
      </c>
      <c r="D359" s="1" t="n">
        <v>46051</v>
      </c>
      <c r="E359" s="1" t="n">
        <v>46220</v>
      </c>
      <c r="F359" t="inlineStr">
        <is>
          <t>UPPSALA LÄN</t>
        </is>
      </c>
      <c r="G359" t="inlineStr">
        <is>
          <t>TIERP</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5794-2026</t>
        </is>
      </c>
      <c r="B360" t="inlineStr">
        <is>
          <t>avverkningsanmälan</t>
        </is>
      </c>
      <c r="C360" t="inlineStr">
        <is>
          <t>Föryngringsavverkning</t>
        </is>
      </c>
      <c r="D360" s="1" t="n">
        <v>46051</v>
      </c>
      <c r="E360" s="1" t="n">
        <v>46220</v>
      </c>
      <c r="F360" t="inlineStr">
        <is>
          <t>UPPSALA LÄN</t>
        </is>
      </c>
      <c r="G360" t="inlineStr">
        <is>
          <t>TIERP</t>
        </is>
      </c>
      <c r="I360" t="n">
        <v>4.1</v>
      </c>
      <c r="J360" t="n">
        <v>0</v>
      </c>
      <c r="K360" t="n">
        <v>0</v>
      </c>
      <c r="L360" t="n">
        <v>0</v>
      </c>
      <c r="M360" t="n">
        <v>0</v>
      </c>
      <c r="N360" t="n">
        <v>0</v>
      </c>
      <c r="O360" t="n">
        <v>0</v>
      </c>
      <c r="P360" t="n">
        <v>0</v>
      </c>
      <c r="Q360" t="n">
        <v>0</v>
      </c>
      <c r="R360" t="n">
        <v>0</v>
      </c>
      <c r="S360" t="n">
        <v>0</v>
      </c>
      <c r="T360" t="n">
        <v>0</v>
      </c>
      <c r="U360" s="2" t="inlineStr"/>
    </row>
    <row r="361" ht="15" customHeight="1">
      <c r="A361" t="inlineStr">
        <is>
          <t>A 53483-2025</t>
        </is>
      </c>
      <c r="B361" t="inlineStr">
        <is>
          <t>avverkningsanmälan</t>
        </is>
      </c>
      <c r="C361" t="inlineStr">
        <is>
          <t>Föryngringsavverkning</t>
        </is>
      </c>
      <c r="D361" s="1" t="n">
        <v>45959</v>
      </c>
      <c r="E361" s="1" t="n">
        <v>46220</v>
      </c>
      <c r="F361" t="inlineStr">
        <is>
          <t>UPPSALA LÄN</t>
        </is>
      </c>
      <c r="G361" t="inlineStr">
        <is>
          <t>TIERP</t>
        </is>
      </c>
      <c r="I361" t="n">
        <v>6.7</v>
      </c>
      <c r="J361" t="n">
        <v>0</v>
      </c>
      <c r="K361" t="n">
        <v>0</v>
      </c>
      <c r="L361" t="n">
        <v>0</v>
      </c>
      <c r="M361" t="n">
        <v>0</v>
      </c>
      <c r="N361" t="n">
        <v>0</v>
      </c>
      <c r="O361" t="n">
        <v>0</v>
      </c>
      <c r="P361" t="n">
        <v>0</v>
      </c>
      <c r="Q361" t="n">
        <v>0</v>
      </c>
      <c r="R361" t="n">
        <v>0</v>
      </c>
      <c r="S361" t="n">
        <v>0</v>
      </c>
      <c r="T361" t="n">
        <v>0</v>
      </c>
      <c r="U361" s="2" t="inlineStr"/>
    </row>
    <row r="362" ht="15" customHeight="1">
      <c r="A362" t="inlineStr">
        <is>
          <t>A 5797-2026</t>
        </is>
      </c>
      <c r="B362" t="inlineStr">
        <is>
          <t>avverkningsanmälan</t>
        </is>
      </c>
      <c r="C362" t="inlineStr">
        <is>
          <t>Föryngringsavverkning</t>
        </is>
      </c>
      <c r="D362" s="1" t="n">
        <v>46051</v>
      </c>
      <c r="E362" s="1" t="n">
        <v>46220</v>
      </c>
      <c r="F362" t="inlineStr">
        <is>
          <t>UPPSALA LÄN</t>
        </is>
      </c>
      <c r="G362" t="inlineStr">
        <is>
          <t>TIERP</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6404-2026</t>
        </is>
      </c>
      <c r="B363" t="inlineStr">
        <is>
          <t>avverkningsanmälan</t>
        </is>
      </c>
      <c r="C363" t="inlineStr">
        <is>
          <t>Föryngringsavverkning</t>
        </is>
      </c>
      <c r="D363" s="1" t="n">
        <v>46055</v>
      </c>
      <c r="E363" s="1" t="n">
        <v>46220</v>
      </c>
      <c r="F363" t="inlineStr">
        <is>
          <t>UPPSALA LÄN</t>
        </is>
      </c>
      <c r="G363" t="inlineStr">
        <is>
          <t>TIERP</t>
        </is>
      </c>
      <c r="I363" t="n">
        <v>6.4</v>
      </c>
      <c r="J363" t="n">
        <v>0</v>
      </c>
      <c r="K363" t="n">
        <v>0</v>
      </c>
      <c r="L363" t="n">
        <v>0</v>
      </c>
      <c r="M363" t="n">
        <v>0</v>
      </c>
      <c r="N363" t="n">
        <v>0</v>
      </c>
      <c r="O363" t="n">
        <v>0</v>
      </c>
      <c r="P363" t="n">
        <v>0</v>
      </c>
      <c r="Q363" t="n">
        <v>0</v>
      </c>
      <c r="R363" t="n">
        <v>0</v>
      </c>
      <c r="S363" t="n">
        <v>0</v>
      </c>
      <c r="T363" t="n">
        <v>0</v>
      </c>
      <c r="U363" s="2" t="inlineStr"/>
    </row>
    <row r="364" ht="15" customHeight="1">
      <c r="A364" t="inlineStr">
        <is>
          <t>A 6407-2026</t>
        </is>
      </c>
      <c r="B364" t="inlineStr">
        <is>
          <t>avverkningsanmälan</t>
        </is>
      </c>
      <c r="C364" t="inlineStr">
        <is>
          <t>Föryngringsavverkning</t>
        </is>
      </c>
      <c r="D364" s="1" t="n">
        <v>46055</v>
      </c>
      <c r="E364" s="1" t="n">
        <v>46220</v>
      </c>
      <c r="F364" t="inlineStr">
        <is>
          <t>UPPSALA LÄN</t>
        </is>
      </c>
      <c r="G364" t="inlineStr">
        <is>
          <t>TIERP</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6709-2026</t>
        </is>
      </c>
      <c r="B365" t="inlineStr">
        <is>
          <t>avverkningsanmälan</t>
        </is>
      </c>
      <c r="C365" t="inlineStr">
        <is>
          <t>Föryngringsavverkning</t>
        </is>
      </c>
      <c r="D365" s="1" t="n">
        <v>46053</v>
      </c>
      <c r="E365" s="1" t="n">
        <v>46220</v>
      </c>
      <c r="F365" t="inlineStr">
        <is>
          <t>UPPSALA LÄN</t>
        </is>
      </c>
      <c r="G365" t="inlineStr">
        <is>
          <t>TIERP</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54458-2025</t>
        </is>
      </c>
      <c r="B366" t="inlineStr">
        <is>
          <t>avverkningsanmälan</t>
        </is>
      </c>
      <c r="C366" t="inlineStr">
        <is>
          <t>Föryngringsavverkning</t>
        </is>
      </c>
      <c r="D366" s="1" t="n">
        <v>45965</v>
      </c>
      <c r="E366" s="1" t="n">
        <v>46220</v>
      </c>
      <c r="F366" t="inlineStr">
        <is>
          <t>UPPSALA LÄN</t>
        </is>
      </c>
      <c r="G366" t="inlineStr">
        <is>
          <t>TIERP</t>
        </is>
      </c>
      <c r="H366" t="inlineStr">
        <is>
          <t>Bergvik skog öst AB</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6696-2026</t>
        </is>
      </c>
      <c r="B367" t="inlineStr">
        <is>
          <t>avverkningsanmälan</t>
        </is>
      </c>
      <c r="C367" t="inlineStr">
        <is>
          <t>Föryngringsavverkning</t>
        </is>
      </c>
      <c r="D367" s="1" t="n">
        <v>46053</v>
      </c>
      <c r="E367" s="1" t="n">
        <v>46220</v>
      </c>
      <c r="F367" t="inlineStr">
        <is>
          <t>UPPSALA LÄN</t>
        </is>
      </c>
      <c r="G367" t="inlineStr">
        <is>
          <t>TIERP</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6081-2026</t>
        </is>
      </c>
      <c r="B368" t="inlineStr">
        <is>
          <t>avverkningsanmälan</t>
        </is>
      </c>
      <c r="C368" t="inlineStr">
        <is>
          <t>Föryngringsavverkning</t>
        </is>
      </c>
      <c r="D368" s="1" t="n">
        <v>46052</v>
      </c>
      <c r="E368" s="1" t="n">
        <v>46220</v>
      </c>
      <c r="F368" t="inlineStr">
        <is>
          <t>UPPSALA LÄN</t>
        </is>
      </c>
      <c r="G368" t="inlineStr">
        <is>
          <t>TIERP</t>
        </is>
      </c>
      <c r="I368" t="n">
        <v>8</v>
      </c>
      <c r="J368" t="n">
        <v>0</v>
      </c>
      <c r="K368" t="n">
        <v>0</v>
      </c>
      <c r="L368" t="n">
        <v>0</v>
      </c>
      <c r="M368" t="n">
        <v>0</v>
      </c>
      <c r="N368" t="n">
        <v>0</v>
      </c>
      <c r="O368" t="n">
        <v>0</v>
      </c>
      <c r="P368" t="n">
        <v>0</v>
      </c>
      <c r="Q368" t="n">
        <v>0</v>
      </c>
      <c r="R368" t="n">
        <v>0</v>
      </c>
      <c r="S368" t="n">
        <v>0</v>
      </c>
      <c r="T368" t="n">
        <v>0</v>
      </c>
      <c r="U368" s="2" t="inlineStr"/>
    </row>
    <row r="369" ht="15" customHeight="1">
      <c r="A369" t="inlineStr">
        <is>
          <t>A 54553-2025</t>
        </is>
      </c>
      <c r="B369" t="inlineStr">
        <is>
          <t>avverkningsanmälan</t>
        </is>
      </c>
      <c r="C369" t="inlineStr">
        <is>
          <t>Föryngringsavverkning</t>
        </is>
      </c>
      <c r="D369" s="1" t="n">
        <v>45965</v>
      </c>
      <c r="E369" s="1" t="n">
        <v>46220</v>
      </c>
      <c r="F369" t="inlineStr">
        <is>
          <t>UPPSALA LÄN</t>
        </is>
      </c>
      <c r="G369" t="inlineStr">
        <is>
          <t>TIERP</t>
        </is>
      </c>
      <c r="H369" t="inlineStr">
        <is>
          <t>Bergvik skog väst AB</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6036-2026</t>
        </is>
      </c>
      <c r="B370" t="inlineStr">
        <is>
          <t>avverkningsanmälan</t>
        </is>
      </c>
      <c r="C370" t="inlineStr">
        <is>
          <t>Föryngringsavverkning</t>
        </is>
      </c>
      <c r="D370" s="1" t="n">
        <v>46052</v>
      </c>
      <c r="E370" s="1" t="n">
        <v>46220</v>
      </c>
      <c r="F370" t="inlineStr">
        <is>
          <t>UPPSALA LÄN</t>
        </is>
      </c>
      <c r="G370" t="inlineStr">
        <is>
          <t>TIERP</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54482-2025</t>
        </is>
      </c>
      <c r="B371" t="inlineStr">
        <is>
          <t>avverkningsanmälan</t>
        </is>
      </c>
      <c r="C371" t="inlineStr">
        <is>
          <t>Föryngringsavverkning</t>
        </is>
      </c>
      <c r="D371" s="1" t="n">
        <v>45965</v>
      </c>
      <c r="E371" s="1" t="n">
        <v>46220</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46512-2024</t>
        </is>
      </c>
      <c r="B372" t="inlineStr">
        <is>
          <t>avverkningsanmälan</t>
        </is>
      </c>
      <c r="C372" t="inlineStr">
        <is>
          <t>Föryngringsavverkning</t>
        </is>
      </c>
      <c r="D372" s="1" t="n">
        <v>45582</v>
      </c>
      <c r="E372" s="1" t="n">
        <v>46220</v>
      </c>
      <c r="F372" t="inlineStr">
        <is>
          <t>UPPSALA LÄN</t>
        </is>
      </c>
      <c r="G372" t="inlineStr">
        <is>
          <t>TIERP</t>
        </is>
      </c>
      <c r="I372" t="n">
        <v>6.3</v>
      </c>
      <c r="J372" t="n">
        <v>0</v>
      </c>
      <c r="K372" t="n">
        <v>0</v>
      </c>
      <c r="L372" t="n">
        <v>0</v>
      </c>
      <c r="M372" t="n">
        <v>0</v>
      </c>
      <c r="N372" t="n">
        <v>0</v>
      </c>
      <c r="O372" t="n">
        <v>0</v>
      </c>
      <c r="P372" t="n">
        <v>0</v>
      </c>
      <c r="Q372" t="n">
        <v>0</v>
      </c>
      <c r="R372" t="n">
        <v>0</v>
      </c>
      <c r="S372" t="n">
        <v>0</v>
      </c>
      <c r="T372" t="n">
        <v>0</v>
      </c>
      <c r="U372" s="2" t="inlineStr"/>
    </row>
    <row r="373" ht="15" customHeight="1">
      <c r="A373" t="inlineStr">
        <is>
          <t>A 49946-2022</t>
        </is>
      </c>
      <c r="B373" t="inlineStr">
        <is>
          <t>avverkningsanmälan</t>
        </is>
      </c>
      <c r="C373" t="inlineStr">
        <is>
          <t>Föryngringsavverkning</t>
        </is>
      </c>
      <c r="D373" s="1" t="n">
        <v>44865</v>
      </c>
      <c r="E373" s="1" t="n">
        <v>46220</v>
      </c>
      <c r="F373" t="inlineStr">
        <is>
          <t>UPPSALA LÄN</t>
        </is>
      </c>
      <c r="G373" t="inlineStr">
        <is>
          <t>TIERP</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21017-2022</t>
        </is>
      </c>
      <c r="B374" t="inlineStr">
        <is>
          <t>avverkningsanmälan</t>
        </is>
      </c>
      <c r="C374" t="inlineStr">
        <is>
          <t>Föryngringsavverkning</t>
        </is>
      </c>
      <c r="D374" s="1" t="n">
        <v>44704</v>
      </c>
      <c r="E374" s="1" t="n">
        <v>46220</v>
      </c>
      <c r="F374" t="inlineStr">
        <is>
          <t>UPPSALA LÄN</t>
        </is>
      </c>
      <c r="G374" t="inlineStr">
        <is>
          <t>TIERP</t>
        </is>
      </c>
      <c r="I374" t="n">
        <v>3.5</v>
      </c>
      <c r="J374" t="n">
        <v>0</v>
      </c>
      <c r="K374" t="n">
        <v>0</v>
      </c>
      <c r="L374" t="n">
        <v>0</v>
      </c>
      <c r="M374" t="n">
        <v>0</v>
      </c>
      <c r="N374" t="n">
        <v>0</v>
      </c>
      <c r="O374" t="n">
        <v>0</v>
      </c>
      <c r="P374" t="n">
        <v>0</v>
      </c>
      <c r="Q374" t="n">
        <v>0</v>
      </c>
      <c r="R374" t="n">
        <v>0</v>
      </c>
      <c r="S374" t="n">
        <v>0</v>
      </c>
      <c r="T374" t="n">
        <v>0</v>
      </c>
      <c r="U374" s="2" t="inlineStr"/>
    </row>
    <row r="375" ht="15" customHeight="1">
      <c r="A375" t="inlineStr">
        <is>
          <t>A 21034-2022</t>
        </is>
      </c>
      <c r="B375" t="inlineStr">
        <is>
          <t>avverkningsanmälan</t>
        </is>
      </c>
      <c r="C375" t="inlineStr">
        <is>
          <t>Föryngringsavverkning</t>
        </is>
      </c>
      <c r="D375" s="1" t="n">
        <v>44704</v>
      </c>
      <c r="E375" s="1" t="n">
        <v>46220</v>
      </c>
      <c r="F375" t="inlineStr">
        <is>
          <t>UPPSALA LÄN</t>
        </is>
      </c>
      <c r="G375" t="inlineStr">
        <is>
          <t>TIERP</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6707-2026</t>
        </is>
      </c>
      <c r="B376" t="inlineStr">
        <is>
          <t>avverkningsanmälan</t>
        </is>
      </c>
      <c r="C376" t="inlineStr">
        <is>
          <t>Föryngringsavverkning</t>
        </is>
      </c>
      <c r="D376" s="1" t="n">
        <v>46053</v>
      </c>
      <c r="E376" s="1" t="n">
        <v>46220</v>
      </c>
      <c r="F376" t="inlineStr">
        <is>
          <t>UPPSALA LÄN</t>
        </is>
      </c>
      <c r="G376" t="inlineStr">
        <is>
          <t>TIERP</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6410-2026</t>
        </is>
      </c>
      <c r="B377" t="inlineStr">
        <is>
          <t>avverkningsanmälan</t>
        </is>
      </c>
      <c r="C377" t="inlineStr">
        <is>
          <t>Föryngringsavverkning</t>
        </is>
      </c>
      <c r="D377" s="1" t="n">
        <v>46055</v>
      </c>
      <c r="E377" s="1" t="n">
        <v>46220</v>
      </c>
      <c r="F377" t="inlineStr">
        <is>
          <t>UPPSALA LÄN</t>
        </is>
      </c>
      <c r="G377" t="inlineStr">
        <is>
          <t>TIERP</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13509-2025</t>
        </is>
      </c>
      <c r="B378" t="inlineStr">
        <is>
          <t>avverkningsanmälan</t>
        </is>
      </c>
      <c r="C378" t="inlineStr">
        <is>
          <t>Avverkning för annat ändamål</t>
        </is>
      </c>
      <c r="D378" s="1" t="n">
        <v>45736</v>
      </c>
      <c r="E378" s="1" t="n">
        <v>46220</v>
      </c>
      <c r="F378" t="inlineStr">
        <is>
          <t>UPPSALA LÄN</t>
        </is>
      </c>
      <c r="G378" t="inlineStr">
        <is>
          <t>TIERP</t>
        </is>
      </c>
      <c r="H378" t="inlineStr">
        <is>
          <t>Bergvik skog väst AB</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54626-2025</t>
        </is>
      </c>
      <c r="B379" t="inlineStr">
        <is>
          <t>avverkningsanmälan</t>
        </is>
      </c>
      <c r="C379" t="inlineStr">
        <is>
          <t>Föryngringsavverkning</t>
        </is>
      </c>
      <c r="D379" s="1" t="n">
        <v>45966</v>
      </c>
      <c r="E379" s="1" t="n">
        <v>46220</v>
      </c>
      <c r="F379" t="inlineStr">
        <is>
          <t>UPPSALA LÄN</t>
        </is>
      </c>
      <c r="G379" t="inlineStr">
        <is>
          <t>TIERP</t>
        </is>
      </c>
      <c r="H379" t="inlineStr">
        <is>
          <t>Bergvik skog väst AB</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54634-2025</t>
        </is>
      </c>
      <c r="B380" t="inlineStr">
        <is>
          <t>avverkningsanmälan</t>
        </is>
      </c>
      <c r="C380" t="inlineStr">
        <is>
          <t>Föryngringsavverkning</t>
        </is>
      </c>
      <c r="D380" s="1" t="n">
        <v>45966</v>
      </c>
      <c r="E380" s="1" t="n">
        <v>46220</v>
      </c>
      <c r="F380" t="inlineStr">
        <is>
          <t>UPPSALA LÄN</t>
        </is>
      </c>
      <c r="G380" t="inlineStr">
        <is>
          <t>TIERP</t>
        </is>
      </c>
      <c r="H380" t="inlineStr">
        <is>
          <t>Bergvik skog väst AB</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34198-2023</t>
        </is>
      </c>
      <c r="B381" t="inlineStr">
        <is>
          <t>avverkningsanmälan</t>
        </is>
      </c>
      <c r="C381" t="inlineStr">
        <is>
          <t>Föryngringsavverkning</t>
        </is>
      </c>
      <c r="D381" s="1" t="n">
        <v>45138</v>
      </c>
      <c r="E381" s="1" t="n">
        <v>46220</v>
      </c>
      <c r="F381" t="inlineStr">
        <is>
          <t>UPPSALA LÄN</t>
        </is>
      </c>
      <c r="G381" t="inlineStr">
        <is>
          <t>TIERP</t>
        </is>
      </c>
      <c r="H381" t="inlineStr">
        <is>
          <t>Bergvik skog öst AB</t>
        </is>
      </c>
      <c r="I381" t="n">
        <v>11.5</v>
      </c>
      <c r="J381" t="n">
        <v>0</v>
      </c>
      <c r="K381" t="n">
        <v>0</v>
      </c>
      <c r="L381" t="n">
        <v>0</v>
      </c>
      <c r="M381" t="n">
        <v>0</v>
      </c>
      <c r="N381" t="n">
        <v>0</v>
      </c>
      <c r="O381" t="n">
        <v>0</v>
      </c>
      <c r="P381" t="n">
        <v>0</v>
      </c>
      <c r="Q381" t="n">
        <v>0</v>
      </c>
      <c r="R381" t="n">
        <v>0</v>
      </c>
      <c r="S381" t="n">
        <v>0</v>
      </c>
      <c r="T381" t="n">
        <v>0</v>
      </c>
      <c r="U381" s="2" t="inlineStr"/>
    </row>
    <row r="382" ht="15" customHeight="1">
      <c r="A382" t="inlineStr">
        <is>
          <t>A 32665-2023</t>
        </is>
      </c>
      <c r="B382" t="inlineStr">
        <is>
          <t>avverkningsanmälan</t>
        </is>
      </c>
      <c r="C382" t="inlineStr">
        <is>
          <t>Föryngringsavverkning</t>
        </is>
      </c>
      <c r="D382" s="1" t="n">
        <v>45121</v>
      </c>
      <c r="E382" s="1" t="n">
        <v>46220</v>
      </c>
      <c r="F382" t="inlineStr">
        <is>
          <t>UPPSALA LÄN</t>
        </is>
      </c>
      <c r="G382" t="inlineStr">
        <is>
          <t>TIERP</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56051-2025</t>
        </is>
      </c>
      <c r="B383" t="inlineStr">
        <is>
          <t>avverkningsanmälan</t>
        </is>
      </c>
      <c r="C383" t="inlineStr">
        <is>
          <t>Föryngringsavverkning</t>
        </is>
      </c>
      <c r="D383" s="1" t="n">
        <v>45973</v>
      </c>
      <c r="E383" s="1" t="n">
        <v>46220</v>
      </c>
      <c r="F383" t="inlineStr">
        <is>
          <t>UPPSALA LÄN</t>
        </is>
      </c>
      <c r="G383" t="inlineStr">
        <is>
          <t>TIERP</t>
        </is>
      </c>
      <c r="H383" t="inlineStr">
        <is>
          <t>Bergvik skog väst AB</t>
        </is>
      </c>
      <c r="I383" t="n">
        <v>4.6</v>
      </c>
      <c r="J383" t="n">
        <v>0</v>
      </c>
      <c r="K383" t="n">
        <v>0</v>
      </c>
      <c r="L383" t="n">
        <v>0</v>
      </c>
      <c r="M383" t="n">
        <v>0</v>
      </c>
      <c r="N383" t="n">
        <v>0</v>
      </c>
      <c r="O383" t="n">
        <v>0</v>
      </c>
      <c r="P383" t="n">
        <v>0</v>
      </c>
      <c r="Q383" t="n">
        <v>0</v>
      </c>
      <c r="R383" t="n">
        <v>0</v>
      </c>
      <c r="S383" t="n">
        <v>0</v>
      </c>
      <c r="T383" t="n">
        <v>0</v>
      </c>
      <c r="U383" s="2" t="inlineStr"/>
    </row>
    <row r="384" ht="15" customHeight="1">
      <c r="A384" t="inlineStr">
        <is>
          <t>A 19523-2025</t>
        </is>
      </c>
      <c r="B384" t="inlineStr">
        <is>
          <t>avverkningsanmälan</t>
        </is>
      </c>
      <c r="C384" t="inlineStr">
        <is>
          <t>Föryngringsavverkning</t>
        </is>
      </c>
      <c r="D384" s="1" t="n">
        <v>45770</v>
      </c>
      <c r="E384" s="1" t="n">
        <v>46220</v>
      </c>
      <c r="F384" t="inlineStr">
        <is>
          <t>UPPSALA LÄN</t>
        </is>
      </c>
      <c r="G384" t="inlineStr">
        <is>
          <t>TIERP</t>
        </is>
      </c>
      <c r="H384" t="inlineStr">
        <is>
          <t>Bergvik skog öst AB</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55719-2025</t>
        </is>
      </c>
      <c r="B385" t="inlineStr">
        <is>
          <t>avverkningsanmälan</t>
        </is>
      </c>
      <c r="C385" t="inlineStr">
        <is>
          <t>Föryngringsavverkning</t>
        </is>
      </c>
      <c r="D385" s="1" t="n">
        <v>45972</v>
      </c>
      <c r="E385" s="1" t="n">
        <v>46220</v>
      </c>
      <c r="F385" t="inlineStr">
        <is>
          <t>UPPSALA LÄN</t>
        </is>
      </c>
      <c r="G385" t="inlineStr">
        <is>
          <t>TIERP</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56044-2025</t>
        </is>
      </c>
      <c r="B386" t="inlineStr">
        <is>
          <t>avverkningsanmälan</t>
        </is>
      </c>
      <c r="C386" t="inlineStr">
        <is>
          <t>Föryngringsavverkning</t>
        </is>
      </c>
      <c r="D386" s="1" t="n">
        <v>45973</v>
      </c>
      <c r="E386" s="1" t="n">
        <v>46220</v>
      </c>
      <c r="F386" t="inlineStr">
        <is>
          <t>UPPSALA LÄN</t>
        </is>
      </c>
      <c r="G386" t="inlineStr">
        <is>
          <t>TIERP</t>
        </is>
      </c>
      <c r="H386" t="inlineStr">
        <is>
          <t>Bergvik skog väst AB</t>
        </is>
      </c>
      <c r="I386" t="n">
        <v>3.9</v>
      </c>
      <c r="J386" t="n">
        <v>0</v>
      </c>
      <c r="K386" t="n">
        <v>0</v>
      </c>
      <c r="L386" t="n">
        <v>0</v>
      </c>
      <c r="M386" t="n">
        <v>0</v>
      </c>
      <c r="N386" t="n">
        <v>0</v>
      </c>
      <c r="O386" t="n">
        <v>0</v>
      </c>
      <c r="P386" t="n">
        <v>0</v>
      </c>
      <c r="Q386" t="n">
        <v>0</v>
      </c>
      <c r="R386" t="n">
        <v>0</v>
      </c>
      <c r="S386" t="n">
        <v>0</v>
      </c>
      <c r="T386" t="n">
        <v>0</v>
      </c>
      <c r="U386" s="2" t="inlineStr"/>
    </row>
    <row r="387" ht="15" customHeight="1">
      <c r="A387" t="inlineStr">
        <is>
          <t>A 55872-2025</t>
        </is>
      </c>
      <c r="B387" t="inlineStr">
        <is>
          <t>avverkningsanmälan</t>
        </is>
      </c>
      <c r="C387" t="inlineStr">
        <is>
          <t>Föryngringsavverkning</t>
        </is>
      </c>
      <c r="D387" s="1" t="n">
        <v>45973</v>
      </c>
      <c r="E387" s="1" t="n">
        <v>46220</v>
      </c>
      <c r="F387" t="inlineStr">
        <is>
          <t>UPPSALA LÄN</t>
        </is>
      </c>
      <c r="G387" t="inlineStr">
        <is>
          <t>TIERP</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55423-2022</t>
        </is>
      </c>
      <c r="B388" t="inlineStr">
        <is>
          <t>avverkningsanmälan</t>
        </is>
      </c>
      <c r="C388" t="inlineStr">
        <is>
          <t>Föryngringsavverkning</t>
        </is>
      </c>
      <c r="D388" s="1" t="n">
        <v>44887</v>
      </c>
      <c r="E388" s="1" t="n">
        <v>46220</v>
      </c>
      <c r="F388" t="inlineStr">
        <is>
          <t>UPPSALA LÄN</t>
        </is>
      </c>
      <c r="G388" t="inlineStr">
        <is>
          <t>TIERP</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56059-2025</t>
        </is>
      </c>
      <c r="B389" t="inlineStr">
        <is>
          <t>avverkningsanmälan</t>
        </is>
      </c>
      <c r="C389" t="inlineStr">
        <is>
          <t>Föryngringsavverkning</t>
        </is>
      </c>
      <c r="D389" s="1" t="n">
        <v>45973</v>
      </c>
      <c r="E389" s="1" t="n">
        <v>46220</v>
      </c>
      <c r="F389" t="inlineStr">
        <is>
          <t>UPPSALA LÄN</t>
        </is>
      </c>
      <c r="G389" t="inlineStr">
        <is>
          <t>TIERP</t>
        </is>
      </c>
      <c r="H389" t="inlineStr">
        <is>
          <t>Bergvik skog väst AB</t>
        </is>
      </c>
      <c r="I389" t="n">
        <v>3.2</v>
      </c>
      <c r="J389" t="n">
        <v>0</v>
      </c>
      <c r="K389" t="n">
        <v>0</v>
      </c>
      <c r="L389" t="n">
        <v>0</v>
      </c>
      <c r="M389" t="n">
        <v>0</v>
      </c>
      <c r="N389" t="n">
        <v>0</v>
      </c>
      <c r="O389" t="n">
        <v>0</v>
      </c>
      <c r="P389" t="n">
        <v>0</v>
      </c>
      <c r="Q389" t="n">
        <v>0</v>
      </c>
      <c r="R389" t="n">
        <v>0</v>
      </c>
      <c r="S389" t="n">
        <v>0</v>
      </c>
      <c r="T389" t="n">
        <v>0</v>
      </c>
      <c r="U389" s="2" t="inlineStr"/>
    </row>
    <row r="390" ht="15" customHeight="1">
      <c r="A390" t="inlineStr">
        <is>
          <t>A 56067-2025</t>
        </is>
      </c>
      <c r="B390" t="inlineStr">
        <is>
          <t>avverkningsanmälan</t>
        </is>
      </c>
      <c r="C390" t="inlineStr">
        <is>
          <t>Föryngringsavverkning</t>
        </is>
      </c>
      <c r="D390" s="1" t="n">
        <v>45973</v>
      </c>
      <c r="E390" s="1" t="n">
        <v>46220</v>
      </c>
      <c r="F390" t="inlineStr">
        <is>
          <t>UPPSALA LÄN</t>
        </is>
      </c>
      <c r="G390" t="inlineStr">
        <is>
          <t>TIERP</t>
        </is>
      </c>
      <c r="H390" t="inlineStr">
        <is>
          <t>Bergvik skog väst AB</t>
        </is>
      </c>
      <c r="I390" t="n">
        <v>8.6</v>
      </c>
      <c r="J390" t="n">
        <v>0</v>
      </c>
      <c r="K390" t="n">
        <v>0</v>
      </c>
      <c r="L390" t="n">
        <v>0</v>
      </c>
      <c r="M390" t="n">
        <v>0</v>
      </c>
      <c r="N390" t="n">
        <v>0</v>
      </c>
      <c r="O390" t="n">
        <v>0</v>
      </c>
      <c r="P390" t="n">
        <v>0</v>
      </c>
      <c r="Q390" t="n">
        <v>0</v>
      </c>
      <c r="R390" t="n">
        <v>0</v>
      </c>
      <c r="S390" t="n">
        <v>0</v>
      </c>
      <c r="T390" t="n">
        <v>0</v>
      </c>
      <c r="U390" s="2" t="inlineStr"/>
    </row>
    <row r="391" ht="15" customHeight="1">
      <c r="A391" t="inlineStr">
        <is>
          <t>A 63649-2023</t>
        </is>
      </c>
      <c r="B391" t="inlineStr">
        <is>
          <t>avverkningsanmälan</t>
        </is>
      </c>
      <c r="C391" t="inlineStr">
        <is>
          <t>Föryngringsavverkning</t>
        </is>
      </c>
      <c r="D391" s="1" t="n">
        <v>45275</v>
      </c>
      <c r="E391" s="1" t="n">
        <v>46220</v>
      </c>
      <c r="F391" t="inlineStr">
        <is>
          <t>UPPSALA LÄN</t>
        </is>
      </c>
      <c r="G391" t="inlineStr">
        <is>
          <t>TIERP</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57064-2025</t>
        </is>
      </c>
      <c r="B392" t="inlineStr">
        <is>
          <t>avverkningsanmälan</t>
        </is>
      </c>
      <c r="C392" t="inlineStr">
        <is>
          <t>Föryngringsavverkning</t>
        </is>
      </c>
      <c r="D392" s="1" t="n">
        <v>45979</v>
      </c>
      <c r="E392" s="1" t="n">
        <v>46220</v>
      </c>
      <c r="F392" t="inlineStr">
        <is>
          <t>UPPSALA LÄN</t>
        </is>
      </c>
      <c r="G392" t="inlineStr">
        <is>
          <t>TIERP</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13691-2024</t>
        </is>
      </c>
      <c r="B393" t="inlineStr">
        <is>
          <t>avverkningsanmälan</t>
        </is>
      </c>
      <c r="C393" t="inlineStr">
        <is>
          <t>Föryngringsavverkning</t>
        </is>
      </c>
      <c r="D393" s="1" t="n">
        <v>45390</v>
      </c>
      <c r="E393" s="1" t="n">
        <v>46220</v>
      </c>
      <c r="F393" t="inlineStr">
        <is>
          <t>UPPSALA LÄN</t>
        </is>
      </c>
      <c r="G393" t="inlineStr">
        <is>
          <t>TIERP</t>
        </is>
      </c>
      <c r="H393" t="inlineStr">
        <is>
          <t>Bergvik skog väst AB</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16253-2022</t>
        </is>
      </c>
      <c r="B394" t="inlineStr">
        <is>
          <t>avverkningsanmälan</t>
        </is>
      </c>
      <c r="C394" t="inlineStr">
        <is>
          <t>Föryngringsavverkning</t>
        </is>
      </c>
      <c r="D394" s="1" t="n">
        <v>44670</v>
      </c>
      <c r="E394" s="1" t="n">
        <v>46220</v>
      </c>
      <c r="F394" t="inlineStr">
        <is>
          <t>UPPSALA LÄN</t>
        </is>
      </c>
      <c r="G394" t="inlineStr">
        <is>
          <t>TIERP</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46681-2022</t>
        </is>
      </c>
      <c r="B395" t="inlineStr">
        <is>
          <t>avverkningsanmälan</t>
        </is>
      </c>
      <c r="C395" t="inlineStr">
        <is>
          <t>Föryngringsavverkning</t>
        </is>
      </c>
      <c r="D395" s="1" t="n">
        <v>44843</v>
      </c>
      <c r="E395" s="1" t="n">
        <v>46220</v>
      </c>
      <c r="F395" t="inlineStr">
        <is>
          <t>UPPSALA LÄN</t>
        </is>
      </c>
      <c r="G395" t="inlineStr">
        <is>
          <t>TIERP</t>
        </is>
      </c>
      <c r="I395" t="n">
        <v>5.9</v>
      </c>
      <c r="J395" t="n">
        <v>0</v>
      </c>
      <c r="K395" t="n">
        <v>0</v>
      </c>
      <c r="L395" t="n">
        <v>0</v>
      </c>
      <c r="M395" t="n">
        <v>0</v>
      </c>
      <c r="N395" t="n">
        <v>0</v>
      </c>
      <c r="O395" t="n">
        <v>0</v>
      </c>
      <c r="P395" t="n">
        <v>0</v>
      </c>
      <c r="Q395" t="n">
        <v>0</v>
      </c>
      <c r="R395" t="n">
        <v>0</v>
      </c>
      <c r="S395" t="n">
        <v>0</v>
      </c>
      <c r="T395" t="n">
        <v>0</v>
      </c>
      <c r="U395" s="2" t="inlineStr"/>
    </row>
    <row r="396" ht="15" customHeight="1">
      <c r="A396" t="inlineStr">
        <is>
          <t>A 58134-2025</t>
        </is>
      </c>
      <c r="B396" t="inlineStr">
        <is>
          <t>avverkningsanmälan</t>
        </is>
      </c>
      <c r="C396" t="inlineStr">
        <is>
          <t>Föryngringsavverkning</t>
        </is>
      </c>
      <c r="D396" s="1" t="n">
        <v>45982</v>
      </c>
      <c r="E396" s="1" t="n">
        <v>46220</v>
      </c>
      <c r="F396" t="inlineStr">
        <is>
          <t>UPPSALA LÄN</t>
        </is>
      </c>
      <c r="G396" t="inlineStr">
        <is>
          <t>TIERP</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57944-2025</t>
        </is>
      </c>
      <c r="B397" t="inlineStr">
        <is>
          <t>avverkningsanmälan</t>
        </is>
      </c>
      <c r="C397" t="inlineStr">
        <is>
          <t>Föryngringsavverkning</t>
        </is>
      </c>
      <c r="D397" s="1" t="n">
        <v>45982</v>
      </c>
      <c r="E397" s="1" t="n">
        <v>46220</v>
      </c>
      <c r="F397" t="inlineStr">
        <is>
          <t>UPPSALA LÄN</t>
        </is>
      </c>
      <c r="G397" t="inlineStr">
        <is>
          <t>TIERP</t>
        </is>
      </c>
      <c r="H397" t="inlineStr">
        <is>
          <t>Övriga Aktiebolag</t>
        </is>
      </c>
      <c r="I397" t="n">
        <v>6.2</v>
      </c>
      <c r="J397" t="n">
        <v>0</v>
      </c>
      <c r="K397" t="n">
        <v>0</v>
      </c>
      <c r="L397" t="n">
        <v>0</v>
      </c>
      <c r="M397" t="n">
        <v>0</v>
      </c>
      <c r="N397" t="n">
        <v>0</v>
      </c>
      <c r="O397" t="n">
        <v>0</v>
      </c>
      <c r="P397" t="n">
        <v>0</v>
      </c>
      <c r="Q397" t="n">
        <v>0</v>
      </c>
      <c r="R397" t="n">
        <v>0</v>
      </c>
      <c r="S397" t="n">
        <v>0</v>
      </c>
      <c r="T397" t="n">
        <v>0</v>
      </c>
      <c r="U397" s="2" t="inlineStr"/>
    </row>
    <row r="398" ht="15" customHeight="1">
      <c r="A398" t="inlineStr">
        <is>
          <t>A 58264-2024</t>
        </is>
      </c>
      <c r="B398" t="inlineStr">
        <is>
          <t>avverkningsanmälan</t>
        </is>
      </c>
      <c r="C398" t="inlineStr">
        <is>
          <t>Föryngringsavverkning</t>
        </is>
      </c>
      <c r="D398" s="1" t="n">
        <v>45632</v>
      </c>
      <c r="E398" s="1" t="n">
        <v>46220</v>
      </c>
      <c r="F398" t="inlineStr">
        <is>
          <t>UPPSALA LÄN</t>
        </is>
      </c>
      <c r="G398" t="inlineStr">
        <is>
          <t>TIERP</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58842-2025</t>
        </is>
      </c>
      <c r="B399" t="inlineStr">
        <is>
          <t>avverkningsanmälan</t>
        </is>
      </c>
      <c r="C399" t="inlineStr">
        <is>
          <t>Föryngringsavverkning</t>
        </is>
      </c>
      <c r="D399" s="1" t="n">
        <v>45987</v>
      </c>
      <c r="E399" s="1" t="n">
        <v>46220</v>
      </c>
      <c r="F399" t="inlineStr">
        <is>
          <t>UPPSALA LÄN</t>
        </is>
      </c>
      <c r="G399" t="inlineStr">
        <is>
          <t>TIERP</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53090-2025</t>
        </is>
      </c>
      <c r="B400" t="inlineStr">
        <is>
          <t>avverkningsanmälan</t>
        </is>
      </c>
      <c r="C400" t="inlineStr">
        <is>
          <t>Föryngringsavverkning</t>
        </is>
      </c>
      <c r="D400" s="1" t="n">
        <v>45958</v>
      </c>
      <c r="E400" s="1" t="n">
        <v>46220</v>
      </c>
      <c r="F400" t="inlineStr">
        <is>
          <t>UPPSALA LÄN</t>
        </is>
      </c>
      <c r="G400" t="inlineStr">
        <is>
          <t>TIERP</t>
        </is>
      </c>
      <c r="H400" t="inlineStr">
        <is>
          <t>Bergvik skog öst AB</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18526-2025</t>
        </is>
      </c>
      <c r="B401" t="inlineStr">
        <is>
          <t>avverkningsanmälan</t>
        </is>
      </c>
      <c r="C401" t="inlineStr">
        <is>
          <t>Föryngringsavverkning</t>
        </is>
      </c>
      <c r="D401" s="1" t="n">
        <v>45763</v>
      </c>
      <c r="E401" s="1" t="n">
        <v>46220</v>
      </c>
      <c r="F401" t="inlineStr">
        <is>
          <t>UPPSALA LÄN</t>
        </is>
      </c>
      <c r="G401" t="inlineStr">
        <is>
          <t>TIERP</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58661-2025</t>
        </is>
      </c>
      <c r="B402" t="inlineStr">
        <is>
          <t>avverkningsanmälan</t>
        </is>
      </c>
      <c r="C402" t="inlineStr">
        <is>
          <t>Föryngringsavverkning</t>
        </is>
      </c>
      <c r="D402" s="1" t="n">
        <v>45986</v>
      </c>
      <c r="E402" s="1" t="n">
        <v>46220</v>
      </c>
      <c r="F402" t="inlineStr">
        <is>
          <t>UPPSALA LÄN</t>
        </is>
      </c>
      <c r="G402" t="inlineStr">
        <is>
          <t>TIERP</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53784-2025</t>
        </is>
      </c>
      <c r="B403" t="inlineStr">
        <is>
          <t>avverkningsanmälan</t>
        </is>
      </c>
      <c r="C403" t="inlineStr">
        <is>
          <t>Föryngringsavverkning</t>
        </is>
      </c>
      <c r="D403" s="1" t="n">
        <v>45960</v>
      </c>
      <c r="E403" s="1" t="n">
        <v>46220</v>
      </c>
      <c r="F403" t="inlineStr">
        <is>
          <t>UPPSALA LÄN</t>
        </is>
      </c>
      <c r="G403" t="inlineStr">
        <is>
          <t>TIERP</t>
        </is>
      </c>
      <c r="H403" t="inlineStr">
        <is>
          <t>Bergvik skog öst AB</t>
        </is>
      </c>
      <c r="I403" t="n">
        <v>2.1</v>
      </c>
      <c r="J403" t="n">
        <v>0</v>
      </c>
      <c r="K403" t="n">
        <v>0</v>
      </c>
      <c r="L403" t="n">
        <v>0</v>
      </c>
      <c r="M403" t="n">
        <v>0</v>
      </c>
      <c r="N403" t="n">
        <v>0</v>
      </c>
      <c r="O403" t="n">
        <v>0</v>
      </c>
      <c r="P403" t="n">
        <v>0</v>
      </c>
      <c r="Q403" t="n">
        <v>0</v>
      </c>
      <c r="R403" t="n">
        <v>0</v>
      </c>
      <c r="S403" t="n">
        <v>0</v>
      </c>
      <c r="T403" t="n">
        <v>0</v>
      </c>
      <c r="U403" s="2" t="inlineStr"/>
    </row>
    <row r="404" ht="15" customHeight="1">
      <c r="A404" t="inlineStr">
        <is>
          <t>A 53798-2025</t>
        </is>
      </c>
      <c r="B404" t="inlineStr">
        <is>
          <t>avverkningsanmälan</t>
        </is>
      </c>
      <c r="C404" t="inlineStr">
        <is>
          <t>Föryngringsavverkning</t>
        </is>
      </c>
      <c r="D404" s="1" t="n">
        <v>45960</v>
      </c>
      <c r="E404" s="1" t="n">
        <v>46220</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59388-2025</t>
        </is>
      </c>
      <c r="B405" t="inlineStr">
        <is>
          <t>avverkningsanmälan</t>
        </is>
      </c>
      <c r="C405" t="inlineStr">
        <is>
          <t>Föryngringsavverkning</t>
        </is>
      </c>
      <c r="D405" s="1" t="n">
        <v>45989</v>
      </c>
      <c r="E405" s="1" t="n">
        <v>46220</v>
      </c>
      <c r="F405" t="inlineStr">
        <is>
          <t>UPPSALA LÄN</t>
        </is>
      </c>
      <c r="G405" t="inlineStr">
        <is>
          <t>TIERP</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45146-2021</t>
        </is>
      </c>
      <c r="B406" t="inlineStr">
        <is>
          <t>avverkningsanmälan</t>
        </is>
      </c>
      <c r="C406" t="inlineStr">
        <is>
          <t>Föryngringsavverkning</t>
        </is>
      </c>
      <c r="D406" s="1" t="n">
        <v>44439</v>
      </c>
      <c r="E406" s="1" t="n">
        <v>46220</v>
      </c>
      <c r="F406" t="inlineStr">
        <is>
          <t>UPPSALA LÄN</t>
        </is>
      </c>
      <c r="G406" t="inlineStr">
        <is>
          <t>TIERP</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59267-2024</t>
        </is>
      </c>
      <c r="B407" t="inlineStr">
        <is>
          <t>avverkningsanmälan</t>
        </is>
      </c>
      <c r="C407" t="inlineStr">
        <is>
          <t>Föryngringsavverkning</t>
        </is>
      </c>
      <c r="D407" s="1" t="n">
        <v>45637</v>
      </c>
      <c r="E407" s="1" t="n">
        <v>46220</v>
      </c>
      <c r="F407" t="inlineStr">
        <is>
          <t>UPPSALA LÄN</t>
        </is>
      </c>
      <c r="G407" t="inlineStr">
        <is>
          <t>TIERP</t>
        </is>
      </c>
      <c r="I407" t="n">
        <v>4.1</v>
      </c>
      <c r="J407" t="n">
        <v>0</v>
      </c>
      <c r="K407" t="n">
        <v>0</v>
      </c>
      <c r="L407" t="n">
        <v>0</v>
      </c>
      <c r="M407" t="n">
        <v>0</v>
      </c>
      <c r="N407" t="n">
        <v>0</v>
      </c>
      <c r="O407" t="n">
        <v>0</v>
      </c>
      <c r="P407" t="n">
        <v>0</v>
      </c>
      <c r="Q407" t="n">
        <v>0</v>
      </c>
      <c r="R407" t="n">
        <v>0</v>
      </c>
      <c r="S407" t="n">
        <v>0</v>
      </c>
      <c r="T407" t="n">
        <v>0</v>
      </c>
      <c r="U407" s="2" t="inlineStr"/>
    </row>
    <row r="408" ht="15" customHeight="1">
      <c r="A408" t="inlineStr">
        <is>
          <t>A 59555-2025</t>
        </is>
      </c>
      <c r="B408" t="inlineStr">
        <is>
          <t>avverkningsanmälan</t>
        </is>
      </c>
      <c r="C408" t="inlineStr">
        <is>
          <t>Föryngringsavverkning</t>
        </is>
      </c>
      <c r="D408" s="1" t="n">
        <v>45991</v>
      </c>
      <c r="E408" s="1" t="n">
        <v>46220</v>
      </c>
      <c r="F408" t="inlineStr">
        <is>
          <t>UPPSALA LÄN</t>
        </is>
      </c>
      <c r="G408" t="inlineStr">
        <is>
          <t>TIERP</t>
        </is>
      </c>
      <c r="H408" t="inlineStr">
        <is>
          <t>Bergvik skog väst AB</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61677-2023</t>
        </is>
      </c>
      <c r="B409" t="inlineStr">
        <is>
          <t>avverkningsanmälan</t>
        </is>
      </c>
      <c r="C409" t="inlineStr">
        <is>
          <t>Föryngringsavverkning</t>
        </is>
      </c>
      <c r="D409" s="1" t="n">
        <v>45265</v>
      </c>
      <c r="E409" s="1" t="n">
        <v>46220</v>
      </c>
      <c r="F409" t="inlineStr">
        <is>
          <t>UPPSALA LÄN</t>
        </is>
      </c>
      <c r="G409" t="inlineStr">
        <is>
          <t>TIERP</t>
        </is>
      </c>
      <c r="I409" t="n">
        <v>0.4</v>
      </c>
      <c r="J409" t="n">
        <v>0</v>
      </c>
      <c r="K409" t="n">
        <v>0</v>
      </c>
      <c r="L409" t="n">
        <v>0</v>
      </c>
      <c r="M409" t="n">
        <v>0</v>
      </c>
      <c r="N409" t="n">
        <v>0</v>
      </c>
      <c r="O409" t="n">
        <v>0</v>
      </c>
      <c r="P409" t="n">
        <v>0</v>
      </c>
      <c r="Q409" t="n">
        <v>0</v>
      </c>
      <c r="R409" t="n">
        <v>0</v>
      </c>
      <c r="S409" t="n">
        <v>0</v>
      </c>
      <c r="T409" t="n">
        <v>0</v>
      </c>
      <c r="U409" s="2" t="inlineStr"/>
    </row>
    <row r="410" ht="15" customHeight="1">
      <c r="A410" t="inlineStr">
        <is>
          <t>A 52869-2025</t>
        </is>
      </c>
      <c r="B410" t="inlineStr">
        <is>
          <t>avverkningsanmälan</t>
        </is>
      </c>
      <c r="C410" t="inlineStr">
        <is>
          <t>Avverkning för annat ändamål</t>
        </is>
      </c>
      <c r="D410" s="1" t="n">
        <v>45957</v>
      </c>
      <c r="E410" s="1" t="n">
        <v>46220</v>
      </c>
      <c r="F410" t="inlineStr">
        <is>
          <t>UPPSALA LÄN</t>
        </is>
      </c>
      <c r="G410" t="inlineStr">
        <is>
          <t>TIERP</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60142-2025</t>
        </is>
      </c>
      <c r="B411" t="inlineStr">
        <is>
          <t>avverkningsanmälan</t>
        </is>
      </c>
      <c r="C411" t="inlineStr">
        <is>
          <t>Föryngringsavverkning</t>
        </is>
      </c>
      <c r="D411" s="1" t="n">
        <v>45994</v>
      </c>
      <c r="E411" s="1" t="n">
        <v>46220</v>
      </c>
      <c r="F411" t="inlineStr">
        <is>
          <t>UPPSALA LÄN</t>
        </is>
      </c>
      <c r="G411" t="inlineStr">
        <is>
          <t>TIERP</t>
        </is>
      </c>
      <c r="H411" t="inlineStr">
        <is>
          <t>Bergvik skog öst AB</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7591-2023</t>
        </is>
      </c>
      <c r="B412" t="inlineStr">
        <is>
          <t>avverkningsanmälan</t>
        </is>
      </c>
      <c r="C412" t="inlineStr">
        <is>
          <t>Föryngringsavverkning</t>
        </is>
      </c>
      <c r="D412" s="1" t="n">
        <v>44972</v>
      </c>
      <c r="E412" s="1" t="n">
        <v>46220</v>
      </c>
      <c r="F412" t="inlineStr">
        <is>
          <t>UPPSALA LÄN</t>
        </is>
      </c>
      <c r="G412" t="inlineStr">
        <is>
          <t>TIERP</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60139-2025</t>
        </is>
      </c>
      <c r="B413" t="inlineStr">
        <is>
          <t>avverkningsanmälan</t>
        </is>
      </c>
      <c r="C413" t="inlineStr">
        <is>
          <t>Föryngringsavverkning</t>
        </is>
      </c>
      <c r="D413" s="1" t="n">
        <v>45994</v>
      </c>
      <c r="E413" s="1" t="n">
        <v>46220</v>
      </c>
      <c r="F413" t="inlineStr">
        <is>
          <t>UPPSALA LÄN</t>
        </is>
      </c>
      <c r="G413" t="inlineStr">
        <is>
          <t>TIERP</t>
        </is>
      </c>
      <c r="H413" t="inlineStr">
        <is>
          <t>Bergvik skog öst AB</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18130-2022</t>
        </is>
      </c>
      <c r="B414" t="inlineStr">
        <is>
          <t>avverkningsanmälan</t>
        </is>
      </c>
      <c r="C414" t="inlineStr">
        <is>
          <t>Föryngringsavverkning</t>
        </is>
      </c>
      <c r="D414" s="1" t="n">
        <v>44684</v>
      </c>
      <c r="E414" s="1" t="n">
        <v>46220</v>
      </c>
      <c r="F414" t="inlineStr">
        <is>
          <t>UPPSALA LÄN</t>
        </is>
      </c>
      <c r="G414" t="inlineStr">
        <is>
          <t>TIERP</t>
        </is>
      </c>
      <c r="I414" t="n">
        <v>7.6</v>
      </c>
      <c r="J414" t="n">
        <v>0</v>
      </c>
      <c r="K414" t="n">
        <v>0</v>
      </c>
      <c r="L414" t="n">
        <v>0</v>
      </c>
      <c r="M414" t="n">
        <v>0</v>
      </c>
      <c r="N414" t="n">
        <v>0</v>
      </c>
      <c r="O414" t="n">
        <v>0</v>
      </c>
      <c r="P414" t="n">
        <v>0</v>
      </c>
      <c r="Q414" t="n">
        <v>0</v>
      </c>
      <c r="R414" t="n">
        <v>0</v>
      </c>
      <c r="S414" t="n">
        <v>0</v>
      </c>
      <c r="T414" t="n">
        <v>0</v>
      </c>
      <c r="U414" s="2" t="inlineStr"/>
    </row>
    <row r="415" ht="15" customHeight="1">
      <c r="A415" t="inlineStr">
        <is>
          <t>A 30509-2024</t>
        </is>
      </c>
      <c r="B415" t="inlineStr">
        <is>
          <t>avverkningsanmälan</t>
        </is>
      </c>
      <c r="C415" t="inlineStr">
        <is>
          <t>Föryngringsavverkning</t>
        </is>
      </c>
      <c r="D415" s="1" t="n">
        <v>45492</v>
      </c>
      <c r="E415" s="1" t="n">
        <v>46220</v>
      </c>
      <c r="F415" t="inlineStr">
        <is>
          <t>UPPSALA LÄN</t>
        </is>
      </c>
      <c r="G415" t="inlineStr">
        <is>
          <t>TIERP</t>
        </is>
      </c>
      <c r="H415" t="inlineStr">
        <is>
          <t>Bergvik skog öst AB</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60211-2025</t>
        </is>
      </c>
      <c r="B416" t="inlineStr">
        <is>
          <t>avverkningsanmälan</t>
        </is>
      </c>
      <c r="C416" t="inlineStr">
        <is>
          <t>Föryngringsavverkning</t>
        </is>
      </c>
      <c r="D416" s="1" t="n">
        <v>45994</v>
      </c>
      <c r="E416" s="1" t="n">
        <v>46220</v>
      </c>
      <c r="F416" t="inlineStr">
        <is>
          <t>UPPSALA LÄN</t>
        </is>
      </c>
      <c r="G416" t="inlineStr">
        <is>
          <t>TIERP</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40624-2023</t>
        </is>
      </c>
      <c r="B417" t="inlineStr">
        <is>
          <t>avverkningsanmälan</t>
        </is>
      </c>
      <c r="C417" t="inlineStr">
        <is>
          <t>Avverkning för att bevara och utveckla /försöksver</t>
        </is>
      </c>
      <c r="D417" s="1" t="n">
        <v>45170</v>
      </c>
      <c r="E417" s="1" t="n">
        <v>46220</v>
      </c>
      <c r="F417" t="inlineStr">
        <is>
          <t>UPPSALA LÄN</t>
        </is>
      </c>
      <c r="G417" t="inlineStr">
        <is>
          <t>TIERP</t>
        </is>
      </c>
      <c r="H417" t="inlineStr">
        <is>
          <t>Bergvik skog väst AB</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60795-2025</t>
        </is>
      </c>
      <c r="B418" t="inlineStr">
        <is>
          <t>avverkningsanmälan</t>
        </is>
      </c>
      <c r="C418" t="inlineStr">
        <is>
          <t>Föryngringsavverkning</t>
        </is>
      </c>
      <c r="D418" s="1" t="n">
        <v>45999</v>
      </c>
      <c r="E418" s="1" t="n">
        <v>46220</v>
      </c>
      <c r="F418" t="inlineStr">
        <is>
          <t>UPPSALA LÄN</t>
        </is>
      </c>
      <c r="G418" t="inlineStr">
        <is>
          <t>TIERP</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61252-2025</t>
        </is>
      </c>
      <c r="B419" t="inlineStr">
        <is>
          <t>avverkningsanmälan</t>
        </is>
      </c>
      <c r="C419" t="inlineStr">
        <is>
          <t>Föryngringsavverkning</t>
        </is>
      </c>
      <c r="D419" s="1" t="n">
        <v>46000</v>
      </c>
      <c r="E419" s="1" t="n">
        <v>46220</v>
      </c>
      <c r="F419" t="inlineStr">
        <is>
          <t>UPPSALA LÄN</t>
        </is>
      </c>
      <c r="G419" t="inlineStr">
        <is>
          <t>TIERP</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53991-2025</t>
        </is>
      </c>
      <c r="B420" t="inlineStr">
        <is>
          <t>avverkningsanmälan</t>
        </is>
      </c>
      <c r="C420" t="inlineStr">
        <is>
          <t>Föryngringsavverkning</t>
        </is>
      </c>
      <c r="D420" s="1" t="n">
        <v>45961</v>
      </c>
      <c r="E420" s="1" t="n">
        <v>46220</v>
      </c>
      <c r="F420" t="inlineStr">
        <is>
          <t>UPPSALA LÄN</t>
        </is>
      </c>
      <c r="G420" t="inlineStr">
        <is>
          <t>TIERP</t>
        </is>
      </c>
      <c r="H420" t="inlineStr">
        <is>
          <t>Bergvik skog öst AB</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54006-2025</t>
        </is>
      </c>
      <c r="B421" t="inlineStr">
        <is>
          <t>avverkningsanmälan</t>
        </is>
      </c>
      <c r="C421" t="inlineStr">
        <is>
          <t>Föryngringsavverkning</t>
        </is>
      </c>
      <c r="D421" s="1" t="n">
        <v>45961</v>
      </c>
      <c r="E421" s="1" t="n">
        <v>46220</v>
      </c>
      <c r="F421" t="inlineStr">
        <is>
          <t>UPPSALA LÄN</t>
        </is>
      </c>
      <c r="G421" t="inlineStr">
        <is>
          <t>TIERP</t>
        </is>
      </c>
      <c r="H421" t="inlineStr">
        <is>
          <t>Bergvik skog öst AB</t>
        </is>
      </c>
      <c r="I421" t="n">
        <v>3.5</v>
      </c>
      <c r="J421" t="n">
        <v>0</v>
      </c>
      <c r="K421" t="n">
        <v>0</v>
      </c>
      <c r="L421" t="n">
        <v>0</v>
      </c>
      <c r="M421" t="n">
        <v>0</v>
      </c>
      <c r="N421" t="n">
        <v>0</v>
      </c>
      <c r="O421" t="n">
        <v>0</v>
      </c>
      <c r="P421" t="n">
        <v>0</v>
      </c>
      <c r="Q421" t="n">
        <v>0</v>
      </c>
      <c r="R421" t="n">
        <v>0</v>
      </c>
      <c r="S421" t="n">
        <v>0</v>
      </c>
      <c r="T421" t="n">
        <v>0</v>
      </c>
      <c r="U421" s="2" t="inlineStr"/>
    </row>
    <row r="422" ht="15" customHeight="1">
      <c r="A422" t="inlineStr">
        <is>
          <t>A 61928-2025</t>
        </is>
      </c>
      <c r="B422" t="inlineStr">
        <is>
          <t>avverkningsanmälan</t>
        </is>
      </c>
      <c r="C422" t="inlineStr">
        <is>
          <t>Föryngringsavverkning</t>
        </is>
      </c>
      <c r="D422" s="1" t="n">
        <v>46003</v>
      </c>
      <c r="E422" s="1" t="n">
        <v>46220</v>
      </c>
      <c r="F422" t="inlineStr">
        <is>
          <t>UPPSALA LÄN</t>
        </is>
      </c>
      <c r="G422" t="inlineStr">
        <is>
          <t>TIERP</t>
        </is>
      </c>
      <c r="H422" t="inlineStr">
        <is>
          <t>Övriga Aktiebolag</t>
        </is>
      </c>
      <c r="I422" t="n">
        <v>9.1</v>
      </c>
      <c r="J422" t="n">
        <v>0</v>
      </c>
      <c r="K422" t="n">
        <v>0</v>
      </c>
      <c r="L422" t="n">
        <v>0</v>
      </c>
      <c r="M422" t="n">
        <v>0</v>
      </c>
      <c r="N422" t="n">
        <v>0</v>
      </c>
      <c r="O422" t="n">
        <v>0</v>
      </c>
      <c r="P422" t="n">
        <v>0</v>
      </c>
      <c r="Q422" t="n">
        <v>0</v>
      </c>
      <c r="R422" t="n">
        <v>0</v>
      </c>
      <c r="S422" t="n">
        <v>0</v>
      </c>
      <c r="T422" t="n">
        <v>0</v>
      </c>
      <c r="U422" s="2" t="inlineStr"/>
    </row>
    <row r="423" ht="15" customHeight="1">
      <c r="A423" t="inlineStr">
        <is>
          <t>A 6071-2023</t>
        </is>
      </c>
      <c r="B423" t="inlineStr">
        <is>
          <t>avverkningsanmälan</t>
        </is>
      </c>
      <c r="C423" t="inlineStr">
        <is>
          <t>Föryngringsavverkning</t>
        </is>
      </c>
      <c r="D423" s="1" t="n">
        <v>44964</v>
      </c>
      <c r="E423" s="1" t="n">
        <v>46220</v>
      </c>
      <c r="F423" t="inlineStr">
        <is>
          <t>UPPSALA LÄN</t>
        </is>
      </c>
      <c r="G423" t="inlineStr">
        <is>
          <t>TIERP</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61672-2025</t>
        </is>
      </c>
      <c r="B424" t="inlineStr">
        <is>
          <t>avverkningsanmälan</t>
        </is>
      </c>
      <c r="C424" t="inlineStr">
        <is>
          <t>Föryngringsavverkning</t>
        </is>
      </c>
      <c r="D424" s="1" t="n">
        <v>46002</v>
      </c>
      <c r="E424" s="1" t="n">
        <v>46220</v>
      </c>
      <c r="F424" t="inlineStr">
        <is>
          <t>UPPSALA LÄN</t>
        </is>
      </c>
      <c r="G424" t="inlineStr">
        <is>
          <t>TIERP</t>
        </is>
      </c>
      <c r="H424" t="inlineStr">
        <is>
          <t>Bergvik skog öst AB</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61671-2025</t>
        </is>
      </c>
      <c r="B425" t="inlineStr">
        <is>
          <t>avverkningsanmälan</t>
        </is>
      </c>
      <c r="C425" t="inlineStr">
        <is>
          <t>Föryngringsavverkning</t>
        </is>
      </c>
      <c r="D425" s="1" t="n">
        <v>46002</v>
      </c>
      <c r="E425" s="1" t="n">
        <v>46220</v>
      </c>
      <c r="F425" t="inlineStr">
        <is>
          <t>UPPSALA LÄN</t>
        </is>
      </c>
      <c r="G425" t="inlineStr">
        <is>
          <t>TIERP</t>
        </is>
      </c>
      <c r="H425" t="inlineStr">
        <is>
          <t>Bergvik skog öst AB</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61674-2025</t>
        </is>
      </c>
      <c r="B426" t="inlineStr">
        <is>
          <t>avverkningsanmälan</t>
        </is>
      </c>
      <c r="C426" t="inlineStr">
        <is>
          <t>Föryngringsavverkning</t>
        </is>
      </c>
      <c r="D426" s="1" t="n">
        <v>46002</v>
      </c>
      <c r="E426" s="1" t="n">
        <v>46220</v>
      </c>
      <c r="F426" t="inlineStr">
        <is>
          <t>UPPSALA LÄN</t>
        </is>
      </c>
      <c r="G426" t="inlineStr">
        <is>
          <t>TIERP</t>
        </is>
      </c>
      <c r="H426" t="inlineStr">
        <is>
          <t>Bergvik skog öst AB</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61599-2025</t>
        </is>
      </c>
      <c r="B427" t="inlineStr">
        <is>
          <t>avverkningsanmälan</t>
        </is>
      </c>
      <c r="C427" t="inlineStr">
        <is>
          <t>Föryngringsavverkning</t>
        </is>
      </c>
      <c r="D427" s="1" t="n">
        <v>46002</v>
      </c>
      <c r="E427" s="1" t="n">
        <v>46220</v>
      </c>
      <c r="F427" t="inlineStr">
        <is>
          <t>UPPSALA LÄN</t>
        </is>
      </c>
      <c r="G427" t="inlineStr">
        <is>
          <t>TIERP</t>
        </is>
      </c>
      <c r="H427" t="inlineStr">
        <is>
          <t>Övriga Aktiebolag</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62484-2025</t>
        </is>
      </c>
      <c r="B428" t="inlineStr">
        <is>
          <t>avverkningsanmälan</t>
        </is>
      </c>
      <c r="C428" t="inlineStr">
        <is>
          <t>Föryngringsavverkning</t>
        </is>
      </c>
      <c r="D428" s="1" t="n">
        <v>46007</v>
      </c>
      <c r="E428" s="1" t="n">
        <v>46220</v>
      </c>
      <c r="F428" t="inlineStr">
        <is>
          <t>UPPSALA LÄN</t>
        </is>
      </c>
      <c r="G428" t="inlineStr">
        <is>
          <t>TIERP</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9664-2023</t>
        </is>
      </c>
      <c r="B429" t="inlineStr">
        <is>
          <t>avverkningsanmälan</t>
        </is>
      </c>
      <c r="C429" t="inlineStr">
        <is>
          <t>Föryngringsavverkning</t>
        </is>
      </c>
      <c r="D429" s="1" t="n">
        <v>44984</v>
      </c>
      <c r="E429" s="1" t="n">
        <v>46220</v>
      </c>
      <c r="F429" t="inlineStr">
        <is>
          <t>UPPSALA LÄN</t>
        </is>
      </c>
      <c r="G429" t="inlineStr">
        <is>
          <t>TIERP</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20496-2023</t>
        </is>
      </c>
      <c r="B430" t="inlineStr">
        <is>
          <t>avverkningsanmälan</t>
        </is>
      </c>
      <c r="C430" t="inlineStr">
        <is>
          <t>Föryngringsavverkning</t>
        </is>
      </c>
      <c r="D430" s="1" t="n">
        <v>45057</v>
      </c>
      <c r="E430" s="1" t="n">
        <v>46220</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63066-2025</t>
        </is>
      </c>
      <c r="B431" t="inlineStr">
        <is>
          <t>avverkningsanmälan</t>
        </is>
      </c>
      <c r="C431" t="inlineStr">
        <is>
          <t>Föryngringsavverkning</t>
        </is>
      </c>
      <c r="D431" s="1" t="n">
        <v>46009</v>
      </c>
      <c r="E431" s="1" t="n">
        <v>46220</v>
      </c>
      <c r="F431" t="inlineStr">
        <is>
          <t>UPPSALA LÄN</t>
        </is>
      </c>
      <c r="G431" t="inlineStr">
        <is>
          <t>TIERP</t>
        </is>
      </c>
      <c r="I431" t="n">
        <v>3</v>
      </c>
      <c r="J431" t="n">
        <v>0</v>
      </c>
      <c r="K431" t="n">
        <v>0</v>
      </c>
      <c r="L431" t="n">
        <v>0</v>
      </c>
      <c r="M431" t="n">
        <v>0</v>
      </c>
      <c r="N431" t="n">
        <v>0</v>
      </c>
      <c r="O431" t="n">
        <v>0</v>
      </c>
      <c r="P431" t="n">
        <v>0</v>
      </c>
      <c r="Q431" t="n">
        <v>0</v>
      </c>
      <c r="R431" t="n">
        <v>0</v>
      </c>
      <c r="S431" t="n">
        <v>0</v>
      </c>
      <c r="T431" t="n">
        <v>0</v>
      </c>
      <c r="U431" s="2" t="inlineStr"/>
    </row>
    <row r="432" ht="15" customHeight="1">
      <c r="A432" t="inlineStr">
        <is>
          <t>A 62872-2025</t>
        </is>
      </c>
      <c r="B432" t="inlineStr">
        <is>
          <t>avverkningsanmälan</t>
        </is>
      </c>
      <c r="C432" t="inlineStr">
        <is>
          <t>Föryngringsavverkning</t>
        </is>
      </c>
      <c r="D432" s="1" t="n">
        <v>46008</v>
      </c>
      <c r="E432" s="1" t="n">
        <v>46220</v>
      </c>
      <c r="F432" t="inlineStr">
        <is>
          <t>UPPSALA LÄN</t>
        </is>
      </c>
      <c r="G432" t="inlineStr">
        <is>
          <t>TIERP</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62874-2025</t>
        </is>
      </c>
      <c r="B433" t="inlineStr">
        <is>
          <t>avverkningsanmälan</t>
        </is>
      </c>
      <c r="C433" t="inlineStr">
        <is>
          <t>Föryngringsavverkning</t>
        </is>
      </c>
      <c r="D433" s="1" t="n">
        <v>46008</v>
      </c>
      <c r="E433" s="1" t="n">
        <v>46220</v>
      </c>
      <c r="F433" t="inlineStr">
        <is>
          <t>UPPSALA LÄN</t>
        </is>
      </c>
      <c r="G433" t="inlineStr">
        <is>
          <t>TIERP</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58772-2024</t>
        </is>
      </c>
      <c r="B434" t="inlineStr">
        <is>
          <t>avverkningsanmälan</t>
        </is>
      </c>
      <c r="C434" t="inlineStr">
        <is>
          <t>Föryngringsavverkning</t>
        </is>
      </c>
      <c r="D434" s="1" t="n">
        <v>45635</v>
      </c>
      <c r="E434" s="1" t="n">
        <v>46220</v>
      </c>
      <c r="F434" t="inlineStr">
        <is>
          <t>UPPSALA LÄN</t>
        </is>
      </c>
      <c r="G434" t="inlineStr">
        <is>
          <t>TIERP</t>
        </is>
      </c>
      <c r="I434" t="n">
        <v>4.7</v>
      </c>
      <c r="J434" t="n">
        <v>0</v>
      </c>
      <c r="K434" t="n">
        <v>0</v>
      </c>
      <c r="L434" t="n">
        <v>0</v>
      </c>
      <c r="M434" t="n">
        <v>0</v>
      </c>
      <c r="N434" t="n">
        <v>0</v>
      </c>
      <c r="O434" t="n">
        <v>0</v>
      </c>
      <c r="P434" t="n">
        <v>0</v>
      </c>
      <c r="Q434" t="n">
        <v>0</v>
      </c>
      <c r="R434" t="n">
        <v>0</v>
      </c>
      <c r="S434" t="n">
        <v>0</v>
      </c>
      <c r="T434" t="n">
        <v>0</v>
      </c>
      <c r="U434" s="2" t="inlineStr"/>
    </row>
    <row r="435" ht="15" customHeight="1">
      <c r="A435" t="inlineStr">
        <is>
          <t>A 62855-2025</t>
        </is>
      </c>
      <c r="B435" t="inlineStr">
        <is>
          <t>avverkningsanmälan</t>
        </is>
      </c>
      <c r="C435" t="inlineStr">
        <is>
          <t>Föryngringsavverkning</t>
        </is>
      </c>
      <c r="D435" s="1" t="n">
        <v>46008</v>
      </c>
      <c r="E435" s="1" t="n">
        <v>46220</v>
      </c>
      <c r="F435" t="inlineStr">
        <is>
          <t>UPPSALA LÄN</t>
        </is>
      </c>
      <c r="G435" t="inlineStr">
        <is>
          <t>TIERP</t>
        </is>
      </c>
      <c r="I435" t="n">
        <v>1.2</v>
      </c>
      <c r="J435" t="n">
        <v>0</v>
      </c>
      <c r="K435" t="n">
        <v>0</v>
      </c>
      <c r="L435" t="n">
        <v>0</v>
      </c>
      <c r="M435" t="n">
        <v>0</v>
      </c>
      <c r="N435" t="n">
        <v>0</v>
      </c>
      <c r="O435" t="n">
        <v>0</v>
      </c>
      <c r="P435" t="n">
        <v>0</v>
      </c>
      <c r="Q435" t="n">
        <v>0</v>
      </c>
      <c r="R435" t="n">
        <v>0</v>
      </c>
      <c r="S435" t="n">
        <v>0</v>
      </c>
      <c r="T435" t="n">
        <v>0</v>
      </c>
      <c r="U435" s="2" t="inlineStr"/>
    </row>
    <row r="436" ht="15" customHeight="1">
      <c r="A436" t="inlineStr">
        <is>
          <t>A 63331-2025</t>
        </is>
      </c>
      <c r="B436" t="inlineStr">
        <is>
          <t>avverkningsanmälan</t>
        </is>
      </c>
      <c r="C436" t="inlineStr">
        <is>
          <t>Föryngringsavverkning</t>
        </is>
      </c>
      <c r="D436" s="1" t="n">
        <v>46010</v>
      </c>
      <c r="E436" s="1" t="n">
        <v>46220</v>
      </c>
      <c r="F436" t="inlineStr">
        <is>
          <t>UPPSALA LÄN</t>
        </is>
      </c>
      <c r="G436" t="inlineStr">
        <is>
          <t>TIERP</t>
        </is>
      </c>
      <c r="H436" t="inlineStr">
        <is>
          <t>Bergvik skog öst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63263-2025</t>
        </is>
      </c>
      <c r="B437" t="inlineStr">
        <is>
          <t>avverkningsanmälan</t>
        </is>
      </c>
      <c r="C437" t="inlineStr">
        <is>
          <t>Föryngringsavverkning</t>
        </is>
      </c>
      <c r="D437" s="1" t="n">
        <v>46010</v>
      </c>
      <c r="E437" s="1" t="n">
        <v>46220</v>
      </c>
      <c r="F437" t="inlineStr">
        <is>
          <t>UPPSALA LÄN</t>
        </is>
      </c>
      <c r="G437" t="inlineStr">
        <is>
          <t>TIERP</t>
        </is>
      </c>
      <c r="H437" t="inlineStr">
        <is>
          <t>Bergvik skog öst AB</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10211-2026</t>
        </is>
      </c>
      <c r="B438" t="inlineStr">
        <is>
          <t>avverkningsanmälan</t>
        </is>
      </c>
      <c r="C438" t="inlineStr">
        <is>
          <t>Föryngringsavverkning</t>
        </is>
      </c>
      <c r="D438" s="1" t="n">
        <v>46076</v>
      </c>
      <c r="E438" s="1" t="n">
        <v>46220</v>
      </c>
      <c r="F438" t="inlineStr">
        <is>
          <t>UPPSALA LÄN</t>
        </is>
      </c>
      <c r="G438" t="inlineStr">
        <is>
          <t>TIERP</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63258-2025</t>
        </is>
      </c>
      <c r="B439" t="inlineStr">
        <is>
          <t>avverkningsanmälan</t>
        </is>
      </c>
      <c r="C439" t="inlineStr">
        <is>
          <t>Föryngringsavverkning</t>
        </is>
      </c>
      <c r="D439" s="1" t="n">
        <v>46010</v>
      </c>
      <c r="E439" s="1" t="n">
        <v>46220</v>
      </c>
      <c r="F439" t="inlineStr">
        <is>
          <t>UPPSALA LÄN</t>
        </is>
      </c>
      <c r="G439" t="inlineStr">
        <is>
          <t>TIERP</t>
        </is>
      </c>
      <c r="H439" t="inlineStr">
        <is>
          <t>Bergvik skog öst AB</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2454-2024</t>
        </is>
      </c>
      <c r="B440" t="inlineStr">
        <is>
          <t>avverkningsanmälan</t>
        </is>
      </c>
      <c r="C440" t="inlineStr">
        <is>
          <t>Föryngringsavverkning</t>
        </is>
      </c>
      <c r="D440" s="1" t="n">
        <v>45312</v>
      </c>
      <c r="E440" s="1" t="n">
        <v>46220</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63259-2025</t>
        </is>
      </c>
      <c r="B441" t="inlineStr">
        <is>
          <t>avverkningsanmälan</t>
        </is>
      </c>
      <c r="C441" t="inlineStr">
        <is>
          <t>Föryngringsavverkning</t>
        </is>
      </c>
      <c r="D441" s="1" t="n">
        <v>46010</v>
      </c>
      <c r="E441" s="1" t="n">
        <v>46220</v>
      </c>
      <c r="F441" t="inlineStr">
        <is>
          <t>UPPSALA LÄN</t>
        </is>
      </c>
      <c r="G441" t="inlineStr">
        <is>
          <t>TIERP</t>
        </is>
      </c>
      <c r="H441" t="inlineStr">
        <is>
          <t>Bergvik skog öst AB</t>
        </is>
      </c>
      <c r="I441" t="n">
        <v>1.3</v>
      </c>
      <c r="J441" t="n">
        <v>0</v>
      </c>
      <c r="K441" t="n">
        <v>0</v>
      </c>
      <c r="L441" t="n">
        <v>0</v>
      </c>
      <c r="M441" t="n">
        <v>0</v>
      </c>
      <c r="N441" t="n">
        <v>0</v>
      </c>
      <c r="O441" t="n">
        <v>0</v>
      </c>
      <c r="P441" t="n">
        <v>0</v>
      </c>
      <c r="Q441" t="n">
        <v>0</v>
      </c>
      <c r="R441" t="n">
        <v>0</v>
      </c>
      <c r="S441" t="n">
        <v>0</v>
      </c>
      <c r="T441" t="n">
        <v>0</v>
      </c>
      <c r="U441" s="2" t="inlineStr"/>
    </row>
    <row r="442" ht="15" customHeight="1">
      <c r="A442" t="inlineStr">
        <is>
          <t>A 63262-2025</t>
        </is>
      </c>
      <c r="B442" t="inlineStr">
        <is>
          <t>avverkningsanmälan</t>
        </is>
      </c>
      <c r="C442" t="inlineStr">
        <is>
          <t>Föryngringsavverkning</t>
        </is>
      </c>
      <c r="D442" s="1" t="n">
        <v>46010</v>
      </c>
      <c r="E442" s="1" t="n">
        <v>46220</v>
      </c>
      <c r="F442" t="inlineStr">
        <is>
          <t>UPPSALA LÄN</t>
        </is>
      </c>
      <c r="G442" t="inlineStr">
        <is>
          <t>TIERP</t>
        </is>
      </c>
      <c r="H442" t="inlineStr">
        <is>
          <t>Bergvik skog öst AB</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63631-2025</t>
        </is>
      </c>
      <c r="B443" t="inlineStr">
        <is>
          <t>avverkningsanmälan</t>
        </is>
      </c>
      <c r="C443" t="inlineStr">
        <is>
          <t>Föryngringsavverkning</t>
        </is>
      </c>
      <c r="D443" s="1" t="n">
        <v>46014</v>
      </c>
      <c r="E443" s="1" t="n">
        <v>46220</v>
      </c>
      <c r="F443" t="inlineStr">
        <is>
          <t>UPPSALA LÄN</t>
        </is>
      </c>
      <c r="G443" t="inlineStr">
        <is>
          <t>TIERP</t>
        </is>
      </c>
      <c r="H443" t="inlineStr">
        <is>
          <t>Övriga Aktiebolag</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10207-2026</t>
        </is>
      </c>
      <c r="B444" t="inlineStr">
        <is>
          <t>avverkningsanmälan</t>
        </is>
      </c>
      <c r="C444" t="inlineStr">
        <is>
          <t>Föryngringsavverkning</t>
        </is>
      </c>
      <c r="D444" s="1" t="n">
        <v>46076</v>
      </c>
      <c r="E444" s="1" t="n">
        <v>46220</v>
      </c>
      <c r="F444" t="inlineStr">
        <is>
          <t>UPPSALA LÄN</t>
        </is>
      </c>
      <c r="G444" t="inlineStr">
        <is>
          <t>TIERP</t>
        </is>
      </c>
      <c r="I444" t="n">
        <v>4.2</v>
      </c>
      <c r="J444" t="n">
        <v>0</v>
      </c>
      <c r="K444" t="n">
        <v>0</v>
      </c>
      <c r="L444" t="n">
        <v>0</v>
      </c>
      <c r="M444" t="n">
        <v>0</v>
      </c>
      <c r="N444" t="n">
        <v>0</v>
      </c>
      <c r="O444" t="n">
        <v>0</v>
      </c>
      <c r="P444" t="n">
        <v>0</v>
      </c>
      <c r="Q444" t="n">
        <v>0</v>
      </c>
      <c r="R444" t="n">
        <v>0</v>
      </c>
      <c r="S444" t="n">
        <v>0</v>
      </c>
      <c r="T444" t="n">
        <v>0</v>
      </c>
      <c r="U444" s="2" t="inlineStr"/>
    </row>
    <row r="445" ht="15" customHeight="1">
      <c r="A445" t="inlineStr">
        <is>
          <t>A 60989-2023</t>
        </is>
      </c>
      <c r="B445" t="inlineStr">
        <is>
          <t>avverkningsanmälan</t>
        </is>
      </c>
      <c r="C445" t="inlineStr">
        <is>
          <t>Föryngringsavverkning</t>
        </is>
      </c>
      <c r="D445" s="1" t="n">
        <v>45259</v>
      </c>
      <c r="E445" s="1" t="n">
        <v>46220</v>
      </c>
      <c r="F445" t="inlineStr">
        <is>
          <t>UPPSALA LÄN</t>
        </is>
      </c>
      <c r="G445" t="inlineStr">
        <is>
          <t>TIERP</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5126-2024</t>
        </is>
      </c>
      <c r="B446" t="inlineStr">
        <is>
          <t>avverkningsanmälan</t>
        </is>
      </c>
      <c r="C446" t="inlineStr">
        <is>
          <t>Föryngringsavverkning</t>
        </is>
      </c>
      <c r="D446" s="1" t="n">
        <v>45330</v>
      </c>
      <c r="E446" s="1" t="n">
        <v>46220</v>
      </c>
      <c r="F446" t="inlineStr">
        <is>
          <t>UPPSALA LÄN</t>
        </is>
      </c>
      <c r="G446" t="inlineStr">
        <is>
          <t>TIERP</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3503-2024</t>
        </is>
      </c>
      <c r="B447" t="inlineStr">
        <is>
          <t>avverkningsanmälan</t>
        </is>
      </c>
      <c r="C447" t="inlineStr">
        <is>
          <t>Föryngringsavverkning</t>
        </is>
      </c>
      <c r="D447" s="1" t="n">
        <v>45320</v>
      </c>
      <c r="E447" s="1" t="n">
        <v>46220</v>
      </c>
      <c r="F447" t="inlineStr">
        <is>
          <t>UPPSALA LÄN</t>
        </is>
      </c>
      <c r="G447" t="inlineStr">
        <is>
          <t>TIERP</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10945-2026</t>
        </is>
      </c>
      <c r="B448" t="inlineStr">
        <is>
          <t>avverkningsanmälan</t>
        </is>
      </c>
      <c r="C448" t="inlineStr">
        <is>
          <t>Föryngringsavverkning</t>
        </is>
      </c>
      <c r="D448" s="1" t="n">
        <v>46079</v>
      </c>
      <c r="E448" s="1" t="n">
        <v>46220</v>
      </c>
      <c r="F448" t="inlineStr">
        <is>
          <t>UPPSALA LÄN</t>
        </is>
      </c>
      <c r="G448" t="inlineStr">
        <is>
          <t>TIERP</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4139-2026</t>
        </is>
      </c>
      <c r="B449" t="inlineStr">
        <is>
          <t>avverkningsanmälan</t>
        </is>
      </c>
      <c r="C449" t="inlineStr">
        <is>
          <t>Föryngringsavverkning</t>
        </is>
      </c>
      <c r="D449" s="1" t="n">
        <v>46044</v>
      </c>
      <c r="E449" s="1" t="n">
        <v>46220</v>
      </c>
      <c r="F449" t="inlineStr">
        <is>
          <t>UPPSALA LÄN</t>
        </is>
      </c>
      <c r="G449" t="inlineStr">
        <is>
          <t>TIERP</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9195-2026</t>
        </is>
      </c>
      <c r="B450" t="inlineStr">
        <is>
          <t>avverkningsanmälan</t>
        </is>
      </c>
      <c r="C450" t="inlineStr">
        <is>
          <t>Föryngringsavverkning</t>
        </is>
      </c>
      <c r="D450" s="1" t="n">
        <v>46070</v>
      </c>
      <c r="E450" s="1" t="n">
        <v>46220</v>
      </c>
      <c r="F450" t="inlineStr">
        <is>
          <t>UPPSALA LÄN</t>
        </is>
      </c>
      <c r="G450" t="inlineStr">
        <is>
          <t>TIERP</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6417-2026</t>
        </is>
      </c>
      <c r="B451" t="inlineStr">
        <is>
          <t>avverkningsanmälan</t>
        </is>
      </c>
      <c r="C451" t="inlineStr">
        <is>
          <t>Föryngringsavverkning</t>
        </is>
      </c>
      <c r="D451" s="1" t="n">
        <v>46055</v>
      </c>
      <c r="E451" s="1" t="n">
        <v>46220</v>
      </c>
      <c r="F451" t="inlineStr">
        <is>
          <t>UPPSALA LÄN</t>
        </is>
      </c>
      <c r="G451" t="inlineStr">
        <is>
          <t>TIERP</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11774-2026</t>
        </is>
      </c>
      <c r="B452" t="inlineStr">
        <is>
          <t>avverkningsanmälan</t>
        </is>
      </c>
      <c r="C452" t="inlineStr">
        <is>
          <t>Föryngringsavverkning</t>
        </is>
      </c>
      <c r="D452" s="1" t="n">
        <v>46084</v>
      </c>
      <c r="E452" s="1" t="n">
        <v>46220</v>
      </c>
      <c r="F452" t="inlineStr">
        <is>
          <t>UPPSALA LÄN</t>
        </is>
      </c>
      <c r="G452" t="inlineStr">
        <is>
          <t>TIERP</t>
        </is>
      </c>
      <c r="I452" t="n">
        <v>4.6</v>
      </c>
      <c r="J452" t="n">
        <v>0</v>
      </c>
      <c r="K452" t="n">
        <v>0</v>
      </c>
      <c r="L452" t="n">
        <v>0</v>
      </c>
      <c r="M452" t="n">
        <v>0</v>
      </c>
      <c r="N452" t="n">
        <v>0</v>
      </c>
      <c r="O452" t="n">
        <v>0</v>
      </c>
      <c r="P452" t="n">
        <v>0</v>
      </c>
      <c r="Q452" t="n">
        <v>0</v>
      </c>
      <c r="R452" t="n">
        <v>0</v>
      </c>
      <c r="S452" t="n">
        <v>0</v>
      </c>
      <c r="T452" t="n">
        <v>0</v>
      </c>
      <c r="U452" s="2" t="inlineStr"/>
    </row>
    <row r="453" ht="15" customHeight="1">
      <c r="A453" t="inlineStr">
        <is>
          <t>A 18544-2025</t>
        </is>
      </c>
      <c r="B453" t="inlineStr">
        <is>
          <t>avverkningsanmälan</t>
        </is>
      </c>
      <c r="C453" t="inlineStr">
        <is>
          <t>Föryngringsavverkning</t>
        </is>
      </c>
      <c r="D453" s="1" t="n">
        <v>45763</v>
      </c>
      <c r="E453" s="1" t="n">
        <v>46220</v>
      </c>
      <c r="F453" t="inlineStr">
        <is>
          <t>UPPSALA LÄN</t>
        </is>
      </c>
      <c r="G453" t="inlineStr">
        <is>
          <t>TIERP</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11775-2026</t>
        </is>
      </c>
      <c r="B454" t="inlineStr">
        <is>
          <t>avverkningsanmälan</t>
        </is>
      </c>
      <c r="C454" t="inlineStr">
        <is>
          <t>Föryngringsavverkning</t>
        </is>
      </c>
      <c r="D454" s="1" t="n">
        <v>46084</v>
      </c>
      <c r="E454" s="1" t="n">
        <v>46220</v>
      </c>
      <c r="F454" t="inlineStr">
        <is>
          <t>UPPSALA LÄN</t>
        </is>
      </c>
      <c r="G454" t="inlineStr">
        <is>
          <t>TIERP</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408-2024</t>
        </is>
      </c>
      <c r="B455" t="inlineStr">
        <is>
          <t>avverkningsanmälan</t>
        </is>
      </c>
      <c r="C455" t="inlineStr">
        <is>
          <t>Föryngringsavverkning</t>
        </is>
      </c>
      <c r="D455" s="1" t="n">
        <v>45296</v>
      </c>
      <c r="E455" s="1" t="n">
        <v>46220</v>
      </c>
      <c r="F455" t="inlineStr">
        <is>
          <t>UPPSALA LÄN</t>
        </is>
      </c>
      <c r="G455" t="inlineStr">
        <is>
          <t>TIERP</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29115-2023</t>
        </is>
      </c>
      <c r="B456" t="inlineStr">
        <is>
          <t>avverkningsanmälan</t>
        </is>
      </c>
      <c r="C456" t="inlineStr">
        <is>
          <t>Föryngringsavverkning</t>
        </is>
      </c>
      <c r="D456" s="1" t="n">
        <v>45105</v>
      </c>
      <c r="E456" s="1" t="n">
        <v>46220</v>
      </c>
      <c r="F456" t="inlineStr">
        <is>
          <t>UPPSALA LÄN</t>
        </is>
      </c>
      <c r="G456" t="inlineStr">
        <is>
          <t>TIERP</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12612-2026</t>
        </is>
      </c>
      <c r="B457" t="inlineStr">
        <is>
          <t>avverkningsanmälan</t>
        </is>
      </c>
      <c r="C457" t="inlineStr">
        <is>
          <t>Föryngringsavverkning</t>
        </is>
      </c>
      <c r="D457" s="1" t="n">
        <v>46091</v>
      </c>
      <c r="E457" s="1" t="n">
        <v>46220</v>
      </c>
      <c r="F457" t="inlineStr">
        <is>
          <t>UPPSALA LÄN</t>
        </is>
      </c>
      <c r="G457" t="inlineStr">
        <is>
          <t>TIERP</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51756-2023</t>
        </is>
      </c>
      <c r="B458" t="inlineStr">
        <is>
          <t>avverkningsanmälan</t>
        </is>
      </c>
      <c r="C458" t="inlineStr">
        <is>
          <t>Föryngringsavverkning</t>
        </is>
      </c>
      <c r="D458" s="1" t="n">
        <v>45222</v>
      </c>
      <c r="E458" s="1" t="n">
        <v>46220</v>
      </c>
      <c r="F458" t="inlineStr">
        <is>
          <t>UPPSALA LÄN</t>
        </is>
      </c>
      <c r="G458" t="inlineStr">
        <is>
          <t>TIERP</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13986-2026</t>
        </is>
      </c>
      <c r="B459" t="inlineStr">
        <is>
          <t>avverkningsanmälan</t>
        </is>
      </c>
      <c r="C459" t="inlineStr">
        <is>
          <t>Föryngringsavverkning</t>
        </is>
      </c>
      <c r="D459" s="1" t="n">
        <v>46098</v>
      </c>
      <c r="E459" s="1" t="n">
        <v>46220</v>
      </c>
      <c r="F459" t="inlineStr">
        <is>
          <t>UPPSALA LÄN</t>
        </is>
      </c>
      <c r="G459" t="inlineStr">
        <is>
          <t>TIERP</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13984-2026</t>
        </is>
      </c>
      <c r="B460" t="inlineStr">
        <is>
          <t>avverkningsanmälan</t>
        </is>
      </c>
      <c r="C460" t="inlineStr">
        <is>
          <t>Föryngringsavverkning</t>
        </is>
      </c>
      <c r="D460" s="1" t="n">
        <v>46098</v>
      </c>
      <c r="E460" s="1" t="n">
        <v>46220</v>
      </c>
      <c r="F460" t="inlineStr">
        <is>
          <t>UPPSALA LÄN</t>
        </is>
      </c>
      <c r="G460" t="inlineStr">
        <is>
          <t>TIERP</t>
        </is>
      </c>
      <c r="I460" t="n">
        <v>5.4</v>
      </c>
      <c r="J460" t="n">
        <v>0</v>
      </c>
      <c r="K460" t="n">
        <v>0</v>
      </c>
      <c r="L460" t="n">
        <v>0</v>
      </c>
      <c r="M460" t="n">
        <v>0</v>
      </c>
      <c r="N460" t="n">
        <v>0</v>
      </c>
      <c r="O460" t="n">
        <v>0</v>
      </c>
      <c r="P460" t="n">
        <v>0</v>
      </c>
      <c r="Q460" t="n">
        <v>0</v>
      </c>
      <c r="R460" t="n">
        <v>0</v>
      </c>
      <c r="S460" t="n">
        <v>0</v>
      </c>
      <c r="T460" t="n">
        <v>0</v>
      </c>
      <c r="U460" s="2" t="inlineStr"/>
    </row>
    <row r="461" ht="15" customHeight="1">
      <c r="A461" t="inlineStr">
        <is>
          <t>A 14544-2026</t>
        </is>
      </c>
      <c r="B461" t="inlineStr">
        <is>
          <t>avverkningsanmälan</t>
        </is>
      </c>
      <c r="C461" t="inlineStr">
        <is>
          <t>Föryngringsavverkning</t>
        </is>
      </c>
      <c r="D461" s="1" t="n">
        <v>46100</v>
      </c>
      <c r="E461" s="1" t="n">
        <v>46220</v>
      </c>
      <c r="F461" t="inlineStr">
        <is>
          <t>UPPSALA LÄN</t>
        </is>
      </c>
      <c r="G461" t="inlineStr">
        <is>
          <t>TIERP</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4531-2023</t>
        </is>
      </c>
      <c r="B462" t="inlineStr">
        <is>
          <t>avverkningsanmälan</t>
        </is>
      </c>
      <c r="C462" t="inlineStr">
        <is>
          <t>Föryngringsavverkning</t>
        </is>
      </c>
      <c r="D462" s="1" t="n">
        <v>44956</v>
      </c>
      <c r="E462" s="1" t="n">
        <v>46220</v>
      </c>
      <c r="F462" t="inlineStr">
        <is>
          <t>UPPSALA LÄN</t>
        </is>
      </c>
      <c r="G462" t="inlineStr">
        <is>
          <t>TIERP</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6254-2022</t>
        </is>
      </c>
      <c r="B463" t="inlineStr">
        <is>
          <t>avverkningsanmälan</t>
        </is>
      </c>
      <c r="C463" t="inlineStr">
        <is>
          <t>Föryngringsavverkning</t>
        </is>
      </c>
      <c r="D463" s="1" t="n">
        <v>44600</v>
      </c>
      <c r="E463" s="1" t="n">
        <v>46220</v>
      </c>
      <c r="F463" t="inlineStr">
        <is>
          <t>UPPSALA LÄN</t>
        </is>
      </c>
      <c r="G463" t="inlineStr">
        <is>
          <t>TIERP</t>
        </is>
      </c>
      <c r="H463" t="inlineStr">
        <is>
          <t>Bergvik skog öst AB</t>
        </is>
      </c>
      <c r="I463" t="n">
        <v>6.1</v>
      </c>
      <c r="J463" t="n">
        <v>0</v>
      </c>
      <c r="K463" t="n">
        <v>0</v>
      </c>
      <c r="L463" t="n">
        <v>0</v>
      </c>
      <c r="M463" t="n">
        <v>0</v>
      </c>
      <c r="N463" t="n">
        <v>0</v>
      </c>
      <c r="O463" t="n">
        <v>0</v>
      </c>
      <c r="P463" t="n">
        <v>0</v>
      </c>
      <c r="Q463" t="n">
        <v>0</v>
      </c>
      <c r="R463" t="n">
        <v>0</v>
      </c>
      <c r="S463" t="n">
        <v>0</v>
      </c>
      <c r="T463" t="n">
        <v>0</v>
      </c>
      <c r="U463" s="2" t="inlineStr"/>
    </row>
    <row r="464" ht="15" customHeight="1">
      <c r="A464" t="inlineStr">
        <is>
          <t>A 14542-2026</t>
        </is>
      </c>
      <c r="B464" t="inlineStr">
        <is>
          <t>avverkningsanmälan</t>
        </is>
      </c>
      <c r="C464" t="inlineStr">
        <is>
          <t>Föryngringsavverkning</t>
        </is>
      </c>
      <c r="D464" s="1" t="n">
        <v>46100</v>
      </c>
      <c r="E464" s="1" t="n">
        <v>46220</v>
      </c>
      <c r="F464" t="inlineStr">
        <is>
          <t>UPPSALA LÄN</t>
        </is>
      </c>
      <c r="G464" t="inlineStr">
        <is>
          <t>TIERP</t>
        </is>
      </c>
      <c r="I464" t="n">
        <v>5.1</v>
      </c>
      <c r="J464" t="n">
        <v>0</v>
      </c>
      <c r="K464" t="n">
        <v>0</v>
      </c>
      <c r="L464" t="n">
        <v>0</v>
      </c>
      <c r="M464" t="n">
        <v>0</v>
      </c>
      <c r="N464" t="n">
        <v>0</v>
      </c>
      <c r="O464" t="n">
        <v>0</v>
      </c>
      <c r="P464" t="n">
        <v>0</v>
      </c>
      <c r="Q464" t="n">
        <v>0</v>
      </c>
      <c r="R464" t="n">
        <v>0</v>
      </c>
      <c r="S464" t="n">
        <v>0</v>
      </c>
      <c r="T464" t="n">
        <v>0</v>
      </c>
      <c r="U464" s="2" t="inlineStr"/>
    </row>
    <row r="465" ht="15" customHeight="1">
      <c r="A465" t="inlineStr">
        <is>
          <t>A 14943-2026</t>
        </is>
      </c>
      <c r="B465" t="inlineStr">
        <is>
          <t>avverkningsanmälan</t>
        </is>
      </c>
      <c r="C465" t="inlineStr">
        <is>
          <t>Föryngringsavverkning</t>
        </is>
      </c>
      <c r="D465" s="1" t="n">
        <v>46104</v>
      </c>
      <c r="E465" s="1" t="n">
        <v>46220</v>
      </c>
      <c r="F465" t="inlineStr">
        <is>
          <t>UPPSALA LÄN</t>
        </is>
      </c>
      <c r="G465" t="inlineStr">
        <is>
          <t>TIERP</t>
        </is>
      </c>
      <c r="H465" t="inlineStr">
        <is>
          <t>Bergvik skog öst AB</t>
        </is>
      </c>
      <c r="I465" t="n">
        <v>6.1</v>
      </c>
      <c r="J465" t="n">
        <v>0</v>
      </c>
      <c r="K465" t="n">
        <v>0</v>
      </c>
      <c r="L465" t="n">
        <v>0</v>
      </c>
      <c r="M465" t="n">
        <v>0</v>
      </c>
      <c r="N465" t="n">
        <v>0</v>
      </c>
      <c r="O465" t="n">
        <v>0</v>
      </c>
      <c r="P465" t="n">
        <v>0</v>
      </c>
      <c r="Q465" t="n">
        <v>0</v>
      </c>
      <c r="R465" t="n">
        <v>0</v>
      </c>
      <c r="S465" t="n">
        <v>0</v>
      </c>
      <c r="T465" t="n">
        <v>0</v>
      </c>
      <c r="U465" s="2" t="inlineStr"/>
    </row>
    <row r="466" ht="15" customHeight="1">
      <c r="A466" t="inlineStr">
        <is>
          <t>A 18781-2022</t>
        </is>
      </c>
      <c r="B466" t="inlineStr">
        <is>
          <t>avverkningsanmälan</t>
        </is>
      </c>
      <c r="C466" t="inlineStr">
        <is>
          <t>Föryngringsavverkning</t>
        </is>
      </c>
      <c r="D466" s="1" t="n">
        <v>44689</v>
      </c>
      <c r="E466" s="1" t="n">
        <v>46220</v>
      </c>
      <c r="F466" t="inlineStr">
        <is>
          <t>UPPSALA LÄN</t>
        </is>
      </c>
      <c r="G466" t="inlineStr">
        <is>
          <t>TIERP</t>
        </is>
      </c>
      <c r="H466" t="inlineStr">
        <is>
          <t>Kyrkan</t>
        </is>
      </c>
      <c r="I466" t="n">
        <v>8.4</v>
      </c>
      <c r="J466" t="n">
        <v>0</v>
      </c>
      <c r="K466" t="n">
        <v>0</v>
      </c>
      <c r="L466" t="n">
        <v>0</v>
      </c>
      <c r="M466" t="n">
        <v>0</v>
      </c>
      <c r="N466" t="n">
        <v>0</v>
      </c>
      <c r="O466" t="n">
        <v>0</v>
      </c>
      <c r="P466" t="n">
        <v>0</v>
      </c>
      <c r="Q466" t="n">
        <v>0</v>
      </c>
      <c r="R466" t="n">
        <v>0</v>
      </c>
      <c r="S466" t="n">
        <v>0</v>
      </c>
      <c r="T466" t="n">
        <v>0</v>
      </c>
      <c r="U466" s="2" t="inlineStr"/>
    </row>
    <row r="467" ht="15" customHeight="1">
      <c r="A467" t="inlineStr">
        <is>
          <t>A 55818-2023</t>
        </is>
      </c>
      <c r="B467" t="inlineStr">
        <is>
          <t>avverkningsanmälan</t>
        </is>
      </c>
      <c r="C467" t="inlineStr">
        <is>
          <t>Föryngringsavverkning</t>
        </is>
      </c>
      <c r="D467" s="1" t="n">
        <v>45239</v>
      </c>
      <c r="E467" s="1" t="n">
        <v>46220</v>
      </c>
      <c r="F467" t="inlineStr">
        <is>
          <t>UPPSALA LÄN</t>
        </is>
      </c>
      <c r="G467" t="inlineStr">
        <is>
          <t>TIERP</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15966-2026</t>
        </is>
      </c>
      <c r="B468" t="inlineStr">
        <is>
          <t>avverkningsanmälan</t>
        </is>
      </c>
      <c r="C468" t="inlineStr">
        <is>
          <t>Föryngringsavverkning</t>
        </is>
      </c>
      <c r="D468" s="1" t="n">
        <v>46108</v>
      </c>
      <c r="E468" s="1" t="n">
        <v>46220</v>
      </c>
      <c r="F468" t="inlineStr">
        <is>
          <t>UPPSALA LÄN</t>
        </is>
      </c>
      <c r="G468" t="inlineStr">
        <is>
          <t>TIERP</t>
        </is>
      </c>
      <c r="H468" t="inlineStr">
        <is>
          <t>Bergvik skog öst AB</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15959-2026</t>
        </is>
      </c>
      <c r="B469" t="inlineStr">
        <is>
          <t>avverkningsanmälan</t>
        </is>
      </c>
      <c r="C469" t="inlineStr">
        <is>
          <t>Föryngringsavverkning</t>
        </is>
      </c>
      <c r="D469" s="1" t="n">
        <v>46108</v>
      </c>
      <c r="E469" s="1" t="n">
        <v>46220</v>
      </c>
      <c r="F469" t="inlineStr">
        <is>
          <t>UPPSALA LÄN</t>
        </is>
      </c>
      <c r="G469" t="inlineStr">
        <is>
          <t>TIERP</t>
        </is>
      </c>
      <c r="H469" t="inlineStr">
        <is>
          <t>Bergvik skog öst AB</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59244-2024</t>
        </is>
      </c>
      <c r="B470" t="inlineStr">
        <is>
          <t>avverkningsanmälan</t>
        </is>
      </c>
      <c r="C470" t="inlineStr">
        <is>
          <t>Föryngringsavverkning</t>
        </is>
      </c>
      <c r="D470" s="1" t="n">
        <v>45637</v>
      </c>
      <c r="E470" s="1" t="n">
        <v>46220</v>
      </c>
      <c r="F470" t="inlineStr">
        <is>
          <t>UPPSALA LÄN</t>
        </is>
      </c>
      <c r="G470" t="inlineStr">
        <is>
          <t>TIERP</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16020-2026</t>
        </is>
      </c>
      <c r="B471" t="inlineStr">
        <is>
          <t>avverkningsanmälan</t>
        </is>
      </c>
      <c r="C471" t="inlineStr">
        <is>
          <t>Föryngringsavverkning</t>
        </is>
      </c>
      <c r="D471" s="1" t="n">
        <v>46108</v>
      </c>
      <c r="E471" s="1" t="n">
        <v>46220</v>
      </c>
      <c r="F471" t="inlineStr">
        <is>
          <t>UPPSALA LÄN</t>
        </is>
      </c>
      <c r="G471" t="inlineStr">
        <is>
          <t>TIERP</t>
        </is>
      </c>
      <c r="H471" t="inlineStr">
        <is>
          <t>Bergvik skog öst AB</t>
        </is>
      </c>
      <c r="I471" t="n">
        <v>4.3</v>
      </c>
      <c r="J471" t="n">
        <v>0</v>
      </c>
      <c r="K471" t="n">
        <v>0</v>
      </c>
      <c r="L471" t="n">
        <v>0</v>
      </c>
      <c r="M471" t="n">
        <v>0</v>
      </c>
      <c r="N471" t="n">
        <v>0</v>
      </c>
      <c r="O471" t="n">
        <v>0</v>
      </c>
      <c r="P471" t="n">
        <v>0</v>
      </c>
      <c r="Q471" t="n">
        <v>0</v>
      </c>
      <c r="R471" t="n">
        <v>0</v>
      </c>
      <c r="S471" t="n">
        <v>0</v>
      </c>
      <c r="T471" t="n">
        <v>0</v>
      </c>
      <c r="U471" s="2" t="inlineStr"/>
    </row>
    <row r="472" ht="15" customHeight="1">
      <c r="A472" t="inlineStr">
        <is>
          <t>A 16217-2026</t>
        </is>
      </c>
      <c r="B472" t="inlineStr">
        <is>
          <t>avverkningsanmälan</t>
        </is>
      </c>
      <c r="C472" t="inlineStr">
        <is>
          <t>Föryngringsavverkning</t>
        </is>
      </c>
      <c r="D472" s="1" t="n">
        <v>46111</v>
      </c>
      <c r="E472" s="1" t="n">
        <v>46220</v>
      </c>
      <c r="F472" t="inlineStr">
        <is>
          <t>UPPSALA LÄN</t>
        </is>
      </c>
      <c r="G472" t="inlineStr">
        <is>
          <t>TIERP</t>
        </is>
      </c>
      <c r="I472" t="n">
        <v>2.3</v>
      </c>
      <c r="J472" t="n">
        <v>0</v>
      </c>
      <c r="K472" t="n">
        <v>0</v>
      </c>
      <c r="L472" t="n">
        <v>0</v>
      </c>
      <c r="M472" t="n">
        <v>0</v>
      </c>
      <c r="N472" t="n">
        <v>0</v>
      </c>
      <c r="O472" t="n">
        <v>0</v>
      </c>
      <c r="P472" t="n">
        <v>0</v>
      </c>
      <c r="Q472" t="n">
        <v>0</v>
      </c>
      <c r="R472" t="n">
        <v>0</v>
      </c>
      <c r="S472" t="n">
        <v>0</v>
      </c>
      <c r="T472" t="n">
        <v>0</v>
      </c>
      <c r="U472" s="2" t="inlineStr"/>
    </row>
    <row r="473" ht="15" customHeight="1">
      <c r="A473" t="inlineStr">
        <is>
          <t>A 14086-2023</t>
        </is>
      </c>
      <c r="B473" t="inlineStr">
        <is>
          <t>avverkningsanmälan</t>
        </is>
      </c>
      <c r="C473" t="inlineStr">
        <is>
          <t>Föryngringsavverkning</t>
        </is>
      </c>
      <c r="D473" s="1" t="n">
        <v>45009</v>
      </c>
      <c r="E473" s="1" t="n">
        <v>46220</v>
      </c>
      <c r="F473" t="inlineStr">
        <is>
          <t>UPPSALA LÄN</t>
        </is>
      </c>
      <c r="G473" t="inlineStr">
        <is>
          <t>TIERP</t>
        </is>
      </c>
      <c r="H473" t="inlineStr">
        <is>
          <t>Bergvik skog väst AB</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48483-2022</t>
        </is>
      </c>
      <c r="B474" t="inlineStr">
        <is>
          <t>avverkningsanmälan</t>
        </is>
      </c>
      <c r="C474" t="inlineStr">
        <is>
          <t>Föryngringsavverkning</t>
        </is>
      </c>
      <c r="D474" s="1" t="n">
        <v>44858</v>
      </c>
      <c r="E474" s="1" t="n">
        <v>46220</v>
      </c>
      <c r="F474" t="inlineStr">
        <is>
          <t>UPPSALA LÄN</t>
        </is>
      </c>
      <c r="G474" t="inlineStr">
        <is>
          <t>TIERP</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17354-2026</t>
        </is>
      </c>
      <c r="B475" t="inlineStr">
        <is>
          <t>avverkningsanmälan</t>
        </is>
      </c>
      <c r="C475" t="inlineStr">
        <is>
          <t>Föryngringsavverkning</t>
        </is>
      </c>
      <c r="D475" s="1" t="n">
        <v>46119</v>
      </c>
      <c r="E475" s="1" t="n">
        <v>46220</v>
      </c>
      <c r="F475" t="inlineStr">
        <is>
          <t>UPPSALA LÄN</t>
        </is>
      </c>
      <c r="G475" t="inlineStr">
        <is>
          <t>TIERP</t>
        </is>
      </c>
      <c r="H475" t="inlineStr">
        <is>
          <t>Bergvik skog öst AB</t>
        </is>
      </c>
      <c r="I475" t="n">
        <v>14.7</v>
      </c>
      <c r="J475" t="n">
        <v>0</v>
      </c>
      <c r="K475" t="n">
        <v>0</v>
      </c>
      <c r="L475" t="n">
        <v>0</v>
      </c>
      <c r="M475" t="n">
        <v>0</v>
      </c>
      <c r="N475" t="n">
        <v>0</v>
      </c>
      <c r="O475" t="n">
        <v>0</v>
      </c>
      <c r="P475" t="n">
        <v>0</v>
      </c>
      <c r="Q475" t="n">
        <v>0</v>
      </c>
      <c r="R475" t="n">
        <v>0</v>
      </c>
      <c r="S475" t="n">
        <v>0</v>
      </c>
      <c r="T475" t="n">
        <v>0</v>
      </c>
      <c r="U475" s="2" t="inlineStr"/>
    </row>
    <row r="476" ht="15" customHeight="1">
      <c r="A476" t="inlineStr">
        <is>
          <t>A 20860-2024</t>
        </is>
      </c>
      <c r="B476" t="inlineStr">
        <is>
          <t>avverkningsanmälan</t>
        </is>
      </c>
      <c r="C476" t="inlineStr">
        <is>
          <t>Föryngringsavverkning</t>
        </is>
      </c>
      <c r="D476" s="1" t="n">
        <v>45439</v>
      </c>
      <c r="E476" s="1" t="n">
        <v>46220</v>
      </c>
      <c r="F476" t="inlineStr">
        <is>
          <t>UPPSALA LÄN</t>
        </is>
      </c>
      <c r="G476" t="inlineStr">
        <is>
          <t>TIERP</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58252-2024</t>
        </is>
      </c>
      <c r="B477" t="inlineStr">
        <is>
          <t>avverkningsanmälan</t>
        </is>
      </c>
      <c r="C477" t="inlineStr">
        <is>
          <t>Föryngringsavverkning</t>
        </is>
      </c>
      <c r="D477" s="1" t="n">
        <v>45632</v>
      </c>
      <c r="E477" s="1" t="n">
        <v>46220</v>
      </c>
      <c r="F477" t="inlineStr">
        <is>
          <t>UPPSALA LÄN</t>
        </is>
      </c>
      <c r="G477" t="inlineStr">
        <is>
          <t>TIERP</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59961-2023</t>
        </is>
      </c>
      <c r="B478" t="inlineStr">
        <is>
          <t>avverkningsanmälan</t>
        </is>
      </c>
      <c r="C478" t="inlineStr">
        <is>
          <t>Föryngringsavverkning</t>
        </is>
      </c>
      <c r="D478" s="1" t="n">
        <v>45257</v>
      </c>
      <c r="E478" s="1" t="n">
        <v>46220</v>
      </c>
      <c r="F478" t="inlineStr">
        <is>
          <t>UPPSALA LÄN</t>
        </is>
      </c>
      <c r="G478" t="inlineStr">
        <is>
          <t>TIERP</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55711-2023</t>
        </is>
      </c>
      <c r="B479" t="inlineStr">
        <is>
          <t>avverkningsanmälan</t>
        </is>
      </c>
      <c r="C479" t="inlineStr">
        <is>
          <t>Föryngringsavverkning</t>
        </is>
      </c>
      <c r="D479" s="1" t="n">
        <v>45239</v>
      </c>
      <c r="E479" s="1" t="n">
        <v>46220</v>
      </c>
      <c r="F479" t="inlineStr">
        <is>
          <t>UPPSALA LÄN</t>
        </is>
      </c>
      <c r="G479" t="inlineStr">
        <is>
          <t>TIERP</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26404-2024</t>
        </is>
      </c>
      <c r="B480" t="inlineStr">
        <is>
          <t>avverkningsanmälan</t>
        </is>
      </c>
      <c r="C480" t="inlineStr">
        <is>
          <t>Föryngringsavverkning</t>
        </is>
      </c>
      <c r="D480" s="1" t="n">
        <v>45469</v>
      </c>
      <c r="E480" s="1" t="n">
        <v>46220</v>
      </c>
      <c r="F480" t="inlineStr">
        <is>
          <t>UPPSALA LÄN</t>
        </is>
      </c>
      <c r="G480" t="inlineStr">
        <is>
          <t>TIERP</t>
        </is>
      </c>
      <c r="I480" t="n">
        <v>3.4</v>
      </c>
      <c r="J480" t="n">
        <v>0</v>
      </c>
      <c r="K480" t="n">
        <v>0</v>
      </c>
      <c r="L480" t="n">
        <v>0</v>
      </c>
      <c r="M480" t="n">
        <v>0</v>
      </c>
      <c r="N480" t="n">
        <v>0</v>
      </c>
      <c r="O480" t="n">
        <v>0</v>
      </c>
      <c r="P480" t="n">
        <v>0</v>
      </c>
      <c r="Q480" t="n">
        <v>0</v>
      </c>
      <c r="R480" t="n">
        <v>0</v>
      </c>
      <c r="S480" t="n">
        <v>0</v>
      </c>
      <c r="T480" t="n">
        <v>0</v>
      </c>
      <c r="U480" s="2" t="inlineStr"/>
    </row>
    <row r="481" ht="15" customHeight="1">
      <c r="A481" t="inlineStr">
        <is>
          <t>A 18386-2026</t>
        </is>
      </c>
      <c r="B481" t="inlineStr">
        <is>
          <t>avverkningsanmälan</t>
        </is>
      </c>
      <c r="C481" t="inlineStr">
        <is>
          <t>Föryngringsavverkning</t>
        </is>
      </c>
      <c r="D481" s="1" t="n">
        <v>46126</v>
      </c>
      <c r="E481" s="1" t="n">
        <v>46220</v>
      </c>
      <c r="F481" t="inlineStr">
        <is>
          <t>UPPSALA LÄN</t>
        </is>
      </c>
      <c r="G481" t="inlineStr">
        <is>
          <t>TIERP</t>
        </is>
      </c>
      <c r="I481" t="n">
        <v>3.5</v>
      </c>
      <c r="J481" t="n">
        <v>0</v>
      </c>
      <c r="K481" t="n">
        <v>0</v>
      </c>
      <c r="L481" t="n">
        <v>0</v>
      </c>
      <c r="M481" t="n">
        <v>0</v>
      </c>
      <c r="N481" t="n">
        <v>0</v>
      </c>
      <c r="O481" t="n">
        <v>0</v>
      </c>
      <c r="P481" t="n">
        <v>0</v>
      </c>
      <c r="Q481" t="n">
        <v>0</v>
      </c>
      <c r="R481" t="n">
        <v>0</v>
      </c>
      <c r="S481" t="n">
        <v>0</v>
      </c>
      <c r="T481" t="n">
        <v>0</v>
      </c>
      <c r="U481" s="2" t="inlineStr"/>
    </row>
    <row r="482" ht="15" customHeight="1">
      <c r="A482" t="inlineStr">
        <is>
          <t>A 18547-2026</t>
        </is>
      </c>
      <c r="B482" t="inlineStr">
        <is>
          <t>avverkningsanmälan</t>
        </is>
      </c>
      <c r="C482" t="inlineStr">
        <is>
          <t>Föryngringsavverkning</t>
        </is>
      </c>
      <c r="D482" s="1" t="n">
        <v>46127</v>
      </c>
      <c r="E482" s="1" t="n">
        <v>46220</v>
      </c>
      <c r="F482" t="inlineStr">
        <is>
          <t>UPPSALA LÄN</t>
        </is>
      </c>
      <c r="G482" t="inlineStr">
        <is>
          <t>TIERP</t>
        </is>
      </c>
      <c r="H482" t="inlineStr">
        <is>
          <t>Bergvik skog öst AB</t>
        </is>
      </c>
      <c r="I482" t="n">
        <v>5.5</v>
      </c>
      <c r="J482" t="n">
        <v>0</v>
      </c>
      <c r="K482" t="n">
        <v>0</v>
      </c>
      <c r="L482" t="n">
        <v>0</v>
      </c>
      <c r="M482" t="n">
        <v>0</v>
      </c>
      <c r="N482" t="n">
        <v>0</v>
      </c>
      <c r="O482" t="n">
        <v>0</v>
      </c>
      <c r="P482" t="n">
        <v>0</v>
      </c>
      <c r="Q482" t="n">
        <v>0</v>
      </c>
      <c r="R482" t="n">
        <v>0</v>
      </c>
      <c r="S482" t="n">
        <v>0</v>
      </c>
      <c r="T482" t="n">
        <v>0</v>
      </c>
      <c r="U482" s="2" t="inlineStr"/>
    </row>
    <row r="483" ht="15" customHeight="1">
      <c r="A483" t="inlineStr">
        <is>
          <t>A 33307-2023</t>
        </is>
      </c>
      <c r="B483" t="inlineStr">
        <is>
          <t>avverkningsanmälan</t>
        </is>
      </c>
      <c r="C483" t="inlineStr">
        <is>
          <t>Föryngringsavverkning</t>
        </is>
      </c>
      <c r="D483" s="1" t="n">
        <v>45127</v>
      </c>
      <c r="E483" s="1" t="n">
        <v>46220</v>
      </c>
      <c r="F483" t="inlineStr">
        <is>
          <t>UPPSALA LÄN</t>
        </is>
      </c>
      <c r="G483" t="inlineStr">
        <is>
          <t>TIERP</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18534-2026</t>
        </is>
      </c>
      <c r="B484" t="inlineStr">
        <is>
          <t>avverkningsanmälan</t>
        </is>
      </c>
      <c r="C484" t="inlineStr">
        <is>
          <t>Föryngringsavverkning</t>
        </is>
      </c>
      <c r="D484" s="1" t="n">
        <v>46127</v>
      </c>
      <c r="E484" s="1" t="n">
        <v>46220</v>
      </c>
      <c r="F484" t="inlineStr">
        <is>
          <t>UPPSALA LÄN</t>
        </is>
      </c>
      <c r="G484" t="inlineStr">
        <is>
          <t>TIERP</t>
        </is>
      </c>
      <c r="H484" t="inlineStr">
        <is>
          <t>Bergvik skog öst AB</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18559-2026</t>
        </is>
      </c>
      <c r="B485" t="inlineStr">
        <is>
          <t>avverkningsanmälan</t>
        </is>
      </c>
      <c r="C485" t="inlineStr">
        <is>
          <t>Föryngringsavverkning</t>
        </is>
      </c>
      <c r="D485" s="1" t="n">
        <v>46127</v>
      </c>
      <c r="E485" s="1" t="n">
        <v>46220</v>
      </c>
      <c r="F485" t="inlineStr">
        <is>
          <t>UPPSALA LÄN</t>
        </is>
      </c>
      <c r="G485" t="inlineStr">
        <is>
          <t>TIERP</t>
        </is>
      </c>
      <c r="H485" t="inlineStr">
        <is>
          <t>Bergvik skog öst AB</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15662-2025</t>
        </is>
      </c>
      <c r="B486" t="inlineStr">
        <is>
          <t>avverkningsanmälan</t>
        </is>
      </c>
      <c r="C486" t="inlineStr">
        <is>
          <t>Föryngringsavverkning</t>
        </is>
      </c>
      <c r="D486" s="1" t="n">
        <v>45748</v>
      </c>
      <c r="E486" s="1" t="n">
        <v>46220</v>
      </c>
      <c r="F486" t="inlineStr">
        <is>
          <t>UPPSALA LÄN</t>
        </is>
      </c>
      <c r="G486" t="inlineStr">
        <is>
          <t>TIERP</t>
        </is>
      </c>
      <c r="H486" t="inlineStr">
        <is>
          <t>Kyrkan</t>
        </is>
      </c>
      <c r="I486" t="n">
        <v>5.4</v>
      </c>
      <c r="J486" t="n">
        <v>0</v>
      </c>
      <c r="K486" t="n">
        <v>0</v>
      </c>
      <c r="L486" t="n">
        <v>0</v>
      </c>
      <c r="M486" t="n">
        <v>0</v>
      </c>
      <c r="N486" t="n">
        <v>0</v>
      </c>
      <c r="O486" t="n">
        <v>0</v>
      </c>
      <c r="P486" t="n">
        <v>0</v>
      </c>
      <c r="Q486" t="n">
        <v>0</v>
      </c>
      <c r="R486" t="n">
        <v>0</v>
      </c>
      <c r="S486" t="n">
        <v>0</v>
      </c>
      <c r="T486" t="n">
        <v>0</v>
      </c>
      <c r="U486" s="2" t="inlineStr"/>
    </row>
    <row r="487" ht="15" customHeight="1">
      <c r="A487" t="inlineStr">
        <is>
          <t>A 24341-2022</t>
        </is>
      </c>
      <c r="B487" t="inlineStr">
        <is>
          <t>avverkningsanmälan</t>
        </is>
      </c>
      <c r="C487" t="inlineStr">
        <is>
          <t>Föryngringsavverkning</t>
        </is>
      </c>
      <c r="D487" s="1" t="n">
        <v>44726</v>
      </c>
      <c r="E487" s="1" t="n">
        <v>46220</v>
      </c>
      <c r="F487" t="inlineStr">
        <is>
          <t>UPPSALA LÄN</t>
        </is>
      </c>
      <c r="G487" t="inlineStr">
        <is>
          <t>TIERP</t>
        </is>
      </c>
      <c r="H487" t="inlineStr">
        <is>
          <t>Bergvik skog väst AB</t>
        </is>
      </c>
      <c r="I487" t="n">
        <v>8.4</v>
      </c>
      <c r="J487" t="n">
        <v>0</v>
      </c>
      <c r="K487" t="n">
        <v>0</v>
      </c>
      <c r="L487" t="n">
        <v>0</v>
      </c>
      <c r="M487" t="n">
        <v>0</v>
      </c>
      <c r="N487" t="n">
        <v>0</v>
      </c>
      <c r="O487" t="n">
        <v>0</v>
      </c>
      <c r="P487" t="n">
        <v>0</v>
      </c>
      <c r="Q487" t="n">
        <v>0</v>
      </c>
      <c r="R487" t="n">
        <v>0</v>
      </c>
      <c r="S487" t="n">
        <v>0</v>
      </c>
      <c r="T487" t="n">
        <v>0</v>
      </c>
      <c r="U487" s="2" t="inlineStr"/>
    </row>
    <row r="488" ht="15" customHeight="1">
      <c r="A488" t="inlineStr">
        <is>
          <t>A 18498-2026</t>
        </is>
      </c>
      <c r="B488" t="inlineStr">
        <is>
          <t>avverkningsanmälan</t>
        </is>
      </c>
      <c r="C488" t="inlineStr">
        <is>
          <t>Föryngringsavverkning</t>
        </is>
      </c>
      <c r="D488" s="1" t="n">
        <v>46127</v>
      </c>
      <c r="E488" s="1" t="n">
        <v>46220</v>
      </c>
      <c r="F488" t="inlineStr">
        <is>
          <t>UPPSALA LÄN</t>
        </is>
      </c>
      <c r="G488" t="inlineStr">
        <is>
          <t>TIERP</t>
        </is>
      </c>
      <c r="H488" t="inlineStr">
        <is>
          <t>Bergvik skog öst AB</t>
        </is>
      </c>
      <c r="I488" t="n">
        <v>2</v>
      </c>
      <c r="J488" t="n">
        <v>0</v>
      </c>
      <c r="K488" t="n">
        <v>0</v>
      </c>
      <c r="L488" t="n">
        <v>0</v>
      </c>
      <c r="M488" t="n">
        <v>0</v>
      </c>
      <c r="N488" t="n">
        <v>0</v>
      </c>
      <c r="O488" t="n">
        <v>0</v>
      </c>
      <c r="P488" t="n">
        <v>0</v>
      </c>
      <c r="Q488" t="n">
        <v>0</v>
      </c>
      <c r="R488" t="n">
        <v>0</v>
      </c>
      <c r="S488" t="n">
        <v>0</v>
      </c>
      <c r="T488" t="n">
        <v>0</v>
      </c>
      <c r="U488" s="2" t="inlineStr"/>
    </row>
    <row r="489" ht="15" customHeight="1">
      <c r="A489" t="inlineStr">
        <is>
          <t>A 18165-2026</t>
        </is>
      </c>
      <c r="B489" t="inlineStr">
        <is>
          <t>avverkningsanmälan</t>
        </is>
      </c>
      <c r="C489" t="inlineStr">
        <is>
          <t>Föryngringsavverkning</t>
        </is>
      </c>
      <c r="D489" s="1" t="n">
        <v>46125</v>
      </c>
      <c r="E489" s="1" t="n">
        <v>46220</v>
      </c>
      <c r="F489" t="inlineStr">
        <is>
          <t>UPPSALA LÄN</t>
        </is>
      </c>
      <c r="G489" t="inlineStr">
        <is>
          <t>TIERP</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2676-2024</t>
        </is>
      </c>
      <c r="B490" t="inlineStr">
        <is>
          <t>avverkningsanmälan</t>
        </is>
      </c>
      <c r="C490" t="inlineStr">
        <is>
          <t>Föryngringsavverkning</t>
        </is>
      </c>
      <c r="D490" s="1" t="n">
        <v>45314</v>
      </c>
      <c r="E490" s="1" t="n">
        <v>46220</v>
      </c>
      <c r="F490" t="inlineStr">
        <is>
          <t>UPPSALA LÄN</t>
        </is>
      </c>
      <c r="G490" t="inlineStr">
        <is>
          <t>TIERP</t>
        </is>
      </c>
      <c r="I490" t="n">
        <v>6.3</v>
      </c>
      <c r="J490" t="n">
        <v>0</v>
      </c>
      <c r="K490" t="n">
        <v>0</v>
      </c>
      <c r="L490" t="n">
        <v>0</v>
      </c>
      <c r="M490" t="n">
        <v>0</v>
      </c>
      <c r="N490" t="n">
        <v>0</v>
      </c>
      <c r="O490" t="n">
        <v>0</v>
      </c>
      <c r="P490" t="n">
        <v>0</v>
      </c>
      <c r="Q490" t="n">
        <v>0</v>
      </c>
      <c r="R490" t="n">
        <v>0</v>
      </c>
      <c r="S490" t="n">
        <v>0</v>
      </c>
      <c r="T490" t="n">
        <v>0</v>
      </c>
      <c r="U490" s="2" t="inlineStr"/>
    </row>
    <row r="491" ht="15" customHeight="1">
      <c r="A491" t="inlineStr">
        <is>
          <t>A 25476-2022</t>
        </is>
      </c>
      <c r="B491" t="inlineStr">
        <is>
          <t>avverkningsanmälan</t>
        </is>
      </c>
      <c r="C491" t="inlineStr">
        <is>
          <t>Föryngringsavverkning</t>
        </is>
      </c>
      <c r="D491" s="1" t="n">
        <v>44732</v>
      </c>
      <c r="E491" s="1" t="n">
        <v>46220</v>
      </c>
      <c r="F491" t="inlineStr">
        <is>
          <t>UPPSALA LÄN</t>
        </is>
      </c>
      <c r="G491" t="inlineStr">
        <is>
          <t>TIERP</t>
        </is>
      </c>
      <c r="H491" t="inlineStr">
        <is>
          <t>Bergvik skog öst AB</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7352-2023</t>
        </is>
      </c>
      <c r="B492" t="inlineStr">
        <is>
          <t>avverkningsanmälan</t>
        </is>
      </c>
      <c r="C492" t="inlineStr">
        <is>
          <t>Föryngringsavverkning</t>
        </is>
      </c>
      <c r="D492" s="1" t="n">
        <v>44966</v>
      </c>
      <c r="E492" s="1" t="n">
        <v>46220</v>
      </c>
      <c r="F492" t="inlineStr">
        <is>
          <t>UPPSALA LÄN</t>
        </is>
      </c>
      <c r="G492" t="inlineStr">
        <is>
          <t>TIERP</t>
        </is>
      </c>
      <c r="I492" t="n">
        <v>3.5</v>
      </c>
      <c r="J492" t="n">
        <v>0</v>
      </c>
      <c r="K492" t="n">
        <v>0</v>
      </c>
      <c r="L492" t="n">
        <v>0</v>
      </c>
      <c r="M492" t="n">
        <v>0</v>
      </c>
      <c r="N492" t="n">
        <v>0</v>
      </c>
      <c r="O492" t="n">
        <v>0</v>
      </c>
      <c r="P492" t="n">
        <v>0</v>
      </c>
      <c r="Q492" t="n">
        <v>0</v>
      </c>
      <c r="R492" t="n">
        <v>0</v>
      </c>
      <c r="S492" t="n">
        <v>0</v>
      </c>
      <c r="T492" t="n">
        <v>0</v>
      </c>
      <c r="U492" s="2" t="inlineStr"/>
    </row>
    <row r="493" ht="15" customHeight="1">
      <c r="A493" t="inlineStr">
        <is>
          <t>A 60151-2022</t>
        </is>
      </c>
      <c r="B493" t="inlineStr">
        <is>
          <t>avverkningsanmälan</t>
        </is>
      </c>
      <c r="C493" t="inlineStr">
        <is>
          <t>Föryngringsavverkning</t>
        </is>
      </c>
      <c r="D493" s="1" t="n">
        <v>44909</v>
      </c>
      <c r="E493" s="1" t="n">
        <v>46220</v>
      </c>
      <c r="F493" t="inlineStr">
        <is>
          <t>UPPSALA LÄN</t>
        </is>
      </c>
      <c r="G493" t="inlineStr">
        <is>
          <t>TIERP</t>
        </is>
      </c>
      <c r="I493" t="n">
        <v>4.1</v>
      </c>
      <c r="J493" t="n">
        <v>0</v>
      </c>
      <c r="K493" t="n">
        <v>0</v>
      </c>
      <c r="L493" t="n">
        <v>0</v>
      </c>
      <c r="M493" t="n">
        <v>0</v>
      </c>
      <c r="N493" t="n">
        <v>0</v>
      </c>
      <c r="O493" t="n">
        <v>0</v>
      </c>
      <c r="P493" t="n">
        <v>0</v>
      </c>
      <c r="Q493" t="n">
        <v>0</v>
      </c>
      <c r="R493" t="n">
        <v>0</v>
      </c>
      <c r="S493" t="n">
        <v>0</v>
      </c>
      <c r="T493" t="n">
        <v>0</v>
      </c>
      <c r="U493" s="2" t="inlineStr"/>
    </row>
    <row r="494" ht="15" customHeight="1">
      <c r="A494" t="inlineStr">
        <is>
          <t>A 19697-2026</t>
        </is>
      </c>
      <c r="B494" t="inlineStr">
        <is>
          <t>avverkningsanmälan</t>
        </is>
      </c>
      <c r="C494" t="inlineStr">
        <is>
          <t>Föryngringsavverkning</t>
        </is>
      </c>
      <c r="D494" s="1" t="n">
        <v>46134</v>
      </c>
      <c r="E494" s="1" t="n">
        <v>46220</v>
      </c>
      <c r="F494" t="inlineStr">
        <is>
          <t>UPPSALA LÄN</t>
        </is>
      </c>
      <c r="G494" t="inlineStr">
        <is>
          <t>TIERP</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19698-2026</t>
        </is>
      </c>
      <c r="B495" t="inlineStr">
        <is>
          <t>avverkningsanmälan</t>
        </is>
      </c>
      <c r="C495" t="inlineStr">
        <is>
          <t>Föryngringsavverkning</t>
        </is>
      </c>
      <c r="D495" s="1" t="n">
        <v>46134</v>
      </c>
      <c r="E495" s="1" t="n">
        <v>46220</v>
      </c>
      <c r="F495" t="inlineStr">
        <is>
          <t>UPPSALA LÄN</t>
        </is>
      </c>
      <c r="G495" t="inlineStr">
        <is>
          <t>TIERP</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19678-2026</t>
        </is>
      </c>
      <c r="B496" t="inlineStr">
        <is>
          <t>avverkningsanmälan</t>
        </is>
      </c>
      <c r="C496" t="inlineStr">
        <is>
          <t>Föryngringsavverkning</t>
        </is>
      </c>
      <c r="D496" s="1" t="n">
        <v>46134</v>
      </c>
      <c r="E496" s="1" t="n">
        <v>46220</v>
      </c>
      <c r="F496" t="inlineStr">
        <is>
          <t>UPPSALA LÄN</t>
        </is>
      </c>
      <c r="G496" t="inlineStr">
        <is>
          <t>TIERP</t>
        </is>
      </c>
      <c r="H496" t="inlineStr">
        <is>
          <t>Bergvik skog öst AB</t>
        </is>
      </c>
      <c r="I496" t="n">
        <v>7.6</v>
      </c>
      <c r="J496" t="n">
        <v>0</v>
      </c>
      <c r="K496" t="n">
        <v>0</v>
      </c>
      <c r="L496" t="n">
        <v>0</v>
      </c>
      <c r="M496" t="n">
        <v>0</v>
      </c>
      <c r="N496" t="n">
        <v>0</v>
      </c>
      <c r="O496" t="n">
        <v>0</v>
      </c>
      <c r="P496" t="n">
        <v>0</v>
      </c>
      <c r="Q496" t="n">
        <v>0</v>
      </c>
      <c r="R496" t="n">
        <v>0</v>
      </c>
      <c r="S496" t="n">
        <v>0</v>
      </c>
      <c r="T496" t="n">
        <v>0</v>
      </c>
      <c r="U496" s="2" t="inlineStr"/>
    </row>
    <row r="497" ht="15" customHeight="1">
      <c r="A497" t="inlineStr">
        <is>
          <t>A 19696-2026</t>
        </is>
      </c>
      <c r="B497" t="inlineStr">
        <is>
          <t>avverkningsanmälan</t>
        </is>
      </c>
      <c r="C497" t="inlineStr">
        <is>
          <t>Föryngringsavverkning</t>
        </is>
      </c>
      <c r="D497" s="1" t="n">
        <v>46134</v>
      </c>
      <c r="E497" s="1" t="n">
        <v>46220</v>
      </c>
      <c r="F497" t="inlineStr">
        <is>
          <t>UPPSALA LÄN</t>
        </is>
      </c>
      <c r="G497" t="inlineStr">
        <is>
          <t>TIERP</t>
        </is>
      </c>
      <c r="I497" t="n">
        <v>0.2</v>
      </c>
      <c r="J497" t="n">
        <v>0</v>
      </c>
      <c r="K497" t="n">
        <v>0</v>
      </c>
      <c r="L497" t="n">
        <v>0</v>
      </c>
      <c r="M497" t="n">
        <v>0</v>
      </c>
      <c r="N497" t="n">
        <v>0</v>
      </c>
      <c r="O497" t="n">
        <v>0</v>
      </c>
      <c r="P497" t="n">
        <v>0</v>
      </c>
      <c r="Q497" t="n">
        <v>0</v>
      </c>
      <c r="R497" t="n">
        <v>0</v>
      </c>
      <c r="S497" t="n">
        <v>0</v>
      </c>
      <c r="T497" t="n">
        <v>0</v>
      </c>
      <c r="U497" s="2" t="inlineStr"/>
    </row>
    <row r="498" ht="15" customHeight="1">
      <c r="A498" t="inlineStr">
        <is>
          <t>A 19665-2026</t>
        </is>
      </c>
      <c r="B498" t="inlineStr">
        <is>
          <t>avverkningsanmälan</t>
        </is>
      </c>
      <c r="C498" t="inlineStr">
        <is>
          <t>Föryngringsavverkning</t>
        </is>
      </c>
      <c r="D498" s="1" t="n">
        <v>46134</v>
      </c>
      <c r="E498" s="1" t="n">
        <v>46220</v>
      </c>
      <c r="F498" t="inlineStr">
        <is>
          <t>UPPSALA LÄN</t>
        </is>
      </c>
      <c r="G498" t="inlineStr">
        <is>
          <t>TIERP</t>
        </is>
      </c>
      <c r="H498" t="inlineStr">
        <is>
          <t>Bergvik skog öst AB</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19699-2026</t>
        </is>
      </c>
      <c r="B499" t="inlineStr">
        <is>
          <t>avverkningsanmälan</t>
        </is>
      </c>
      <c r="C499" t="inlineStr">
        <is>
          <t>Föryngringsavverkning</t>
        </is>
      </c>
      <c r="D499" s="1" t="n">
        <v>46134</v>
      </c>
      <c r="E499" s="1" t="n">
        <v>46220</v>
      </c>
      <c r="F499" t="inlineStr">
        <is>
          <t>UPPSALA LÄN</t>
        </is>
      </c>
      <c r="G499" t="inlineStr">
        <is>
          <t>TIERP</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26040-2025</t>
        </is>
      </c>
      <c r="B500" t="inlineStr">
        <is>
          <t>avverkningsanmälan</t>
        </is>
      </c>
      <c r="C500" t="inlineStr">
        <is>
          <t>Föryngringsavverkning</t>
        </is>
      </c>
      <c r="D500" s="1" t="n">
        <v>45804</v>
      </c>
      <c r="E500" s="1" t="n">
        <v>46220</v>
      </c>
      <c r="F500" t="inlineStr">
        <is>
          <t>UPPSALA LÄN</t>
        </is>
      </c>
      <c r="G500" t="inlineStr">
        <is>
          <t>TIERP</t>
        </is>
      </c>
      <c r="H500" t="inlineStr">
        <is>
          <t>Bergvik skog öst AB</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5289-2023</t>
        </is>
      </c>
      <c r="B501" t="inlineStr">
        <is>
          <t>avverkningsanmälan</t>
        </is>
      </c>
      <c r="C501" t="inlineStr">
        <is>
          <t>Föryngringsavverkning</t>
        </is>
      </c>
      <c r="D501" s="1" t="n">
        <v>44959</v>
      </c>
      <c r="E501" s="1" t="n">
        <v>46220</v>
      </c>
      <c r="F501" t="inlineStr">
        <is>
          <t>UPPSALA LÄN</t>
        </is>
      </c>
      <c r="G501" t="inlineStr">
        <is>
          <t>TIERP</t>
        </is>
      </c>
      <c r="I501" t="n">
        <v>2</v>
      </c>
      <c r="J501" t="n">
        <v>0</v>
      </c>
      <c r="K501" t="n">
        <v>0</v>
      </c>
      <c r="L501" t="n">
        <v>0</v>
      </c>
      <c r="M501" t="n">
        <v>0</v>
      </c>
      <c r="N501" t="n">
        <v>0</v>
      </c>
      <c r="O501" t="n">
        <v>0</v>
      </c>
      <c r="P501" t="n">
        <v>0</v>
      </c>
      <c r="Q501" t="n">
        <v>0</v>
      </c>
      <c r="R501" t="n">
        <v>0</v>
      </c>
      <c r="S501" t="n">
        <v>0</v>
      </c>
      <c r="T501" t="n">
        <v>0</v>
      </c>
      <c r="U501" s="2" t="inlineStr"/>
    </row>
    <row r="502" ht="15" customHeight="1">
      <c r="A502" t="inlineStr">
        <is>
          <t>A 9572-2026</t>
        </is>
      </c>
      <c r="B502" t="inlineStr">
        <is>
          <t>avverkningsanmälan</t>
        </is>
      </c>
      <c r="C502" t="inlineStr">
        <is>
          <t>Föryngringsavverkning</t>
        </is>
      </c>
      <c r="D502" s="1" t="n">
        <v>46071</v>
      </c>
      <c r="E502" s="1" t="n">
        <v>46220</v>
      </c>
      <c r="F502" t="inlineStr">
        <is>
          <t>UPPSALA LÄN</t>
        </is>
      </c>
      <c r="G502" t="inlineStr">
        <is>
          <t>TIERP</t>
        </is>
      </c>
      <c r="H502" t="inlineStr">
        <is>
          <t>Bergvik skog öst AB</t>
        </is>
      </c>
      <c r="I502" t="n">
        <v>8.800000000000001</v>
      </c>
      <c r="J502" t="n">
        <v>0</v>
      </c>
      <c r="K502" t="n">
        <v>0</v>
      </c>
      <c r="L502" t="n">
        <v>0</v>
      </c>
      <c r="M502" t="n">
        <v>0</v>
      </c>
      <c r="N502" t="n">
        <v>0</v>
      </c>
      <c r="O502" t="n">
        <v>0</v>
      </c>
      <c r="P502" t="n">
        <v>0</v>
      </c>
      <c r="Q502" t="n">
        <v>0</v>
      </c>
      <c r="R502" t="n">
        <v>0</v>
      </c>
      <c r="S502" t="n">
        <v>0</v>
      </c>
      <c r="T502" t="n">
        <v>0</v>
      </c>
      <c r="U502" s="2" t="inlineStr"/>
    </row>
    <row r="503" ht="15" customHeight="1">
      <c r="A503" t="inlineStr">
        <is>
          <t>A 47419-2022</t>
        </is>
      </c>
      <c r="B503" t="inlineStr">
        <is>
          <t>avverkningsanmälan</t>
        </is>
      </c>
      <c r="C503" t="inlineStr">
        <is>
          <t>Föryngringsavverkning</t>
        </is>
      </c>
      <c r="D503" s="1" t="n">
        <v>44853</v>
      </c>
      <c r="E503" s="1" t="n">
        <v>46220</v>
      </c>
      <c r="F503" t="inlineStr">
        <is>
          <t>UPPSALA LÄN</t>
        </is>
      </c>
      <c r="G503" t="inlineStr">
        <is>
          <t>TIERP</t>
        </is>
      </c>
      <c r="I503" t="n">
        <v>0.5</v>
      </c>
      <c r="J503" t="n">
        <v>0</v>
      </c>
      <c r="K503" t="n">
        <v>0</v>
      </c>
      <c r="L503" t="n">
        <v>0</v>
      </c>
      <c r="M503" t="n">
        <v>0</v>
      </c>
      <c r="N503" t="n">
        <v>0</v>
      </c>
      <c r="O503" t="n">
        <v>0</v>
      </c>
      <c r="P503" t="n">
        <v>0</v>
      </c>
      <c r="Q503" t="n">
        <v>0</v>
      </c>
      <c r="R503" t="n">
        <v>0</v>
      </c>
      <c r="S503" t="n">
        <v>0</v>
      </c>
      <c r="T503" t="n">
        <v>0</v>
      </c>
      <c r="U503" s="2" t="inlineStr"/>
    </row>
    <row r="504" ht="15" customHeight="1">
      <c r="A504" t="inlineStr">
        <is>
          <t>A 58492-2023</t>
        </is>
      </c>
      <c r="B504" t="inlineStr">
        <is>
          <t>avverkningsanmälan</t>
        </is>
      </c>
      <c r="C504" t="inlineStr">
        <is>
          <t>Avverkning för annat ändamål</t>
        </is>
      </c>
      <c r="D504" s="1" t="n">
        <v>45251</v>
      </c>
      <c r="E504" s="1" t="n">
        <v>46220</v>
      </c>
      <c r="F504" t="inlineStr">
        <is>
          <t>UPPSALA LÄN</t>
        </is>
      </c>
      <c r="G504" t="inlineStr">
        <is>
          <t>TIERP</t>
        </is>
      </c>
      <c r="H504" t="inlineStr">
        <is>
          <t>Bergvik skog väst AB</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44775-2024</t>
        </is>
      </c>
      <c r="B505" t="inlineStr">
        <is>
          <t>avverkningsanmälan</t>
        </is>
      </c>
      <c r="C505" t="inlineStr">
        <is>
          <t>Föryngringsavverkning</t>
        </is>
      </c>
      <c r="D505" s="1" t="n">
        <v>45574</v>
      </c>
      <c r="E505" s="1" t="n">
        <v>46220</v>
      </c>
      <c r="F505" t="inlineStr">
        <is>
          <t>UPPSALA LÄN</t>
        </is>
      </c>
      <c r="G505" t="inlineStr">
        <is>
          <t>TIERP</t>
        </is>
      </c>
      <c r="H505" t="inlineStr">
        <is>
          <t>Bergvik skog öst AB</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26051-2026</t>
        </is>
      </c>
      <c r="B506" t="inlineStr">
        <is>
          <t>avverkningsanmälan</t>
        </is>
      </c>
      <c r="C506" t="inlineStr">
        <is>
          <t>Föryngringsavverkning</t>
        </is>
      </c>
      <c r="D506" s="1" t="n">
        <v>46181</v>
      </c>
      <c r="E506" s="1" t="n">
        <v>46220</v>
      </c>
      <c r="F506" t="inlineStr">
        <is>
          <t>UPPSALA LÄN</t>
        </is>
      </c>
      <c r="G506" t="inlineStr">
        <is>
          <t>TIERP</t>
        </is>
      </c>
      <c r="H506" t="inlineStr">
        <is>
          <t>Bergvik skog öst AB</t>
        </is>
      </c>
      <c r="I506" t="n">
        <v>9.199999999999999</v>
      </c>
      <c r="J506" t="n">
        <v>0</v>
      </c>
      <c r="K506" t="n">
        <v>0</v>
      </c>
      <c r="L506" t="n">
        <v>0</v>
      </c>
      <c r="M506" t="n">
        <v>0</v>
      </c>
      <c r="N506" t="n">
        <v>0</v>
      </c>
      <c r="O506" t="n">
        <v>0</v>
      </c>
      <c r="P506" t="n">
        <v>0</v>
      </c>
      <c r="Q506" t="n">
        <v>0</v>
      </c>
      <c r="R506" t="n">
        <v>0</v>
      </c>
      <c r="S506" t="n">
        <v>0</v>
      </c>
      <c r="T506" t="n">
        <v>0</v>
      </c>
      <c r="U506" s="2" t="inlineStr"/>
    </row>
    <row r="507" ht="15" customHeight="1">
      <c r="A507" t="inlineStr">
        <is>
          <t>A 40793-2021</t>
        </is>
      </c>
      <c r="B507" t="inlineStr">
        <is>
          <t>avverkningsanmälan</t>
        </is>
      </c>
      <c r="C507" t="inlineStr">
        <is>
          <t>Föryngringsavverkning</t>
        </is>
      </c>
      <c r="D507" s="1" t="n">
        <v>44421</v>
      </c>
      <c r="E507" s="1" t="n">
        <v>46220</v>
      </c>
      <c r="F507" t="inlineStr">
        <is>
          <t>UPPSALA LÄN</t>
        </is>
      </c>
      <c r="G507" t="inlineStr">
        <is>
          <t>TIERP</t>
        </is>
      </c>
      <c r="H507" t="inlineStr">
        <is>
          <t>Kyrkan</t>
        </is>
      </c>
      <c r="I507" t="n">
        <v>3.4</v>
      </c>
      <c r="J507" t="n">
        <v>0</v>
      </c>
      <c r="K507" t="n">
        <v>0</v>
      </c>
      <c r="L507" t="n">
        <v>0</v>
      </c>
      <c r="M507" t="n">
        <v>0</v>
      </c>
      <c r="N507" t="n">
        <v>0</v>
      </c>
      <c r="O507" t="n">
        <v>0</v>
      </c>
      <c r="P507" t="n">
        <v>0</v>
      </c>
      <c r="Q507" t="n">
        <v>0</v>
      </c>
      <c r="R507" t="n">
        <v>0</v>
      </c>
      <c r="S507" t="n">
        <v>0</v>
      </c>
      <c r="T507" t="n">
        <v>0</v>
      </c>
      <c r="U507" s="2" t="inlineStr"/>
    </row>
    <row r="508" ht="15" customHeight="1">
      <c r="A508" t="inlineStr">
        <is>
          <t>A 18250-2026</t>
        </is>
      </c>
      <c r="B508" t="inlineStr">
        <is>
          <t>avverkningsanmälan</t>
        </is>
      </c>
      <c r="C508" t="inlineStr">
        <is>
          <t>Föryngringsavverkning</t>
        </is>
      </c>
      <c r="D508" s="1" t="n">
        <v>46126</v>
      </c>
      <c r="E508" s="1" t="n">
        <v>46220</v>
      </c>
      <c r="F508" t="inlineStr">
        <is>
          <t>UPPSALA LÄN</t>
        </is>
      </c>
      <c r="G508" t="inlineStr">
        <is>
          <t>TIERP</t>
        </is>
      </c>
      <c r="H508" t="inlineStr">
        <is>
          <t>Bergvik skog öst AB</t>
        </is>
      </c>
      <c r="I508" t="n">
        <v>7.5</v>
      </c>
      <c r="J508" t="n">
        <v>0</v>
      </c>
      <c r="K508" t="n">
        <v>0</v>
      </c>
      <c r="L508" t="n">
        <v>0</v>
      </c>
      <c r="M508" t="n">
        <v>0</v>
      </c>
      <c r="N508" t="n">
        <v>0</v>
      </c>
      <c r="O508" t="n">
        <v>0</v>
      </c>
      <c r="P508" t="n">
        <v>0</v>
      </c>
      <c r="Q508" t="n">
        <v>0</v>
      </c>
      <c r="R508" t="n">
        <v>0</v>
      </c>
      <c r="S508" t="n">
        <v>0</v>
      </c>
      <c r="T508" t="n">
        <v>0</v>
      </c>
      <c r="U508" s="2" t="inlineStr"/>
    </row>
    <row r="509" ht="15" customHeight="1">
      <c r="A509" t="inlineStr">
        <is>
          <t>A 29282-2025</t>
        </is>
      </c>
      <c r="B509" t="inlineStr">
        <is>
          <t>avverkningsanmälan</t>
        </is>
      </c>
      <c r="C509" t="inlineStr">
        <is>
          <t>Föryngringsavverkning</t>
        </is>
      </c>
      <c r="D509" s="1" t="n">
        <v>45824</v>
      </c>
      <c r="E509" s="1" t="n">
        <v>46220</v>
      </c>
      <c r="F509" t="inlineStr">
        <is>
          <t>UPPSALA LÄN</t>
        </is>
      </c>
      <c r="G509" t="inlineStr">
        <is>
          <t>TIERP</t>
        </is>
      </c>
      <c r="H509" t="inlineStr">
        <is>
          <t>Bergvik skog väst AB</t>
        </is>
      </c>
      <c r="I509" t="n">
        <v>3.3</v>
      </c>
      <c r="J509" t="n">
        <v>0</v>
      </c>
      <c r="K509" t="n">
        <v>0</v>
      </c>
      <c r="L509" t="n">
        <v>0</v>
      </c>
      <c r="M509" t="n">
        <v>0</v>
      </c>
      <c r="N509" t="n">
        <v>0</v>
      </c>
      <c r="O509" t="n">
        <v>0</v>
      </c>
      <c r="P509" t="n">
        <v>0</v>
      </c>
      <c r="Q509" t="n">
        <v>0</v>
      </c>
      <c r="R509" t="n">
        <v>0</v>
      </c>
      <c r="S509" t="n">
        <v>0</v>
      </c>
      <c r="T509" t="n">
        <v>0</v>
      </c>
      <c r="U509" s="2" t="inlineStr"/>
    </row>
    <row r="510" ht="15" customHeight="1">
      <c r="A510" t="inlineStr">
        <is>
          <t>A 59575-2025</t>
        </is>
      </c>
      <c r="B510" t="inlineStr">
        <is>
          <t>avverkningsanmälan</t>
        </is>
      </c>
      <c r="C510" t="inlineStr">
        <is>
          <t>Föryngringsavverkning</t>
        </is>
      </c>
      <c r="D510" s="1" t="n">
        <v>45992</v>
      </c>
      <c r="E510" s="1" t="n">
        <v>46220</v>
      </c>
      <c r="F510" t="inlineStr">
        <is>
          <t>UPPSALA LÄN</t>
        </is>
      </c>
      <c r="G510" t="inlineStr">
        <is>
          <t>TIERP</t>
        </is>
      </c>
      <c r="H510" t="inlineStr">
        <is>
          <t>Bergvik skog öst AB</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31549-2025</t>
        </is>
      </c>
      <c r="B511" t="inlineStr">
        <is>
          <t>avverkningsanmälan</t>
        </is>
      </c>
      <c r="C511" t="inlineStr">
        <is>
          <t>Föryngringsavverkning</t>
        </is>
      </c>
      <c r="D511" s="1" t="n">
        <v>45833</v>
      </c>
      <c r="E511" s="1" t="n">
        <v>46220</v>
      </c>
      <c r="F511" t="inlineStr">
        <is>
          <t>UPPSALA LÄN</t>
        </is>
      </c>
      <c r="G511" t="inlineStr">
        <is>
          <t>TIERP</t>
        </is>
      </c>
      <c r="H511" t="inlineStr">
        <is>
          <t>Bergvik skog öst AB</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15655-2025</t>
        </is>
      </c>
      <c r="B512" t="inlineStr">
        <is>
          <t>avverkningsanmälan</t>
        </is>
      </c>
      <c r="C512" t="inlineStr">
        <is>
          <t>Föryngringsavverkning</t>
        </is>
      </c>
      <c r="D512" s="1" t="n">
        <v>45748</v>
      </c>
      <c r="E512" s="1" t="n">
        <v>46220</v>
      </c>
      <c r="F512" t="inlineStr">
        <is>
          <t>UPPSALA LÄN</t>
        </is>
      </c>
      <c r="G512" t="inlineStr">
        <is>
          <t>TIERP</t>
        </is>
      </c>
      <c r="H512" t="inlineStr">
        <is>
          <t>Kyrkan</t>
        </is>
      </c>
      <c r="I512" t="n">
        <v>4.5</v>
      </c>
      <c r="J512" t="n">
        <v>0</v>
      </c>
      <c r="K512" t="n">
        <v>0</v>
      </c>
      <c r="L512" t="n">
        <v>0</v>
      </c>
      <c r="M512" t="n">
        <v>0</v>
      </c>
      <c r="N512" t="n">
        <v>0</v>
      </c>
      <c r="O512" t="n">
        <v>0</v>
      </c>
      <c r="P512" t="n">
        <v>0</v>
      </c>
      <c r="Q512" t="n">
        <v>0</v>
      </c>
      <c r="R512" t="n">
        <v>0</v>
      </c>
      <c r="S512" t="n">
        <v>0</v>
      </c>
      <c r="T512" t="n">
        <v>0</v>
      </c>
      <c r="U512" s="2" t="inlineStr"/>
    </row>
    <row r="513" ht="15" customHeight="1">
      <c r="A513" t="inlineStr">
        <is>
          <t>A 58969-2025</t>
        </is>
      </c>
      <c r="B513" t="inlineStr">
        <is>
          <t>avverkningsanmälan</t>
        </is>
      </c>
      <c r="C513" t="inlineStr">
        <is>
          <t>Föryngringsavverkning</t>
        </is>
      </c>
      <c r="D513" s="1" t="n">
        <v>45987</v>
      </c>
      <c r="E513" s="1" t="n">
        <v>46220</v>
      </c>
      <c r="F513" t="inlineStr">
        <is>
          <t>UPPSALA LÄN</t>
        </is>
      </c>
      <c r="G513" t="inlineStr">
        <is>
          <t>TIERP</t>
        </is>
      </c>
      <c r="H513" t="inlineStr">
        <is>
          <t>Bergvik skog öst AB</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48523-2025</t>
        </is>
      </c>
      <c r="B514" t="inlineStr">
        <is>
          <t>avverkningsanmälan</t>
        </is>
      </c>
      <c r="C514" t="inlineStr">
        <is>
          <t>Föryngringsavverkning</t>
        </is>
      </c>
      <c r="D514" s="1" t="n">
        <v>45936</v>
      </c>
      <c r="E514" s="1" t="n">
        <v>46220</v>
      </c>
      <c r="F514" t="inlineStr">
        <is>
          <t>UPPSALA LÄN</t>
        </is>
      </c>
      <c r="G514" t="inlineStr">
        <is>
          <t>TIERP</t>
        </is>
      </c>
      <c r="H514" t="inlineStr">
        <is>
          <t>Bergvik skog väst AB</t>
        </is>
      </c>
      <c r="I514" t="n">
        <v>16.4</v>
      </c>
      <c r="J514" t="n">
        <v>0</v>
      </c>
      <c r="K514" t="n">
        <v>0</v>
      </c>
      <c r="L514" t="n">
        <v>0</v>
      </c>
      <c r="M514" t="n">
        <v>0</v>
      </c>
      <c r="N514" t="n">
        <v>0</v>
      </c>
      <c r="O514" t="n">
        <v>0</v>
      </c>
      <c r="P514" t="n">
        <v>0</v>
      </c>
      <c r="Q514" t="n">
        <v>0</v>
      </c>
      <c r="R514" t="n">
        <v>0</v>
      </c>
      <c r="S514" t="n">
        <v>0</v>
      </c>
      <c r="T514" t="n">
        <v>0</v>
      </c>
      <c r="U514" s="2" t="inlineStr"/>
    </row>
    <row r="515" ht="15" customHeight="1">
      <c r="A515" t="inlineStr">
        <is>
          <t>A 61640-2023</t>
        </is>
      </c>
      <c r="B515" t="inlineStr">
        <is>
          <t>avverkningsanmälan</t>
        </is>
      </c>
      <c r="C515" t="inlineStr">
        <is>
          <t>Föryngringsavverkning</t>
        </is>
      </c>
      <c r="D515" s="1" t="n">
        <v>45265</v>
      </c>
      <c r="E515" s="1" t="n">
        <v>46220</v>
      </c>
      <c r="F515" t="inlineStr">
        <is>
          <t>UPPSALA LÄN</t>
        </is>
      </c>
      <c r="G515" t="inlineStr">
        <is>
          <t>TIERP</t>
        </is>
      </c>
      <c r="I515" t="n">
        <v>0.5</v>
      </c>
      <c r="J515" t="n">
        <v>0</v>
      </c>
      <c r="K515" t="n">
        <v>0</v>
      </c>
      <c r="L515" t="n">
        <v>0</v>
      </c>
      <c r="M515" t="n">
        <v>0</v>
      </c>
      <c r="N515" t="n">
        <v>0</v>
      </c>
      <c r="O515" t="n">
        <v>0</v>
      </c>
      <c r="P515" t="n">
        <v>0</v>
      </c>
      <c r="Q515" t="n">
        <v>0</v>
      </c>
      <c r="R515" t="n">
        <v>0</v>
      </c>
      <c r="S515" t="n">
        <v>0</v>
      </c>
      <c r="T515" t="n">
        <v>0</v>
      </c>
      <c r="U515" s="2" t="inlineStr"/>
    </row>
    <row r="516" ht="15" customHeight="1">
      <c r="A516" t="inlineStr">
        <is>
          <t>A 36420-2025</t>
        </is>
      </c>
      <c r="B516" t="inlineStr">
        <is>
          <t>avverkningsanmälan</t>
        </is>
      </c>
      <c r="C516" t="inlineStr">
        <is>
          <t>Föryngringsavverkning</t>
        </is>
      </c>
      <c r="D516" s="1" t="n">
        <v>45868</v>
      </c>
      <c r="E516" s="1" t="n">
        <v>46220</v>
      </c>
      <c r="F516" t="inlineStr">
        <is>
          <t>UPPSALA LÄN</t>
        </is>
      </c>
      <c r="G516" t="inlineStr">
        <is>
          <t>TIERP</t>
        </is>
      </c>
      <c r="I516" t="n">
        <v>4.1</v>
      </c>
      <c r="J516" t="n">
        <v>0</v>
      </c>
      <c r="K516" t="n">
        <v>0</v>
      </c>
      <c r="L516" t="n">
        <v>0</v>
      </c>
      <c r="M516" t="n">
        <v>0</v>
      </c>
      <c r="N516" t="n">
        <v>0</v>
      </c>
      <c r="O516" t="n">
        <v>0</v>
      </c>
      <c r="P516" t="n">
        <v>0</v>
      </c>
      <c r="Q516" t="n">
        <v>0</v>
      </c>
      <c r="R516" t="n">
        <v>0</v>
      </c>
      <c r="S516" t="n">
        <v>0</v>
      </c>
      <c r="T516" t="n">
        <v>0</v>
      </c>
      <c r="U516" s="2" t="inlineStr"/>
    </row>
    <row r="517" ht="15" customHeight="1">
      <c r="A517" t="inlineStr">
        <is>
          <t>A 51331-2025</t>
        </is>
      </c>
      <c r="B517" t="inlineStr">
        <is>
          <t>avverkningsanmälan</t>
        </is>
      </c>
      <c r="C517" t="inlineStr">
        <is>
          <t>Föryngringsavverkning</t>
        </is>
      </c>
      <c r="D517" s="1" t="n">
        <v>45950</v>
      </c>
      <c r="E517" s="1" t="n">
        <v>46220</v>
      </c>
      <c r="F517" t="inlineStr">
        <is>
          <t>UPPSALA LÄN</t>
        </is>
      </c>
      <c r="G517" t="inlineStr">
        <is>
          <t>TIERP</t>
        </is>
      </c>
      <c r="I517" t="n">
        <v>8.9</v>
      </c>
      <c r="J517" t="n">
        <v>0</v>
      </c>
      <c r="K517" t="n">
        <v>0</v>
      </c>
      <c r="L517" t="n">
        <v>0</v>
      </c>
      <c r="M517" t="n">
        <v>0</v>
      </c>
      <c r="N517" t="n">
        <v>0</v>
      </c>
      <c r="O517" t="n">
        <v>0</v>
      </c>
      <c r="P517" t="n">
        <v>0</v>
      </c>
      <c r="Q517" t="n">
        <v>0</v>
      </c>
      <c r="R517" t="n">
        <v>0</v>
      </c>
      <c r="S517" t="n">
        <v>0</v>
      </c>
      <c r="T517" t="n">
        <v>0</v>
      </c>
      <c r="U517" s="2" t="inlineStr"/>
    </row>
    <row r="518" ht="15" customHeight="1">
      <c r="A518" t="inlineStr">
        <is>
          <t>A 26556-2025</t>
        </is>
      </c>
      <c r="B518" t="inlineStr">
        <is>
          <t>avverkningsanmälan</t>
        </is>
      </c>
      <c r="C518" t="inlineStr">
        <is>
          <t>Föryngringsavverkning</t>
        </is>
      </c>
      <c r="D518" s="1" t="n">
        <v>45807</v>
      </c>
      <c r="E518" s="1" t="n">
        <v>46220</v>
      </c>
      <c r="F518" t="inlineStr">
        <is>
          <t>UPPSALA LÄN</t>
        </is>
      </c>
      <c r="G518" t="inlineStr">
        <is>
          <t>TIERP</t>
        </is>
      </c>
      <c r="I518" t="n">
        <v>2.6</v>
      </c>
      <c r="J518" t="n">
        <v>0</v>
      </c>
      <c r="K518" t="n">
        <v>0</v>
      </c>
      <c r="L518" t="n">
        <v>0</v>
      </c>
      <c r="M518" t="n">
        <v>0</v>
      </c>
      <c r="N518" t="n">
        <v>0</v>
      </c>
      <c r="O518" t="n">
        <v>0</v>
      </c>
      <c r="P518" t="n">
        <v>0</v>
      </c>
      <c r="Q518" t="n">
        <v>0</v>
      </c>
      <c r="R518" t="n">
        <v>0</v>
      </c>
      <c r="S518" t="n">
        <v>0</v>
      </c>
      <c r="T518" t="n">
        <v>0</v>
      </c>
      <c r="U518" s="2" t="inlineStr"/>
    </row>
    <row r="519" ht="15" customHeight="1">
      <c r="A519" t="inlineStr">
        <is>
          <t>A 27382-2025</t>
        </is>
      </c>
      <c r="B519" t="inlineStr">
        <is>
          <t>avverkningsanmälan</t>
        </is>
      </c>
      <c r="C519" t="inlineStr">
        <is>
          <t>Föryngringsavverkning</t>
        </is>
      </c>
      <c r="D519" s="1" t="n">
        <v>45812</v>
      </c>
      <c r="E519" s="1" t="n">
        <v>46220</v>
      </c>
      <c r="F519" t="inlineStr">
        <is>
          <t>UPPSALA LÄN</t>
        </is>
      </c>
      <c r="G519" t="inlineStr">
        <is>
          <t>TIERP</t>
        </is>
      </c>
      <c r="H519" t="inlineStr">
        <is>
          <t>Bergvik skog väst AB</t>
        </is>
      </c>
      <c r="I519" t="n">
        <v>3.5</v>
      </c>
      <c r="J519" t="n">
        <v>0</v>
      </c>
      <c r="K519" t="n">
        <v>0</v>
      </c>
      <c r="L519" t="n">
        <v>0</v>
      </c>
      <c r="M519" t="n">
        <v>0</v>
      </c>
      <c r="N519" t="n">
        <v>0</v>
      </c>
      <c r="O519" t="n">
        <v>0</v>
      </c>
      <c r="P519" t="n">
        <v>0</v>
      </c>
      <c r="Q519" t="n">
        <v>0</v>
      </c>
      <c r="R519" t="n">
        <v>0</v>
      </c>
      <c r="S519" t="n">
        <v>0</v>
      </c>
      <c r="T519" t="n">
        <v>0</v>
      </c>
      <c r="U519" s="2" t="inlineStr"/>
    </row>
    <row r="520" ht="15" customHeight="1">
      <c r="A520" t="inlineStr">
        <is>
          <t>A 49061-2021</t>
        </is>
      </c>
      <c r="B520" t="inlineStr">
        <is>
          <t>avverkningsanmälan</t>
        </is>
      </c>
      <c r="C520" t="inlineStr">
        <is>
          <t>Föryngringsavverkning</t>
        </is>
      </c>
      <c r="D520" s="1" t="n">
        <v>44453</v>
      </c>
      <c r="E520" s="1" t="n">
        <v>46220</v>
      </c>
      <c r="F520" t="inlineStr">
        <is>
          <t>UPPSALA LÄN</t>
        </is>
      </c>
      <c r="G520" t="inlineStr">
        <is>
          <t>TIERP</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64128-2023</t>
        </is>
      </c>
      <c r="B521" t="inlineStr">
        <is>
          <t>avverkningsanmälan</t>
        </is>
      </c>
      <c r="C521" t="inlineStr">
        <is>
          <t>Föryngringsavverkning</t>
        </is>
      </c>
      <c r="D521" s="1" t="n">
        <v>45279</v>
      </c>
      <c r="E521" s="1" t="n">
        <v>46220</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16494-2025</t>
        </is>
      </c>
      <c r="B522" t="inlineStr">
        <is>
          <t>avverkningsanmälan</t>
        </is>
      </c>
      <c r="C522" t="inlineStr">
        <is>
          <t>Föryngringsavverkning</t>
        </is>
      </c>
      <c r="D522" s="1" t="n">
        <v>45751</v>
      </c>
      <c r="E522" s="1" t="n">
        <v>46220</v>
      </c>
      <c r="F522" t="inlineStr">
        <is>
          <t>UPPSALA LÄN</t>
        </is>
      </c>
      <c r="G522" t="inlineStr">
        <is>
          <t>TIERP</t>
        </is>
      </c>
      <c r="H522" t="inlineStr">
        <is>
          <t>Bergvik skog väst AB</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4055-2026</t>
        </is>
      </c>
      <c r="B523" t="inlineStr">
        <is>
          <t>avverkningsanmälan</t>
        </is>
      </c>
      <c r="C523" t="inlineStr">
        <is>
          <t>Föryngringsavverkning</t>
        </is>
      </c>
      <c r="D523" s="1" t="n">
        <v>46044</v>
      </c>
      <c r="E523" s="1" t="n">
        <v>46220</v>
      </c>
      <c r="F523" t="inlineStr">
        <is>
          <t>UPPSALA LÄN</t>
        </is>
      </c>
      <c r="G523" t="inlineStr">
        <is>
          <t>TIERP</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17944-2023</t>
        </is>
      </c>
      <c r="B524" t="inlineStr">
        <is>
          <t>avverkningsanmälan</t>
        </is>
      </c>
      <c r="C524" t="inlineStr">
        <is>
          <t>Föryngringsavverkning</t>
        </is>
      </c>
      <c r="D524" s="1" t="n">
        <v>45040</v>
      </c>
      <c r="E524" s="1" t="n">
        <v>46220</v>
      </c>
      <c r="F524" t="inlineStr">
        <is>
          <t>UPPSALA LÄN</t>
        </is>
      </c>
      <c r="G524" t="inlineStr">
        <is>
          <t>TIERP</t>
        </is>
      </c>
      <c r="H524" t="inlineStr">
        <is>
          <t>Bergvik skog väst AB</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35112-2025</t>
        </is>
      </c>
      <c r="B525" t="inlineStr">
        <is>
          <t>avverkningsanmälan</t>
        </is>
      </c>
      <c r="C525" t="inlineStr">
        <is>
          <t>Föryngringsavverkning</t>
        </is>
      </c>
      <c r="D525" s="1" t="n">
        <v>45852</v>
      </c>
      <c r="E525" s="1" t="n">
        <v>46220</v>
      </c>
      <c r="F525" t="inlineStr">
        <is>
          <t>UPPSALA LÄN</t>
        </is>
      </c>
      <c r="G525" t="inlineStr">
        <is>
          <t>TIERP</t>
        </is>
      </c>
      <c r="H525" t="inlineStr">
        <is>
          <t>Bergvik skog väst AB</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20344-2026</t>
        </is>
      </c>
      <c r="B526" t="inlineStr">
        <is>
          <t>avverkningsanmälan</t>
        </is>
      </c>
      <c r="C526" t="inlineStr">
        <is>
          <t>Föryngringsavverkning</t>
        </is>
      </c>
      <c r="D526" s="1" t="n">
        <v>46139</v>
      </c>
      <c r="E526" s="1" t="n">
        <v>46220</v>
      </c>
      <c r="F526" t="inlineStr">
        <is>
          <t>UPPSALA LÄN</t>
        </is>
      </c>
      <c r="G526" t="inlineStr">
        <is>
          <t>TIERP</t>
        </is>
      </c>
      <c r="I526" t="n">
        <v>3.5</v>
      </c>
      <c r="J526" t="n">
        <v>0</v>
      </c>
      <c r="K526" t="n">
        <v>0</v>
      </c>
      <c r="L526" t="n">
        <v>0</v>
      </c>
      <c r="M526" t="n">
        <v>0</v>
      </c>
      <c r="N526" t="n">
        <v>0</v>
      </c>
      <c r="O526" t="n">
        <v>0</v>
      </c>
      <c r="P526" t="n">
        <v>0</v>
      </c>
      <c r="Q526" t="n">
        <v>0</v>
      </c>
      <c r="R526" t="n">
        <v>0</v>
      </c>
      <c r="S526" t="n">
        <v>0</v>
      </c>
      <c r="T526" t="n">
        <v>0</v>
      </c>
      <c r="U526" s="2" t="inlineStr"/>
    </row>
    <row r="527" ht="15" customHeight="1">
      <c r="A527" t="inlineStr">
        <is>
          <t>A 32326-2022</t>
        </is>
      </c>
      <c r="B527" t="inlineStr">
        <is>
          <t>avverkningsanmälan</t>
        </is>
      </c>
      <c r="C527" t="inlineStr">
        <is>
          <t>Föryngringsavverkning</t>
        </is>
      </c>
      <c r="D527" s="1" t="n">
        <v>44781</v>
      </c>
      <c r="E527" s="1" t="n">
        <v>46220</v>
      </c>
      <c r="F527" t="inlineStr">
        <is>
          <t>UPPSALA LÄN</t>
        </is>
      </c>
      <c r="G527" t="inlineStr">
        <is>
          <t>TIERP</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35119-2025</t>
        </is>
      </c>
      <c r="B528" t="inlineStr">
        <is>
          <t>avverkningsanmälan</t>
        </is>
      </c>
      <c r="C528" t="inlineStr">
        <is>
          <t>Föryngringsavverkning</t>
        </is>
      </c>
      <c r="D528" s="1" t="n">
        <v>45852</v>
      </c>
      <c r="E528" s="1" t="n">
        <v>46220</v>
      </c>
      <c r="F528" t="inlineStr">
        <is>
          <t>UPPSALA LÄN</t>
        </is>
      </c>
      <c r="G528" t="inlineStr">
        <is>
          <t>TIERP</t>
        </is>
      </c>
      <c r="H528" t="inlineStr">
        <is>
          <t>Bergvik skog väst AB</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34455-2025</t>
        </is>
      </c>
      <c r="B529" t="inlineStr">
        <is>
          <t>avverkningsanmälan</t>
        </is>
      </c>
      <c r="C529" t="inlineStr">
        <is>
          <t>Föryngringsavverkning</t>
        </is>
      </c>
      <c r="D529" s="1" t="n">
        <v>45847</v>
      </c>
      <c r="E529" s="1" t="n">
        <v>46220</v>
      </c>
      <c r="F529" t="inlineStr">
        <is>
          <t>UPPSALA LÄN</t>
        </is>
      </c>
      <c r="G529" t="inlineStr">
        <is>
          <t>TIERP</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20296-2026</t>
        </is>
      </c>
      <c r="B530" t="inlineStr">
        <is>
          <t>avverkningsanmälan</t>
        </is>
      </c>
      <c r="C530" t="inlineStr">
        <is>
          <t>Föryngringsavverkning</t>
        </is>
      </c>
      <c r="D530" s="1" t="n">
        <v>46139</v>
      </c>
      <c r="E530" s="1" t="n">
        <v>46220</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28285-2025</t>
        </is>
      </c>
      <c r="B531" t="inlineStr">
        <is>
          <t>avverkningsanmälan</t>
        </is>
      </c>
      <c r="C531" t="inlineStr">
        <is>
          <t>Föryngringsavverkning</t>
        </is>
      </c>
      <c r="D531" s="1" t="n">
        <v>45818</v>
      </c>
      <c r="E531" s="1" t="n">
        <v>46220</v>
      </c>
      <c r="F531" t="inlineStr">
        <is>
          <t>UPPSALA LÄN</t>
        </is>
      </c>
      <c r="G531" t="inlineStr">
        <is>
          <t>TIERP</t>
        </is>
      </c>
      <c r="H531" t="inlineStr">
        <is>
          <t>Bergvik skog öst AB</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24150-2025</t>
        </is>
      </c>
      <c r="B532" t="inlineStr">
        <is>
          <t>avverkningsanmälan</t>
        </is>
      </c>
      <c r="C532" t="inlineStr">
        <is>
          <t>Föryngringsavverkning</t>
        </is>
      </c>
      <c r="D532" s="1" t="n">
        <v>45796</v>
      </c>
      <c r="E532" s="1" t="n">
        <v>46220</v>
      </c>
      <c r="F532" t="inlineStr">
        <is>
          <t>UPPSALA LÄN</t>
        </is>
      </c>
      <c r="G532" t="inlineStr">
        <is>
          <t>TIERP</t>
        </is>
      </c>
      <c r="H532" t="inlineStr">
        <is>
          <t>Bergvik skog öst AB</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15193-2024</t>
        </is>
      </c>
      <c r="B533" t="inlineStr">
        <is>
          <t>avverkningsanmälan</t>
        </is>
      </c>
      <c r="C533" t="inlineStr">
        <is>
          <t>Föryngringsavverkning</t>
        </is>
      </c>
      <c r="D533" s="1" t="n">
        <v>45400</v>
      </c>
      <c r="E533" s="1" t="n">
        <v>46220</v>
      </c>
      <c r="F533" t="inlineStr">
        <is>
          <t>UPPSALA LÄN</t>
        </is>
      </c>
      <c r="G533" t="inlineStr">
        <is>
          <t>TIERP</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22663-2022</t>
        </is>
      </c>
      <c r="B534" t="inlineStr">
        <is>
          <t>avverkningsanmälan</t>
        </is>
      </c>
      <c r="C534" t="inlineStr">
        <is>
          <t>Föryngringsavverkning</t>
        </is>
      </c>
      <c r="D534" s="1" t="n">
        <v>44713</v>
      </c>
      <c r="E534" s="1" t="n">
        <v>46220</v>
      </c>
      <c r="F534" t="inlineStr">
        <is>
          <t>UPPSALA LÄN</t>
        </is>
      </c>
      <c r="G534" t="inlineStr">
        <is>
          <t>TIERP</t>
        </is>
      </c>
      <c r="H534" t="inlineStr">
        <is>
          <t>Bergvik skog väst AB</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13214-2025</t>
        </is>
      </c>
      <c r="B535" t="inlineStr">
        <is>
          <t>avverkningsanmälan</t>
        </is>
      </c>
      <c r="C535" t="inlineStr">
        <is>
          <t>Föryngringsavverkning</t>
        </is>
      </c>
      <c r="D535" s="1" t="n">
        <v>45735</v>
      </c>
      <c r="E535" s="1" t="n">
        <v>46220</v>
      </c>
      <c r="F535" t="inlineStr">
        <is>
          <t>UPPSALA LÄN</t>
        </is>
      </c>
      <c r="G535" t="inlineStr">
        <is>
          <t>TIERP</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32190-2022</t>
        </is>
      </c>
      <c r="B536" t="inlineStr">
        <is>
          <t>avverkningsanmälan</t>
        </is>
      </c>
      <c r="C536" t="inlineStr">
        <is>
          <t>Föryngringsavverkning</t>
        </is>
      </c>
      <c r="D536" s="1" t="n">
        <v>44781</v>
      </c>
      <c r="E536" s="1" t="n">
        <v>46220</v>
      </c>
      <c r="F536" t="inlineStr">
        <is>
          <t>UPPSALA LÄN</t>
        </is>
      </c>
      <c r="G536" t="inlineStr">
        <is>
          <t>TIERP</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8768-2023</t>
        </is>
      </c>
      <c r="B537" t="inlineStr">
        <is>
          <t>avverkningsanmälan</t>
        </is>
      </c>
      <c r="C537" t="inlineStr">
        <is>
          <t>Föryngringsavverkning</t>
        </is>
      </c>
      <c r="D537" s="1" t="n">
        <v>44978</v>
      </c>
      <c r="E537" s="1" t="n">
        <v>46220</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14516-2025</t>
        </is>
      </c>
      <c r="B538" t="inlineStr">
        <is>
          <t>avverkningsanmälan</t>
        </is>
      </c>
      <c r="C538" t="inlineStr">
        <is>
          <t>Föryngringsavverkning</t>
        </is>
      </c>
      <c r="D538" s="1" t="n">
        <v>45741</v>
      </c>
      <c r="E538" s="1" t="n">
        <v>46220</v>
      </c>
      <c r="F538" t="inlineStr">
        <is>
          <t>UPPSALA LÄN</t>
        </is>
      </c>
      <c r="G538" t="inlineStr">
        <is>
          <t>TIERP</t>
        </is>
      </c>
      <c r="H538" t="inlineStr">
        <is>
          <t>Bergvik skog väst AB</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5170-2022</t>
        </is>
      </c>
      <c r="B539" t="inlineStr">
        <is>
          <t>avverkningsanmälan</t>
        </is>
      </c>
      <c r="C539" t="inlineStr">
        <is>
          <t>Föryngringsavverkning</t>
        </is>
      </c>
      <c r="D539" s="1" t="n">
        <v>44594</v>
      </c>
      <c r="E539" s="1" t="n">
        <v>46220</v>
      </c>
      <c r="F539" t="inlineStr">
        <is>
          <t>UPPSALA LÄN</t>
        </is>
      </c>
      <c r="G539" t="inlineStr">
        <is>
          <t>TIERP</t>
        </is>
      </c>
      <c r="H539" t="inlineStr">
        <is>
          <t>Bergvik skog öst AB</t>
        </is>
      </c>
      <c r="I539" t="n">
        <v>3.5</v>
      </c>
      <c r="J539" t="n">
        <v>0</v>
      </c>
      <c r="K539" t="n">
        <v>0</v>
      </c>
      <c r="L539" t="n">
        <v>0</v>
      </c>
      <c r="M539" t="n">
        <v>0</v>
      </c>
      <c r="N539" t="n">
        <v>0</v>
      </c>
      <c r="O539" t="n">
        <v>0</v>
      </c>
      <c r="P539" t="n">
        <v>0</v>
      </c>
      <c r="Q539" t="n">
        <v>0</v>
      </c>
      <c r="R539" t="n">
        <v>0</v>
      </c>
      <c r="S539" t="n">
        <v>0</v>
      </c>
      <c r="T539" t="n">
        <v>0</v>
      </c>
      <c r="U539" s="2" t="inlineStr"/>
    </row>
    <row r="540" ht="15" customHeight="1">
      <c r="A540" t="inlineStr">
        <is>
          <t>A 401-2026</t>
        </is>
      </c>
      <c r="B540" t="inlineStr">
        <is>
          <t>avverkningsanmälan</t>
        </is>
      </c>
      <c r="C540" t="inlineStr">
        <is>
          <t>Föryngringsavverkning</t>
        </is>
      </c>
      <c r="D540" s="1" t="n">
        <v>46028</v>
      </c>
      <c r="E540" s="1" t="n">
        <v>46220</v>
      </c>
      <c r="F540" t="inlineStr">
        <is>
          <t>UPPSALA LÄN</t>
        </is>
      </c>
      <c r="G540" t="inlineStr">
        <is>
          <t>TIERP</t>
        </is>
      </c>
      <c r="H540" t="inlineStr">
        <is>
          <t>Bergvik skog öst AB</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35105-2025</t>
        </is>
      </c>
      <c r="B541" t="inlineStr">
        <is>
          <t>avverkningsanmälan</t>
        </is>
      </c>
      <c r="C541" t="inlineStr">
        <is>
          <t>Föryngringsavverkning</t>
        </is>
      </c>
      <c r="D541" s="1" t="n">
        <v>45852</v>
      </c>
      <c r="E541" s="1" t="n">
        <v>46220</v>
      </c>
      <c r="F541" t="inlineStr">
        <is>
          <t>UPPSALA LÄN</t>
        </is>
      </c>
      <c r="G541" t="inlineStr">
        <is>
          <t>TIERP</t>
        </is>
      </c>
      <c r="H541" t="inlineStr">
        <is>
          <t>Bergvik skog väst AB</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5963-2023</t>
        </is>
      </c>
      <c r="B542" t="inlineStr">
        <is>
          <t>avverkningsanmälan</t>
        </is>
      </c>
      <c r="C542" t="inlineStr">
        <is>
          <t>Föryngringsavverkning</t>
        </is>
      </c>
      <c r="D542" s="1" t="n">
        <v>44964</v>
      </c>
      <c r="E542" s="1" t="n">
        <v>46220</v>
      </c>
      <c r="F542" t="inlineStr">
        <is>
          <t>UPPSALA LÄN</t>
        </is>
      </c>
      <c r="G542" t="inlineStr">
        <is>
          <t>TIERP</t>
        </is>
      </c>
      <c r="H542" t="inlineStr">
        <is>
          <t>Bergvik skog öst AB</t>
        </is>
      </c>
      <c r="I542" t="n">
        <v>4.1</v>
      </c>
      <c r="J542" t="n">
        <v>0</v>
      </c>
      <c r="K542" t="n">
        <v>0</v>
      </c>
      <c r="L542" t="n">
        <v>0</v>
      </c>
      <c r="M542" t="n">
        <v>0</v>
      </c>
      <c r="N542" t="n">
        <v>0</v>
      </c>
      <c r="O542" t="n">
        <v>0</v>
      </c>
      <c r="P542" t="n">
        <v>0</v>
      </c>
      <c r="Q542" t="n">
        <v>0</v>
      </c>
      <c r="R542" t="n">
        <v>0</v>
      </c>
      <c r="S542" t="n">
        <v>0</v>
      </c>
      <c r="T542" t="n">
        <v>0</v>
      </c>
      <c r="U542" s="2" t="inlineStr"/>
    </row>
    <row r="543" ht="15" customHeight="1">
      <c r="A543" t="inlineStr">
        <is>
          <t>A 28346-2022</t>
        </is>
      </c>
      <c r="B543" t="inlineStr">
        <is>
          <t>avverkningsanmälan</t>
        </is>
      </c>
      <c r="C543" t="inlineStr">
        <is>
          <t>Föryngringsavverkning</t>
        </is>
      </c>
      <c r="D543" s="1" t="n">
        <v>44747</v>
      </c>
      <c r="E543" s="1" t="n">
        <v>46220</v>
      </c>
      <c r="F543" t="inlineStr">
        <is>
          <t>UPPSALA LÄN</t>
        </is>
      </c>
      <c r="G543" t="inlineStr">
        <is>
          <t>TIERP</t>
        </is>
      </c>
      <c r="H543" t="inlineStr">
        <is>
          <t>Bergvik skog väst AB</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43605-2023</t>
        </is>
      </c>
      <c r="B544" t="inlineStr">
        <is>
          <t>avverkningsanmälan</t>
        </is>
      </c>
      <c r="C544" t="inlineStr">
        <is>
          <t>Föryngringsavverkning</t>
        </is>
      </c>
      <c r="D544" s="1" t="n">
        <v>45181</v>
      </c>
      <c r="E544" s="1" t="n">
        <v>46220</v>
      </c>
      <c r="F544" t="inlineStr">
        <is>
          <t>UPPSALA LÄN</t>
        </is>
      </c>
      <c r="G544" t="inlineStr">
        <is>
          <t>TIERP</t>
        </is>
      </c>
      <c r="I544" t="n">
        <v>2.5</v>
      </c>
      <c r="J544" t="n">
        <v>0</v>
      </c>
      <c r="K544" t="n">
        <v>0</v>
      </c>
      <c r="L544" t="n">
        <v>0</v>
      </c>
      <c r="M544" t="n">
        <v>0</v>
      </c>
      <c r="N544" t="n">
        <v>0</v>
      </c>
      <c r="O544" t="n">
        <v>0</v>
      </c>
      <c r="P544" t="n">
        <v>0</v>
      </c>
      <c r="Q544" t="n">
        <v>0</v>
      </c>
      <c r="R544" t="n">
        <v>0</v>
      </c>
      <c r="S544" t="n">
        <v>0</v>
      </c>
      <c r="T544" t="n">
        <v>0</v>
      </c>
      <c r="U544" s="2" t="inlineStr"/>
    </row>
    <row r="545" ht="15" customHeight="1">
      <c r="A545" t="inlineStr">
        <is>
          <t>A 25767-2026</t>
        </is>
      </c>
      <c r="B545" t="inlineStr">
        <is>
          <t>avverkningsanmälan</t>
        </is>
      </c>
      <c r="C545" t="inlineStr">
        <is>
          <t>Föryngringsavverkning</t>
        </is>
      </c>
      <c r="D545" s="1" t="n">
        <v>46178</v>
      </c>
      <c r="E545" s="1" t="n">
        <v>46220</v>
      </c>
      <c r="F545" t="inlineStr">
        <is>
          <t>UPPSALA LÄN</t>
        </is>
      </c>
      <c r="G545" t="inlineStr">
        <is>
          <t>TIERP</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60154-2022</t>
        </is>
      </c>
      <c r="B546" t="inlineStr">
        <is>
          <t>avverkningsanmälan</t>
        </is>
      </c>
      <c r="C546" t="inlineStr">
        <is>
          <t>Föryngringsavverkning</t>
        </is>
      </c>
      <c r="D546" s="1" t="n">
        <v>44909</v>
      </c>
      <c r="E546" s="1" t="n">
        <v>46220</v>
      </c>
      <c r="F546" t="inlineStr">
        <is>
          <t>UPPSALA LÄN</t>
        </is>
      </c>
      <c r="G546" t="inlineStr">
        <is>
          <t>TIERP</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10550-2024</t>
        </is>
      </c>
      <c r="B547" t="inlineStr">
        <is>
          <t>avverkningsanmälan</t>
        </is>
      </c>
      <c r="C547" t="inlineStr">
        <is>
          <t>Föryngringsavverkning</t>
        </is>
      </c>
      <c r="D547" s="1" t="n">
        <v>45366</v>
      </c>
      <c r="E547" s="1" t="n">
        <v>46220</v>
      </c>
      <c r="F547" t="inlineStr">
        <is>
          <t>UPPSALA LÄN</t>
        </is>
      </c>
      <c r="G547" t="inlineStr">
        <is>
          <t>TIERP</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52969-2023</t>
        </is>
      </c>
      <c r="B548" t="inlineStr">
        <is>
          <t>avverkningsanmälan</t>
        </is>
      </c>
      <c r="C548" t="inlineStr">
        <is>
          <t>Föryngringsavverkning</t>
        </is>
      </c>
      <c r="D548" s="1" t="n">
        <v>45226</v>
      </c>
      <c r="E548" s="1" t="n">
        <v>46220</v>
      </c>
      <c r="F548" t="inlineStr">
        <is>
          <t>UPPSALA LÄN</t>
        </is>
      </c>
      <c r="G548" t="inlineStr">
        <is>
          <t>TIERP</t>
        </is>
      </c>
      <c r="I548" t="n">
        <v>5.3</v>
      </c>
      <c r="J548" t="n">
        <v>0</v>
      </c>
      <c r="K548" t="n">
        <v>0</v>
      </c>
      <c r="L548" t="n">
        <v>0</v>
      </c>
      <c r="M548" t="n">
        <v>0</v>
      </c>
      <c r="N548" t="n">
        <v>0</v>
      </c>
      <c r="O548" t="n">
        <v>0</v>
      </c>
      <c r="P548" t="n">
        <v>0</v>
      </c>
      <c r="Q548" t="n">
        <v>0</v>
      </c>
      <c r="R548" t="n">
        <v>0</v>
      </c>
      <c r="S548" t="n">
        <v>0</v>
      </c>
      <c r="T548" t="n">
        <v>0</v>
      </c>
      <c r="U548" s="2" t="inlineStr"/>
    </row>
    <row r="549" ht="15" customHeight="1">
      <c r="A549" t="inlineStr">
        <is>
          <t>A 6075-2023</t>
        </is>
      </c>
      <c r="B549" t="inlineStr">
        <is>
          <t>avverkningsanmälan</t>
        </is>
      </c>
      <c r="C549" t="inlineStr">
        <is>
          <t>Föryngringsavverkning</t>
        </is>
      </c>
      <c r="D549" s="1" t="n">
        <v>44964</v>
      </c>
      <c r="E549" s="1" t="n">
        <v>46220</v>
      </c>
      <c r="F549" t="inlineStr">
        <is>
          <t>UPPSALA LÄN</t>
        </is>
      </c>
      <c r="G549" t="inlineStr">
        <is>
          <t>TIERP</t>
        </is>
      </c>
      <c r="H549" t="inlineStr">
        <is>
          <t>Bergvik skog öst AB</t>
        </is>
      </c>
      <c r="I549" t="n">
        <v>2.6</v>
      </c>
      <c r="J549" t="n">
        <v>0</v>
      </c>
      <c r="K549" t="n">
        <v>0</v>
      </c>
      <c r="L549" t="n">
        <v>0</v>
      </c>
      <c r="M549" t="n">
        <v>0</v>
      </c>
      <c r="N549" t="n">
        <v>0</v>
      </c>
      <c r="O549" t="n">
        <v>0</v>
      </c>
      <c r="P549" t="n">
        <v>0</v>
      </c>
      <c r="Q549" t="n">
        <v>0</v>
      </c>
      <c r="R549" t="n">
        <v>0</v>
      </c>
      <c r="S549" t="n">
        <v>0</v>
      </c>
      <c r="T549" t="n">
        <v>0</v>
      </c>
      <c r="U549" s="2" t="inlineStr"/>
    </row>
    <row r="550" ht="15" customHeight="1">
      <c r="A550" t="inlineStr">
        <is>
          <t>A 57142-2023</t>
        </is>
      </c>
      <c r="B550" t="inlineStr">
        <is>
          <t>avverkningsanmälan</t>
        </is>
      </c>
      <c r="C550" t="inlineStr">
        <is>
          <t>Föryngringsavverkning</t>
        </is>
      </c>
      <c r="D550" s="1" t="n">
        <v>45245</v>
      </c>
      <c r="E550" s="1" t="n">
        <v>46220</v>
      </c>
      <c r="F550" t="inlineStr">
        <is>
          <t>UPPSALA LÄN</t>
        </is>
      </c>
      <c r="G550" t="inlineStr">
        <is>
          <t>TIERP</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41389-2024</t>
        </is>
      </c>
      <c r="B551" t="inlineStr">
        <is>
          <t>avverkningsanmälan</t>
        </is>
      </c>
      <c r="C551" t="inlineStr">
        <is>
          <t>Föryngringsavverkning</t>
        </is>
      </c>
      <c r="D551" s="1" t="n">
        <v>45560</v>
      </c>
      <c r="E551" s="1" t="n">
        <v>46220</v>
      </c>
      <c r="F551" t="inlineStr">
        <is>
          <t>UPPSALA LÄN</t>
        </is>
      </c>
      <c r="G551" t="inlineStr">
        <is>
          <t>TIERP</t>
        </is>
      </c>
      <c r="H551" t="inlineStr">
        <is>
          <t>Bergvik skog öst AB</t>
        </is>
      </c>
      <c r="I551" t="n">
        <v>0.3</v>
      </c>
      <c r="J551" t="n">
        <v>0</v>
      </c>
      <c r="K551" t="n">
        <v>0</v>
      </c>
      <c r="L551" t="n">
        <v>0</v>
      </c>
      <c r="M551" t="n">
        <v>0</v>
      </c>
      <c r="N551" t="n">
        <v>0</v>
      </c>
      <c r="O551" t="n">
        <v>0</v>
      </c>
      <c r="P551" t="n">
        <v>0</v>
      </c>
      <c r="Q551" t="n">
        <v>0</v>
      </c>
      <c r="R551" t="n">
        <v>0</v>
      </c>
      <c r="S551" t="n">
        <v>0</v>
      </c>
      <c r="T551" t="n">
        <v>0</v>
      </c>
      <c r="U551" s="2" t="inlineStr"/>
    </row>
    <row r="552" ht="15" customHeight="1">
      <c r="A552" t="inlineStr">
        <is>
          <t>A 20787-2026</t>
        </is>
      </c>
      <c r="B552" t="inlineStr">
        <is>
          <t>avverkningsanmälan</t>
        </is>
      </c>
      <c r="C552" t="inlineStr">
        <is>
          <t>Föryngringsavverkning</t>
        </is>
      </c>
      <c r="D552" s="1" t="n">
        <v>46141</v>
      </c>
      <c r="E552" s="1" t="n">
        <v>46220</v>
      </c>
      <c r="F552" t="inlineStr">
        <is>
          <t>UPPSALA LÄN</t>
        </is>
      </c>
      <c r="G552" t="inlineStr">
        <is>
          <t>TIERP</t>
        </is>
      </c>
      <c r="H552" t="inlineStr">
        <is>
          <t>Bergvik skog väst AB</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34082-2023</t>
        </is>
      </c>
      <c r="B553" t="inlineStr">
        <is>
          <t>avverkningsanmälan</t>
        </is>
      </c>
      <c r="C553" t="inlineStr">
        <is>
          <t>Föryngringsavverkning</t>
        </is>
      </c>
      <c r="D553" s="1" t="n">
        <v>45135</v>
      </c>
      <c r="E553" s="1" t="n">
        <v>46220</v>
      </c>
      <c r="F553" t="inlineStr">
        <is>
          <t>UPPSALA LÄN</t>
        </is>
      </c>
      <c r="G553" t="inlineStr">
        <is>
          <t>TIERP</t>
        </is>
      </c>
      <c r="H553" t="inlineStr">
        <is>
          <t>Bergvik skog öst AB</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54737-2023</t>
        </is>
      </c>
      <c r="B554" t="inlineStr">
        <is>
          <t>avverkningsanmälan</t>
        </is>
      </c>
      <c r="C554" t="inlineStr">
        <is>
          <t>Föryngringsavverkning</t>
        </is>
      </c>
      <c r="D554" s="1" t="n">
        <v>45229</v>
      </c>
      <c r="E554" s="1" t="n">
        <v>46220</v>
      </c>
      <c r="F554" t="inlineStr">
        <is>
          <t>UPPSALA LÄN</t>
        </is>
      </c>
      <c r="G554" t="inlineStr">
        <is>
          <t>TIERP</t>
        </is>
      </c>
      <c r="H554" t="inlineStr">
        <is>
          <t>Bergvik skog väst AB</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8774-2023</t>
        </is>
      </c>
      <c r="B555" t="inlineStr">
        <is>
          <t>avverkningsanmälan</t>
        </is>
      </c>
      <c r="C555" t="inlineStr">
        <is>
          <t>Föryngringsavverkning</t>
        </is>
      </c>
      <c r="D555" s="1" t="n">
        <v>44978</v>
      </c>
      <c r="E555" s="1" t="n">
        <v>46220</v>
      </c>
      <c r="F555" t="inlineStr">
        <is>
          <t>UPPSALA LÄN</t>
        </is>
      </c>
      <c r="G555" t="inlineStr">
        <is>
          <t>TIERP</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534-2026</t>
        </is>
      </c>
      <c r="B556" t="inlineStr">
        <is>
          <t>avverkningsanmälan</t>
        </is>
      </c>
      <c r="C556" t="inlineStr">
        <is>
          <t>Föryngringsavverkning</t>
        </is>
      </c>
      <c r="D556" s="1" t="n">
        <v>46029</v>
      </c>
      <c r="E556" s="1" t="n">
        <v>46220</v>
      </c>
      <c r="F556" t="inlineStr">
        <is>
          <t>UPPSALA LÄN</t>
        </is>
      </c>
      <c r="G556" t="inlineStr">
        <is>
          <t>TIERP</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26506-2026</t>
        </is>
      </c>
      <c r="B557" t="inlineStr">
        <is>
          <t>avverkningsanmälan</t>
        </is>
      </c>
      <c r="C557" t="inlineStr">
        <is>
          <t>Föryngringsavverkning</t>
        </is>
      </c>
      <c r="D557" s="1" t="n">
        <v>46183</v>
      </c>
      <c r="E557" s="1" t="n">
        <v>46220</v>
      </c>
      <c r="F557" t="inlineStr">
        <is>
          <t>UPPSALA LÄN</t>
        </is>
      </c>
      <c r="G557" t="inlineStr">
        <is>
          <t>TIERP</t>
        </is>
      </c>
      <c r="H557" t="inlineStr">
        <is>
          <t>Bergvik skog öst AB</t>
        </is>
      </c>
      <c r="I557" t="n">
        <v>7.5</v>
      </c>
      <c r="J557" t="n">
        <v>0</v>
      </c>
      <c r="K557" t="n">
        <v>0</v>
      </c>
      <c r="L557" t="n">
        <v>0</v>
      </c>
      <c r="M557" t="n">
        <v>0</v>
      </c>
      <c r="N557" t="n">
        <v>0</v>
      </c>
      <c r="O557" t="n">
        <v>0</v>
      </c>
      <c r="P557" t="n">
        <v>0</v>
      </c>
      <c r="Q557" t="n">
        <v>0</v>
      </c>
      <c r="R557" t="n">
        <v>0</v>
      </c>
      <c r="S557" t="n">
        <v>0</v>
      </c>
      <c r="T557" t="n">
        <v>0</v>
      </c>
      <c r="U557" s="2" t="inlineStr"/>
    </row>
    <row r="558" ht="15" customHeight="1">
      <c r="A558" t="inlineStr">
        <is>
          <t>A 44505-2023</t>
        </is>
      </c>
      <c r="B558" t="inlineStr">
        <is>
          <t>avverkningsanmälan</t>
        </is>
      </c>
      <c r="C558" t="inlineStr">
        <is>
          <t>Föryngringsavverkning</t>
        </is>
      </c>
      <c r="D558" s="1" t="n">
        <v>45184</v>
      </c>
      <c r="E558" s="1" t="n">
        <v>46220</v>
      </c>
      <c r="F558" t="inlineStr">
        <is>
          <t>UPPSALA LÄN</t>
        </is>
      </c>
      <c r="G558" t="inlineStr">
        <is>
          <t>TIERP</t>
        </is>
      </c>
      <c r="I558" t="n">
        <v>1.9</v>
      </c>
      <c r="J558" t="n">
        <v>0</v>
      </c>
      <c r="K558" t="n">
        <v>0</v>
      </c>
      <c r="L558" t="n">
        <v>0</v>
      </c>
      <c r="M558" t="n">
        <v>0</v>
      </c>
      <c r="N558" t="n">
        <v>0</v>
      </c>
      <c r="O558" t="n">
        <v>0</v>
      </c>
      <c r="P558" t="n">
        <v>0</v>
      </c>
      <c r="Q558" t="n">
        <v>0</v>
      </c>
      <c r="R558" t="n">
        <v>0</v>
      </c>
      <c r="S558" t="n">
        <v>0</v>
      </c>
      <c r="T558" t="n">
        <v>0</v>
      </c>
      <c r="U558" s="2" t="inlineStr"/>
    </row>
    <row r="559" ht="15" customHeight="1">
      <c r="A559" t="inlineStr">
        <is>
          <t>A 26966-2026</t>
        </is>
      </c>
      <c r="B559" t="inlineStr">
        <is>
          <t>avverkningsanmälan</t>
        </is>
      </c>
      <c r="C559" t="inlineStr">
        <is>
          <t>Föryngringsavverkning</t>
        </is>
      </c>
      <c r="D559" s="1" t="n">
        <v>46185</v>
      </c>
      <c r="E559" s="1" t="n">
        <v>46220</v>
      </c>
      <c r="F559" t="inlineStr">
        <is>
          <t>UPPSALA LÄN</t>
        </is>
      </c>
      <c r="G559" t="inlineStr">
        <is>
          <t>TIERP</t>
        </is>
      </c>
      <c r="I559" t="n">
        <v>14.2</v>
      </c>
      <c r="J559" t="n">
        <v>0</v>
      </c>
      <c r="K559" t="n">
        <v>0</v>
      </c>
      <c r="L559" t="n">
        <v>0</v>
      </c>
      <c r="M559" t="n">
        <v>0</v>
      </c>
      <c r="N559" t="n">
        <v>0</v>
      </c>
      <c r="O559" t="n">
        <v>0</v>
      </c>
      <c r="P559" t="n">
        <v>0</v>
      </c>
      <c r="Q559" t="n">
        <v>0</v>
      </c>
      <c r="R559" t="n">
        <v>0</v>
      </c>
      <c r="S559" t="n">
        <v>0</v>
      </c>
      <c r="T559" t="n">
        <v>0</v>
      </c>
      <c r="U559" s="2" t="inlineStr"/>
    </row>
    <row r="560" ht="15" customHeight="1">
      <c r="A560" t="inlineStr">
        <is>
          <t>A 18110-2025</t>
        </is>
      </c>
      <c r="B560" t="inlineStr">
        <is>
          <t>avverkningsanmälan</t>
        </is>
      </c>
      <c r="C560" t="inlineStr">
        <is>
          <t>Föryngringsavverkning</t>
        </is>
      </c>
      <c r="D560" s="1" t="n">
        <v>45761</v>
      </c>
      <c r="E560" s="1" t="n">
        <v>46220</v>
      </c>
      <c r="F560" t="inlineStr">
        <is>
          <t>UPPSALA LÄN</t>
        </is>
      </c>
      <c r="G560" t="inlineStr">
        <is>
          <t>TIERP</t>
        </is>
      </c>
      <c r="H560" t="inlineStr">
        <is>
          <t>Bergvik skog väst AB</t>
        </is>
      </c>
      <c r="I560" t="n">
        <v>4</v>
      </c>
      <c r="J560" t="n">
        <v>0</v>
      </c>
      <c r="K560" t="n">
        <v>0</v>
      </c>
      <c r="L560" t="n">
        <v>0</v>
      </c>
      <c r="M560" t="n">
        <v>0</v>
      </c>
      <c r="N560" t="n">
        <v>0</v>
      </c>
      <c r="O560" t="n">
        <v>0</v>
      </c>
      <c r="P560" t="n">
        <v>0</v>
      </c>
      <c r="Q560" t="n">
        <v>0</v>
      </c>
      <c r="R560" t="n">
        <v>0</v>
      </c>
      <c r="S560" t="n">
        <v>0</v>
      </c>
      <c r="T560" t="n">
        <v>0</v>
      </c>
      <c r="U560" s="2" t="inlineStr"/>
    </row>
    <row r="561" ht="15" customHeight="1">
      <c r="A561" t="inlineStr">
        <is>
          <t>A 20750-2023</t>
        </is>
      </c>
      <c r="B561" t="inlineStr">
        <is>
          <t>avverkningsanmälan</t>
        </is>
      </c>
      <c r="C561" t="inlineStr">
        <is>
          <t>Föryngringsavverkning</t>
        </is>
      </c>
      <c r="D561" s="1" t="n">
        <v>45058</v>
      </c>
      <c r="E561" s="1" t="n">
        <v>46220</v>
      </c>
      <c r="F561" t="inlineStr">
        <is>
          <t>UPPSALA LÄN</t>
        </is>
      </c>
      <c r="G561" t="inlineStr">
        <is>
          <t>TIERP</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48970-2021</t>
        </is>
      </c>
      <c r="B562" t="inlineStr">
        <is>
          <t>avverkningsanmälan</t>
        </is>
      </c>
      <c r="C562" t="inlineStr">
        <is>
          <t>Föryngringsavverkning</t>
        </is>
      </c>
      <c r="D562" s="1" t="n">
        <v>44453</v>
      </c>
      <c r="E562" s="1" t="n">
        <v>46220</v>
      </c>
      <c r="F562" t="inlineStr">
        <is>
          <t>UPPSALA LÄN</t>
        </is>
      </c>
      <c r="G562" t="inlineStr">
        <is>
          <t>TIERP</t>
        </is>
      </c>
      <c r="I562" t="n">
        <v>4.5</v>
      </c>
      <c r="J562" t="n">
        <v>0</v>
      </c>
      <c r="K562" t="n">
        <v>0</v>
      </c>
      <c r="L562" t="n">
        <v>0</v>
      </c>
      <c r="M562" t="n">
        <v>0</v>
      </c>
      <c r="N562" t="n">
        <v>0</v>
      </c>
      <c r="O562" t="n">
        <v>0</v>
      </c>
      <c r="P562" t="n">
        <v>0</v>
      </c>
      <c r="Q562" t="n">
        <v>0</v>
      </c>
      <c r="R562" t="n">
        <v>0</v>
      </c>
      <c r="S562" t="n">
        <v>0</v>
      </c>
      <c r="T562" t="n">
        <v>0</v>
      </c>
      <c r="U562" s="2" t="inlineStr"/>
    </row>
    <row r="563" ht="15" customHeight="1">
      <c r="A563" t="inlineStr">
        <is>
          <t>A 4409-2023</t>
        </is>
      </c>
      <c r="B563" t="inlineStr">
        <is>
          <t>avverkningsanmälan</t>
        </is>
      </c>
      <c r="C563" t="inlineStr">
        <is>
          <t>Föryngringsavverkning</t>
        </is>
      </c>
      <c r="D563" s="1" t="n">
        <v>44956</v>
      </c>
      <c r="E563" s="1" t="n">
        <v>46220</v>
      </c>
      <c r="F563" t="inlineStr">
        <is>
          <t>UPPSALA LÄN</t>
        </is>
      </c>
      <c r="G563" t="inlineStr">
        <is>
          <t>TIERP</t>
        </is>
      </c>
      <c r="H563" t="inlineStr">
        <is>
          <t>Bergvik skog öst AB</t>
        </is>
      </c>
      <c r="I563" t="n">
        <v>3.7</v>
      </c>
      <c r="J563" t="n">
        <v>0</v>
      </c>
      <c r="K563" t="n">
        <v>0</v>
      </c>
      <c r="L563" t="n">
        <v>0</v>
      </c>
      <c r="M563" t="n">
        <v>0</v>
      </c>
      <c r="N563" t="n">
        <v>0</v>
      </c>
      <c r="O563" t="n">
        <v>0</v>
      </c>
      <c r="P563" t="n">
        <v>0</v>
      </c>
      <c r="Q563" t="n">
        <v>0</v>
      </c>
      <c r="R563" t="n">
        <v>0</v>
      </c>
      <c r="S563" t="n">
        <v>0</v>
      </c>
      <c r="T563" t="n">
        <v>0</v>
      </c>
      <c r="U563" s="2" t="inlineStr"/>
    </row>
    <row r="564" ht="15" customHeight="1">
      <c r="A564" t="inlineStr">
        <is>
          <t>A 59658-2024</t>
        </is>
      </c>
      <c r="B564" t="inlineStr">
        <is>
          <t>avverkningsanmälan</t>
        </is>
      </c>
      <c r="C564" t="inlineStr">
        <is>
          <t>Föryngringsavverkning</t>
        </is>
      </c>
      <c r="D564" s="1" t="n">
        <v>45639</v>
      </c>
      <c r="E564" s="1" t="n">
        <v>46220</v>
      </c>
      <c r="F564" t="inlineStr">
        <is>
          <t>UPPSALA LÄN</t>
        </is>
      </c>
      <c r="G564" t="inlineStr">
        <is>
          <t>TIERP</t>
        </is>
      </c>
      <c r="I564" t="n">
        <v>4.9</v>
      </c>
      <c r="J564" t="n">
        <v>0</v>
      </c>
      <c r="K564" t="n">
        <v>0</v>
      </c>
      <c r="L564" t="n">
        <v>0</v>
      </c>
      <c r="M564" t="n">
        <v>0</v>
      </c>
      <c r="N564" t="n">
        <v>0</v>
      </c>
      <c r="O564" t="n">
        <v>0</v>
      </c>
      <c r="P564" t="n">
        <v>0</v>
      </c>
      <c r="Q564" t="n">
        <v>0</v>
      </c>
      <c r="R564" t="n">
        <v>0</v>
      </c>
      <c r="S564" t="n">
        <v>0</v>
      </c>
      <c r="T564" t="n">
        <v>0</v>
      </c>
      <c r="U564" s="2" t="inlineStr"/>
    </row>
    <row r="565" ht="15" customHeight="1">
      <c r="A565" t="inlineStr">
        <is>
          <t>A 59731-2022</t>
        </is>
      </c>
      <c r="B565" t="inlineStr">
        <is>
          <t>avverkningsanmälan</t>
        </is>
      </c>
      <c r="C565" t="inlineStr">
        <is>
          <t>Avverkning för annat ändamål</t>
        </is>
      </c>
      <c r="D565" s="1" t="n">
        <v>44908</v>
      </c>
      <c r="E565" s="1" t="n">
        <v>46220</v>
      </c>
      <c r="F565" t="inlineStr">
        <is>
          <t>UPPSALA LÄN</t>
        </is>
      </c>
      <c r="G565" t="inlineStr">
        <is>
          <t>TIERP</t>
        </is>
      </c>
      <c r="H565" t="inlineStr">
        <is>
          <t>Kyrkan</t>
        </is>
      </c>
      <c r="I565" t="n">
        <v>0.4</v>
      </c>
      <c r="J565" t="n">
        <v>0</v>
      </c>
      <c r="K565" t="n">
        <v>0</v>
      </c>
      <c r="L565" t="n">
        <v>0</v>
      </c>
      <c r="M565" t="n">
        <v>0</v>
      </c>
      <c r="N565" t="n">
        <v>0</v>
      </c>
      <c r="O565" t="n">
        <v>0</v>
      </c>
      <c r="P565" t="n">
        <v>0</v>
      </c>
      <c r="Q565" t="n">
        <v>0</v>
      </c>
      <c r="R565" t="n">
        <v>0</v>
      </c>
      <c r="S565" t="n">
        <v>0</v>
      </c>
      <c r="T565" t="n">
        <v>0</v>
      </c>
      <c r="U565" s="2" t="inlineStr"/>
    </row>
    <row r="566" ht="15" customHeight="1">
      <c r="A566" t="inlineStr">
        <is>
          <t>A 7370-2023</t>
        </is>
      </c>
      <c r="B566" t="inlineStr">
        <is>
          <t>avverkningsanmälan</t>
        </is>
      </c>
      <c r="C566" t="inlineStr">
        <is>
          <t>Föryngringsavverkning</t>
        </is>
      </c>
      <c r="D566" s="1" t="n">
        <v>44971</v>
      </c>
      <c r="E566" s="1" t="n">
        <v>46220</v>
      </c>
      <c r="F566" t="inlineStr">
        <is>
          <t>UPPSALA LÄN</t>
        </is>
      </c>
      <c r="G566" t="inlineStr">
        <is>
          <t>TIERP</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27331-2026</t>
        </is>
      </c>
      <c r="B567" t="inlineStr">
        <is>
          <t>avverkningsanmälan</t>
        </is>
      </c>
      <c r="C567" t="inlineStr">
        <is>
          <t>Föryngringsavverkning</t>
        </is>
      </c>
      <c r="D567" s="1" t="n">
        <v>46188</v>
      </c>
      <c r="E567" s="1" t="n">
        <v>46220</v>
      </c>
      <c r="F567" t="inlineStr">
        <is>
          <t>UPPSALA LÄN</t>
        </is>
      </c>
      <c r="G567" t="inlineStr">
        <is>
          <t>TIERP</t>
        </is>
      </c>
      <c r="H567" t="inlineStr">
        <is>
          <t>Bergvik skog väst AB</t>
        </is>
      </c>
      <c r="I567" t="n">
        <v>5.5</v>
      </c>
      <c r="J567" t="n">
        <v>0</v>
      </c>
      <c r="K567" t="n">
        <v>0</v>
      </c>
      <c r="L567" t="n">
        <v>0</v>
      </c>
      <c r="M567" t="n">
        <v>0</v>
      </c>
      <c r="N567" t="n">
        <v>0</v>
      </c>
      <c r="O567" t="n">
        <v>0</v>
      </c>
      <c r="P567" t="n">
        <v>0</v>
      </c>
      <c r="Q567" t="n">
        <v>0</v>
      </c>
      <c r="R567" t="n">
        <v>0</v>
      </c>
      <c r="S567" t="n">
        <v>0</v>
      </c>
      <c r="T567" t="n">
        <v>0</v>
      </c>
      <c r="U567" s="2" t="inlineStr"/>
    </row>
    <row r="568" ht="15" customHeight="1">
      <c r="A568" t="inlineStr">
        <is>
          <t>A 26771-2024</t>
        </is>
      </c>
      <c r="B568" t="inlineStr">
        <is>
          <t>avverkningsanmälan</t>
        </is>
      </c>
      <c r="C568" t="inlineStr">
        <is>
          <t>Föryngringsavverkning</t>
        </is>
      </c>
      <c r="D568" s="1" t="n">
        <v>45470</v>
      </c>
      <c r="E568" s="1" t="n">
        <v>46220</v>
      </c>
      <c r="F568" t="inlineStr">
        <is>
          <t>UPPSALA LÄN</t>
        </is>
      </c>
      <c r="G568" t="inlineStr">
        <is>
          <t>TIERP</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21439-2026</t>
        </is>
      </c>
      <c r="B569" t="inlineStr">
        <is>
          <t>avverkningsanmälan</t>
        </is>
      </c>
      <c r="C569" t="inlineStr">
        <is>
          <t>Föryngringsavverkning</t>
        </is>
      </c>
      <c r="D569" s="1" t="n">
        <v>46146</v>
      </c>
      <c r="E569" s="1" t="n">
        <v>46220</v>
      </c>
      <c r="F569" t="inlineStr">
        <is>
          <t>UPPSALA LÄN</t>
        </is>
      </c>
      <c r="G569" t="inlineStr">
        <is>
          <t>TIERP</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5918-2022</t>
        </is>
      </c>
      <c r="B570" t="inlineStr">
        <is>
          <t>avverkningsanmälan</t>
        </is>
      </c>
      <c r="C570" t="inlineStr">
        <is>
          <t>Föryngringsavverkning</t>
        </is>
      </c>
      <c r="D570" s="1" t="n">
        <v>44597</v>
      </c>
      <c r="E570" s="1" t="n">
        <v>46220</v>
      </c>
      <c r="F570" t="inlineStr">
        <is>
          <t>UPPSALA LÄN</t>
        </is>
      </c>
      <c r="G570" t="inlineStr">
        <is>
          <t>TIERP</t>
        </is>
      </c>
      <c r="I570" t="n">
        <v>4.7</v>
      </c>
      <c r="J570" t="n">
        <v>0</v>
      </c>
      <c r="K570" t="n">
        <v>0</v>
      </c>
      <c r="L570" t="n">
        <v>0</v>
      </c>
      <c r="M570" t="n">
        <v>0</v>
      </c>
      <c r="N570" t="n">
        <v>0</v>
      </c>
      <c r="O570" t="n">
        <v>0</v>
      </c>
      <c r="P570" t="n">
        <v>0</v>
      </c>
      <c r="Q570" t="n">
        <v>0</v>
      </c>
      <c r="R570" t="n">
        <v>0</v>
      </c>
      <c r="S570" t="n">
        <v>0</v>
      </c>
      <c r="T570" t="n">
        <v>0</v>
      </c>
      <c r="U570" s="2" t="inlineStr"/>
    </row>
    <row r="571" ht="15" customHeight="1">
      <c r="A571" t="inlineStr">
        <is>
          <t>A 45848-2024</t>
        </is>
      </c>
      <c r="B571" t="inlineStr">
        <is>
          <t>avverkningsanmälan</t>
        </is>
      </c>
      <c r="C571" t="inlineStr">
        <is>
          <t>Föryngringsavverkning</t>
        </is>
      </c>
      <c r="D571" s="1" t="n">
        <v>45580</v>
      </c>
      <c r="E571" s="1" t="n">
        <v>46220</v>
      </c>
      <c r="F571" t="inlineStr">
        <is>
          <t>UPPSALA LÄN</t>
        </is>
      </c>
      <c r="G571" t="inlineStr">
        <is>
          <t>TIERP</t>
        </is>
      </c>
      <c r="I571" t="n">
        <v>6.4</v>
      </c>
      <c r="J571" t="n">
        <v>0</v>
      </c>
      <c r="K571" t="n">
        <v>0</v>
      </c>
      <c r="L571" t="n">
        <v>0</v>
      </c>
      <c r="M571" t="n">
        <v>0</v>
      </c>
      <c r="N571" t="n">
        <v>0</v>
      </c>
      <c r="O571" t="n">
        <v>0</v>
      </c>
      <c r="P571" t="n">
        <v>0</v>
      </c>
      <c r="Q571" t="n">
        <v>0</v>
      </c>
      <c r="R571" t="n">
        <v>0</v>
      </c>
      <c r="S571" t="n">
        <v>0</v>
      </c>
      <c r="T571" t="n">
        <v>0</v>
      </c>
      <c r="U571" s="2" t="inlineStr"/>
    </row>
    <row r="572" ht="15" customHeight="1">
      <c r="A572" t="inlineStr">
        <is>
          <t>A 52388-2022</t>
        </is>
      </c>
      <c r="B572" t="inlineStr">
        <is>
          <t>avverkningsanmälan</t>
        </is>
      </c>
      <c r="C572" t="inlineStr">
        <is>
          <t>Föryngringsavverkning</t>
        </is>
      </c>
      <c r="D572" s="1" t="n">
        <v>44874</v>
      </c>
      <c r="E572" s="1" t="n">
        <v>46220</v>
      </c>
      <c r="F572" t="inlineStr">
        <is>
          <t>UPPSALA LÄN</t>
        </is>
      </c>
      <c r="G572" t="inlineStr">
        <is>
          <t>TIERP</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21275-2026</t>
        </is>
      </c>
      <c r="B573" t="inlineStr">
        <is>
          <t>avverkningsanmälan</t>
        </is>
      </c>
      <c r="C573" t="inlineStr">
        <is>
          <t>Föryngringsavverkning</t>
        </is>
      </c>
      <c r="D573" s="1" t="n">
        <v>46147</v>
      </c>
      <c r="E573" s="1" t="n">
        <v>46220</v>
      </c>
      <c r="F573" t="inlineStr">
        <is>
          <t>UPPSALA LÄN</t>
        </is>
      </c>
      <c r="G573" t="inlineStr">
        <is>
          <t>TIERP</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20911-2022</t>
        </is>
      </c>
      <c r="B574" t="inlineStr">
        <is>
          <t>avverkningsanmälan</t>
        </is>
      </c>
      <c r="C574" t="inlineStr">
        <is>
          <t>Föryngringsavverkning</t>
        </is>
      </c>
      <c r="D574" s="1" t="n">
        <v>44701</v>
      </c>
      <c r="E574" s="1" t="n">
        <v>46220</v>
      </c>
      <c r="F574" t="inlineStr">
        <is>
          <t>UPPSALA LÄN</t>
        </is>
      </c>
      <c r="G574" t="inlineStr">
        <is>
          <t>TIERP</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27266-2026</t>
        </is>
      </c>
      <c r="B575" t="inlineStr">
        <is>
          <t>avverkningsanmälan</t>
        </is>
      </c>
      <c r="C575" t="inlineStr">
        <is>
          <t>Föryngringsavverkning</t>
        </is>
      </c>
      <c r="D575" s="1" t="n">
        <v>46188</v>
      </c>
      <c r="E575" s="1" t="n">
        <v>46220</v>
      </c>
      <c r="F575" t="inlineStr">
        <is>
          <t>UPPSALA LÄN</t>
        </is>
      </c>
      <c r="G575" t="inlineStr">
        <is>
          <t>TIERP</t>
        </is>
      </c>
      <c r="H575" t="inlineStr">
        <is>
          <t>Bergvik skog öst AB</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21487-2026</t>
        </is>
      </c>
      <c r="B576" t="inlineStr">
        <is>
          <t>avverkningsanmälan</t>
        </is>
      </c>
      <c r="C576" t="inlineStr">
        <is>
          <t>Föryngringsavverkning</t>
        </is>
      </c>
      <c r="D576" s="1" t="n">
        <v>46148</v>
      </c>
      <c r="E576" s="1" t="n">
        <v>46220</v>
      </c>
      <c r="F576" t="inlineStr">
        <is>
          <t>UPPSALA LÄN</t>
        </is>
      </c>
      <c r="G576" t="inlineStr">
        <is>
          <t>TIERP</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27776-2026</t>
        </is>
      </c>
      <c r="B577" t="inlineStr">
        <is>
          <t>avverkningsanmälan</t>
        </is>
      </c>
      <c r="C577" t="inlineStr">
        <is>
          <t>Föryngringsavverkning</t>
        </is>
      </c>
      <c r="D577" s="1" t="n">
        <v>46191</v>
      </c>
      <c r="E577" s="1" t="n">
        <v>46220</v>
      </c>
      <c r="F577" t="inlineStr">
        <is>
          <t>UPPSALA LÄN</t>
        </is>
      </c>
      <c r="G577" t="inlineStr">
        <is>
          <t>TIERP</t>
        </is>
      </c>
      <c r="H577" t="inlineStr">
        <is>
          <t>Bergvik skog öst AB</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27790-2026</t>
        </is>
      </c>
      <c r="B578" t="inlineStr">
        <is>
          <t>avverkningsanmälan</t>
        </is>
      </c>
      <c r="C578" t="inlineStr">
        <is>
          <t>Föryngringsavverkning</t>
        </is>
      </c>
      <c r="D578" s="1" t="n">
        <v>46191</v>
      </c>
      <c r="E578" s="1" t="n">
        <v>46220</v>
      </c>
      <c r="F578" t="inlineStr">
        <is>
          <t>UPPSALA LÄN</t>
        </is>
      </c>
      <c r="G578" t="inlineStr">
        <is>
          <t>TIERP</t>
        </is>
      </c>
      <c r="H578" t="inlineStr">
        <is>
          <t>Bergvik skog öst AB</t>
        </is>
      </c>
      <c r="I578" t="n">
        <v>0.8</v>
      </c>
      <c r="J578" t="n">
        <v>0</v>
      </c>
      <c r="K578" t="n">
        <v>0</v>
      </c>
      <c r="L578" t="n">
        <v>0</v>
      </c>
      <c r="M578" t="n">
        <v>0</v>
      </c>
      <c r="N578" t="n">
        <v>0</v>
      </c>
      <c r="O578" t="n">
        <v>0</v>
      </c>
      <c r="P578" t="n">
        <v>0</v>
      </c>
      <c r="Q578" t="n">
        <v>0</v>
      </c>
      <c r="R578" t="n">
        <v>0</v>
      </c>
      <c r="S578" t="n">
        <v>0</v>
      </c>
      <c r="T578" t="n">
        <v>0</v>
      </c>
      <c r="U578" s="2" t="inlineStr"/>
    </row>
    <row r="579" ht="15" customHeight="1">
      <c r="A579" t="inlineStr">
        <is>
          <t>A 21495-2026</t>
        </is>
      </c>
      <c r="B579" t="inlineStr">
        <is>
          <t>avverkningsanmälan</t>
        </is>
      </c>
      <c r="C579" t="inlineStr">
        <is>
          <t>Föryngringsavverkning</t>
        </is>
      </c>
      <c r="D579" s="1" t="n">
        <v>46148</v>
      </c>
      <c r="E579" s="1" t="n">
        <v>46220</v>
      </c>
      <c r="F579" t="inlineStr">
        <is>
          <t>UPPSALA LÄN</t>
        </is>
      </c>
      <c r="G579" t="inlineStr">
        <is>
          <t>TIERP</t>
        </is>
      </c>
      <c r="I579" t="n">
        <v>4.6</v>
      </c>
      <c r="J579" t="n">
        <v>0</v>
      </c>
      <c r="K579" t="n">
        <v>0</v>
      </c>
      <c r="L579" t="n">
        <v>0</v>
      </c>
      <c r="M579" t="n">
        <v>0</v>
      </c>
      <c r="N579" t="n">
        <v>0</v>
      </c>
      <c r="O579" t="n">
        <v>0</v>
      </c>
      <c r="P579" t="n">
        <v>0</v>
      </c>
      <c r="Q579" t="n">
        <v>0</v>
      </c>
      <c r="R579" t="n">
        <v>0</v>
      </c>
      <c r="S579" t="n">
        <v>0</v>
      </c>
      <c r="T579" t="n">
        <v>0</v>
      </c>
      <c r="U579" s="2" t="inlineStr"/>
    </row>
    <row r="580" ht="15" customHeight="1">
      <c r="A580" t="inlineStr">
        <is>
          <t>A 21538-2026</t>
        </is>
      </c>
      <c r="B580" t="inlineStr">
        <is>
          <t>avverkningsanmälan</t>
        </is>
      </c>
      <c r="C580" t="inlineStr">
        <is>
          <t>Föryngringsavverkning</t>
        </is>
      </c>
      <c r="D580" s="1" t="n">
        <v>46148</v>
      </c>
      <c r="E580" s="1" t="n">
        <v>46220</v>
      </c>
      <c r="F580" t="inlineStr">
        <is>
          <t>UPPSALA LÄN</t>
        </is>
      </c>
      <c r="G580" t="inlineStr">
        <is>
          <t>TIERP</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21469-2026</t>
        </is>
      </c>
      <c r="B581" t="inlineStr">
        <is>
          <t>avverkningsanmälan</t>
        </is>
      </c>
      <c r="C581" t="inlineStr">
        <is>
          <t>Föryngringsavverkning</t>
        </is>
      </c>
      <c r="D581" s="1" t="n">
        <v>46148</v>
      </c>
      <c r="E581" s="1" t="n">
        <v>46220</v>
      </c>
      <c r="F581" t="inlineStr">
        <is>
          <t>UPPSALA LÄN</t>
        </is>
      </c>
      <c r="G581" t="inlineStr">
        <is>
          <t>TIERP</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21457-2026</t>
        </is>
      </c>
      <c r="B582" t="inlineStr">
        <is>
          <t>avverkningsanmälan</t>
        </is>
      </c>
      <c r="C582" t="inlineStr">
        <is>
          <t>Föryngringsavverkning</t>
        </is>
      </c>
      <c r="D582" s="1" t="n">
        <v>46148</v>
      </c>
      <c r="E582" s="1" t="n">
        <v>46220</v>
      </c>
      <c r="F582" t="inlineStr">
        <is>
          <t>UPPSALA LÄN</t>
        </is>
      </c>
      <c r="G582" t="inlineStr">
        <is>
          <t>TIERP</t>
        </is>
      </c>
      <c r="I582" t="n">
        <v>2.6</v>
      </c>
      <c r="J582" t="n">
        <v>0</v>
      </c>
      <c r="K582" t="n">
        <v>0</v>
      </c>
      <c r="L582" t="n">
        <v>0</v>
      </c>
      <c r="M582" t="n">
        <v>0</v>
      </c>
      <c r="N582" t="n">
        <v>0</v>
      </c>
      <c r="O582" t="n">
        <v>0</v>
      </c>
      <c r="P582" t="n">
        <v>0</v>
      </c>
      <c r="Q582" t="n">
        <v>0</v>
      </c>
      <c r="R582" t="n">
        <v>0</v>
      </c>
      <c r="S582" t="n">
        <v>0</v>
      </c>
      <c r="T582" t="n">
        <v>0</v>
      </c>
      <c r="U582" s="2" t="inlineStr"/>
    </row>
    <row r="583" ht="15" customHeight="1">
      <c r="A583" t="inlineStr">
        <is>
          <t>A 21533-2026</t>
        </is>
      </c>
      <c r="B583" t="inlineStr">
        <is>
          <t>avverkningsanmälan</t>
        </is>
      </c>
      <c r="C583" t="inlineStr">
        <is>
          <t>Föryngringsavverkning</t>
        </is>
      </c>
      <c r="D583" s="1" t="n">
        <v>46148</v>
      </c>
      <c r="E583" s="1" t="n">
        <v>46220</v>
      </c>
      <c r="F583" t="inlineStr">
        <is>
          <t>UPPSALA LÄN</t>
        </is>
      </c>
      <c r="G583" t="inlineStr">
        <is>
          <t>TIERP</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27567-2026</t>
        </is>
      </c>
      <c r="B584" t="inlineStr">
        <is>
          <t>avverkningsanmälan</t>
        </is>
      </c>
      <c r="C584" t="inlineStr">
        <is>
          <t>Föryngringsavverkning</t>
        </is>
      </c>
      <c r="D584" s="1" t="n">
        <v>46190</v>
      </c>
      <c r="E584" s="1" t="n">
        <v>46220</v>
      </c>
      <c r="F584" t="inlineStr">
        <is>
          <t>UPPSALA LÄN</t>
        </is>
      </c>
      <c r="G584" t="inlineStr">
        <is>
          <t>TIERP</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27574-2026</t>
        </is>
      </c>
      <c r="B585" t="inlineStr">
        <is>
          <t>avverkningsanmälan</t>
        </is>
      </c>
      <c r="C585" t="inlineStr">
        <is>
          <t>Föryngringsavverkning</t>
        </is>
      </c>
      <c r="D585" s="1" t="n">
        <v>46190</v>
      </c>
      <c r="E585" s="1" t="n">
        <v>46220</v>
      </c>
      <c r="F585" t="inlineStr">
        <is>
          <t>UPPSALA LÄN</t>
        </is>
      </c>
      <c r="G585" t="inlineStr">
        <is>
          <t>TIERP</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27558-2026</t>
        </is>
      </c>
      <c r="B586" t="inlineStr">
        <is>
          <t>avverkningsanmälan</t>
        </is>
      </c>
      <c r="C586" t="inlineStr">
        <is>
          <t>Föryngringsavverkning</t>
        </is>
      </c>
      <c r="D586" s="1" t="n">
        <v>46190</v>
      </c>
      <c r="E586" s="1" t="n">
        <v>46220</v>
      </c>
      <c r="F586" t="inlineStr">
        <is>
          <t>UPPSALA LÄN</t>
        </is>
      </c>
      <c r="G586" t="inlineStr">
        <is>
          <t>TIERP</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21452-2026</t>
        </is>
      </c>
      <c r="B587" t="inlineStr">
        <is>
          <t>avverkningsanmälan</t>
        </is>
      </c>
      <c r="C587" t="inlineStr">
        <is>
          <t>Föryngringsavverkning</t>
        </is>
      </c>
      <c r="D587" s="1" t="n">
        <v>46148</v>
      </c>
      <c r="E587" s="1" t="n">
        <v>46220</v>
      </c>
      <c r="F587" t="inlineStr">
        <is>
          <t>UPPSALA LÄN</t>
        </is>
      </c>
      <c r="G587" t="inlineStr">
        <is>
          <t>TIERP</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56946-2023</t>
        </is>
      </c>
      <c r="B588" t="inlineStr">
        <is>
          <t>avverkningsanmälan</t>
        </is>
      </c>
      <c r="C588" t="inlineStr">
        <is>
          <t>Föryngringsavverkning</t>
        </is>
      </c>
      <c r="D588" s="1" t="n">
        <v>45244</v>
      </c>
      <c r="E588" s="1" t="n">
        <v>46220</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44762-2023</t>
        </is>
      </c>
      <c r="B589" t="inlineStr">
        <is>
          <t>avverkningsanmälan</t>
        </is>
      </c>
      <c r="C589" t="inlineStr">
        <is>
          <t>Föryngringsavverkning</t>
        </is>
      </c>
      <c r="D589" s="1" t="n">
        <v>45190</v>
      </c>
      <c r="E589" s="1" t="n">
        <v>46220</v>
      </c>
      <c r="F589" t="inlineStr">
        <is>
          <t>UPPSALA LÄN</t>
        </is>
      </c>
      <c r="G589" t="inlineStr">
        <is>
          <t>TIERP</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28098-2026</t>
        </is>
      </c>
      <c r="B590" t="inlineStr">
        <is>
          <t>avverkningsanmälan</t>
        </is>
      </c>
      <c r="C590" t="inlineStr">
        <is>
          <t>Föryngringsavverkning</t>
        </is>
      </c>
      <c r="D590" s="1" t="n">
        <v>46195</v>
      </c>
      <c r="E590" s="1" t="n">
        <v>46220</v>
      </c>
      <c r="F590" t="inlineStr">
        <is>
          <t>UPPSALA LÄN</t>
        </is>
      </c>
      <c r="G590" t="inlineStr">
        <is>
          <t>TIERP</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A 12885-2024</t>
        </is>
      </c>
      <c r="B591" t="inlineStr">
        <is>
          <t>avverkningsanmälan</t>
        </is>
      </c>
      <c r="C591" t="inlineStr">
        <is>
          <t>Avverkning för annat ändamål</t>
        </is>
      </c>
      <c r="D591" s="1" t="n">
        <v>45385</v>
      </c>
      <c r="E591" s="1" t="n">
        <v>46220</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28101-2026</t>
        </is>
      </c>
      <c r="B592" t="inlineStr">
        <is>
          <t>avverkningsanmälan</t>
        </is>
      </c>
      <c r="C592" t="inlineStr">
        <is>
          <t>Föryngringsavverkning</t>
        </is>
      </c>
      <c r="D592" s="1" t="n">
        <v>46195</v>
      </c>
      <c r="E592" s="1" t="n">
        <v>46220</v>
      </c>
      <c r="F592" t="inlineStr">
        <is>
          <t>UPPSALA LÄN</t>
        </is>
      </c>
      <c r="G592" t="inlineStr">
        <is>
          <t>TIERP</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19840-2022</t>
        </is>
      </c>
      <c r="B593" t="inlineStr">
        <is>
          <t>avverkningsanmälan</t>
        </is>
      </c>
      <c r="C593" t="inlineStr">
        <is>
          <t>Föryngringsavverkning</t>
        </is>
      </c>
      <c r="D593" s="1" t="n">
        <v>44696</v>
      </c>
      <c r="E593" s="1" t="n">
        <v>46220</v>
      </c>
      <c r="F593" t="inlineStr">
        <is>
          <t>UPPSALA LÄN</t>
        </is>
      </c>
      <c r="G593" t="inlineStr">
        <is>
          <t>TIERP</t>
        </is>
      </c>
      <c r="I593" t="n">
        <v>3</v>
      </c>
      <c r="J593" t="n">
        <v>0</v>
      </c>
      <c r="K593" t="n">
        <v>0</v>
      </c>
      <c r="L593" t="n">
        <v>0</v>
      </c>
      <c r="M593" t="n">
        <v>0</v>
      </c>
      <c r="N593" t="n">
        <v>0</v>
      </c>
      <c r="O593" t="n">
        <v>0</v>
      </c>
      <c r="P593" t="n">
        <v>0</v>
      </c>
      <c r="Q593" t="n">
        <v>0</v>
      </c>
      <c r="R593" t="n">
        <v>0</v>
      </c>
      <c r="S593" t="n">
        <v>0</v>
      </c>
      <c r="T593" t="n">
        <v>0</v>
      </c>
      <c r="U593" s="2" t="inlineStr"/>
    </row>
    <row r="594" ht="15" customHeight="1">
      <c r="A594" t="inlineStr">
        <is>
          <t>A 28188-2026</t>
        </is>
      </c>
      <c r="B594" t="inlineStr">
        <is>
          <t>avverkningsanmälan</t>
        </is>
      </c>
      <c r="C594" t="inlineStr">
        <is>
          <t>Föryngringsavverkning</t>
        </is>
      </c>
      <c r="D594" s="1" t="n">
        <v>46195</v>
      </c>
      <c r="E594" s="1" t="n">
        <v>46220</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A 28171-2026</t>
        </is>
      </c>
      <c r="B595" t="inlineStr">
        <is>
          <t>avverkningsanmälan</t>
        </is>
      </c>
      <c r="C595" t="inlineStr">
        <is>
          <t>Föryngringsavverkning</t>
        </is>
      </c>
      <c r="D595" s="1" t="n">
        <v>46195</v>
      </c>
      <c r="E595" s="1" t="n">
        <v>46220</v>
      </c>
      <c r="F595" t="inlineStr">
        <is>
          <t>UPPSALA LÄN</t>
        </is>
      </c>
      <c r="G595" t="inlineStr">
        <is>
          <t>TIERP</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28105-2026</t>
        </is>
      </c>
      <c r="B596" t="inlineStr">
        <is>
          <t>avverkningsanmälan</t>
        </is>
      </c>
      <c r="C596" t="inlineStr">
        <is>
          <t>Föryngringsavverkning</t>
        </is>
      </c>
      <c r="D596" s="1" t="n">
        <v>46195</v>
      </c>
      <c r="E596" s="1" t="n">
        <v>46220</v>
      </c>
      <c r="F596" t="inlineStr">
        <is>
          <t>UPPSALA LÄN</t>
        </is>
      </c>
      <c r="G596" t="inlineStr">
        <is>
          <t>TIERP</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22203-2026</t>
        </is>
      </c>
      <c r="B597" t="inlineStr">
        <is>
          <t>avverkningsanmälan</t>
        </is>
      </c>
      <c r="C597" t="inlineStr">
        <is>
          <t>Föryngringsavverkning</t>
        </is>
      </c>
      <c r="D597" s="1" t="n">
        <v>46153</v>
      </c>
      <c r="E597" s="1" t="n">
        <v>46220</v>
      </c>
      <c r="F597" t="inlineStr">
        <is>
          <t>UPPSALA LÄN</t>
        </is>
      </c>
      <c r="G597" t="inlineStr">
        <is>
          <t>TIERP</t>
        </is>
      </c>
      <c r="I597" t="n">
        <v>0.8</v>
      </c>
      <c r="J597" t="n">
        <v>0</v>
      </c>
      <c r="K597" t="n">
        <v>0</v>
      </c>
      <c r="L597" t="n">
        <v>0</v>
      </c>
      <c r="M597" t="n">
        <v>0</v>
      </c>
      <c r="N597" t="n">
        <v>0</v>
      </c>
      <c r="O597" t="n">
        <v>0</v>
      </c>
      <c r="P597" t="n">
        <v>0</v>
      </c>
      <c r="Q597" t="n">
        <v>0</v>
      </c>
      <c r="R597" t="n">
        <v>0</v>
      </c>
      <c r="S597" t="n">
        <v>0</v>
      </c>
      <c r="T597" t="n">
        <v>0</v>
      </c>
      <c r="U597" s="2" t="inlineStr"/>
    </row>
    <row r="598" ht="15" customHeight="1">
      <c r="A598" t="inlineStr">
        <is>
          <t>A 28169-2026</t>
        </is>
      </c>
      <c r="B598" t="inlineStr">
        <is>
          <t>avverkningsanmälan</t>
        </is>
      </c>
      <c r="C598" t="inlineStr">
        <is>
          <t>Föryngringsavverkning</t>
        </is>
      </c>
      <c r="D598" s="1" t="n">
        <v>46195</v>
      </c>
      <c r="E598" s="1" t="n">
        <v>46220</v>
      </c>
      <c r="F598" t="inlineStr">
        <is>
          <t>UPPSALA LÄN</t>
        </is>
      </c>
      <c r="G598" t="inlineStr">
        <is>
          <t>TIERP</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22072-2026</t>
        </is>
      </c>
      <c r="B599" t="inlineStr">
        <is>
          <t>avverkningsanmälan</t>
        </is>
      </c>
      <c r="C599" t="inlineStr">
        <is>
          <t>Föryngringsavverkning</t>
        </is>
      </c>
      <c r="D599" s="1" t="n">
        <v>46153</v>
      </c>
      <c r="E599" s="1" t="n">
        <v>46220</v>
      </c>
      <c r="F599" t="inlineStr">
        <is>
          <t>UPPSALA LÄN</t>
        </is>
      </c>
      <c r="G599" t="inlineStr">
        <is>
          <t>TIERP</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22566-2026</t>
        </is>
      </c>
      <c r="B600" t="inlineStr">
        <is>
          <t>avverkningsanmälan</t>
        </is>
      </c>
      <c r="C600" t="inlineStr">
        <is>
          <t>Föryngringsavverkning</t>
        </is>
      </c>
      <c r="D600" s="1" t="n">
        <v>46155</v>
      </c>
      <c r="E600" s="1" t="n">
        <v>46220</v>
      </c>
      <c r="F600" t="inlineStr">
        <is>
          <t>UPPSALA LÄN</t>
        </is>
      </c>
      <c r="G600" t="inlineStr">
        <is>
          <t>TIERP</t>
        </is>
      </c>
      <c r="H600" t="inlineStr">
        <is>
          <t>Bergvik skog öst AB</t>
        </is>
      </c>
      <c r="I600" t="n">
        <v>2.5</v>
      </c>
      <c r="J600" t="n">
        <v>0</v>
      </c>
      <c r="K600" t="n">
        <v>0</v>
      </c>
      <c r="L600" t="n">
        <v>0</v>
      </c>
      <c r="M600" t="n">
        <v>0</v>
      </c>
      <c r="N600" t="n">
        <v>0</v>
      </c>
      <c r="O600" t="n">
        <v>0</v>
      </c>
      <c r="P600" t="n">
        <v>0</v>
      </c>
      <c r="Q600" t="n">
        <v>0</v>
      </c>
      <c r="R600" t="n">
        <v>0</v>
      </c>
      <c r="S600" t="n">
        <v>0</v>
      </c>
      <c r="T600" t="n">
        <v>0</v>
      </c>
      <c r="U600" s="2" t="inlineStr"/>
    </row>
    <row r="601" ht="15" customHeight="1">
      <c r="A601" t="inlineStr">
        <is>
          <t>A 28279-2026</t>
        </is>
      </c>
      <c r="B601" t="inlineStr">
        <is>
          <t>avverkningsanmälan</t>
        </is>
      </c>
      <c r="C601" t="inlineStr">
        <is>
          <t>Föryngringsavverkning</t>
        </is>
      </c>
      <c r="D601" s="1" t="n">
        <v>46196</v>
      </c>
      <c r="E601" s="1" t="n">
        <v>46220</v>
      </c>
      <c r="F601" t="inlineStr">
        <is>
          <t>UPPSALA LÄN</t>
        </is>
      </c>
      <c r="G601" t="inlineStr">
        <is>
          <t>TIERP</t>
        </is>
      </c>
      <c r="H601" t="inlineStr">
        <is>
          <t>Bergvik skog väst AB</t>
        </is>
      </c>
      <c r="I601" t="n">
        <v>13.8</v>
      </c>
      <c r="J601" t="n">
        <v>0</v>
      </c>
      <c r="K601" t="n">
        <v>0</v>
      </c>
      <c r="L601" t="n">
        <v>0</v>
      </c>
      <c r="M601" t="n">
        <v>0</v>
      </c>
      <c r="N601" t="n">
        <v>0</v>
      </c>
      <c r="O601" t="n">
        <v>0</v>
      </c>
      <c r="P601" t="n">
        <v>0</v>
      </c>
      <c r="Q601" t="n">
        <v>0</v>
      </c>
      <c r="R601" t="n">
        <v>0</v>
      </c>
      <c r="S601" t="n">
        <v>0</v>
      </c>
      <c r="T601" t="n">
        <v>0</v>
      </c>
      <c r="U601" s="2" t="inlineStr"/>
    </row>
    <row r="602" ht="15" customHeight="1">
      <c r="A602" t="inlineStr">
        <is>
          <t>A 22631-2026</t>
        </is>
      </c>
      <c r="B602" t="inlineStr">
        <is>
          <t>avverkningsanmälan</t>
        </is>
      </c>
      <c r="C602" t="inlineStr">
        <is>
          <t>Föryngringsavverkning</t>
        </is>
      </c>
      <c r="D602" s="1" t="n">
        <v>46155</v>
      </c>
      <c r="E602" s="1" t="n">
        <v>46220</v>
      </c>
      <c r="F602" t="inlineStr">
        <is>
          <t>UPPSALA LÄN</t>
        </is>
      </c>
      <c r="G602" t="inlineStr">
        <is>
          <t>TIERP</t>
        </is>
      </c>
      <c r="H602" t="inlineStr">
        <is>
          <t>Bergvik skog öst AB</t>
        </is>
      </c>
      <c r="I602" t="n">
        <v>2.5</v>
      </c>
      <c r="J602" t="n">
        <v>0</v>
      </c>
      <c r="K602" t="n">
        <v>0</v>
      </c>
      <c r="L602" t="n">
        <v>0</v>
      </c>
      <c r="M602" t="n">
        <v>0</v>
      </c>
      <c r="N602" t="n">
        <v>0</v>
      </c>
      <c r="O602" t="n">
        <v>0</v>
      </c>
      <c r="P602" t="n">
        <v>0</v>
      </c>
      <c r="Q602" t="n">
        <v>0</v>
      </c>
      <c r="R602" t="n">
        <v>0</v>
      </c>
      <c r="S602" t="n">
        <v>0</v>
      </c>
      <c r="T602" t="n">
        <v>0</v>
      </c>
      <c r="U602" s="2" t="inlineStr"/>
    </row>
    <row r="603" ht="15" customHeight="1">
      <c r="A603" t="inlineStr">
        <is>
          <t>A 22304-2026</t>
        </is>
      </c>
      <c r="B603" t="inlineStr">
        <is>
          <t>avverkningsanmälan</t>
        </is>
      </c>
      <c r="C603" t="inlineStr">
        <is>
          <t>Föryngringsavverkning</t>
        </is>
      </c>
      <c r="D603" s="1" t="n">
        <v>46154</v>
      </c>
      <c r="E603" s="1" t="n">
        <v>46220</v>
      </c>
      <c r="F603" t="inlineStr">
        <is>
          <t>UPPSALA LÄN</t>
        </is>
      </c>
      <c r="G603" t="inlineStr">
        <is>
          <t>TIERP</t>
        </is>
      </c>
      <c r="I603" t="n">
        <v>3.4</v>
      </c>
      <c r="J603" t="n">
        <v>0</v>
      </c>
      <c r="K603" t="n">
        <v>0</v>
      </c>
      <c r="L603" t="n">
        <v>0</v>
      </c>
      <c r="M603" t="n">
        <v>0</v>
      </c>
      <c r="N603" t="n">
        <v>0</v>
      </c>
      <c r="O603" t="n">
        <v>0</v>
      </c>
      <c r="P603" t="n">
        <v>0</v>
      </c>
      <c r="Q603" t="n">
        <v>0</v>
      </c>
      <c r="R603" t="n">
        <v>0</v>
      </c>
      <c r="S603" t="n">
        <v>0</v>
      </c>
      <c r="T603" t="n">
        <v>0</v>
      </c>
      <c r="U603" s="2" t="inlineStr"/>
    </row>
    <row r="604" ht="15" customHeight="1">
      <c r="A604" t="inlineStr">
        <is>
          <t>A 28310-2026</t>
        </is>
      </c>
      <c r="B604" t="inlineStr">
        <is>
          <t>avverkningsanmälan</t>
        </is>
      </c>
      <c r="C604" t="inlineStr">
        <is>
          <t>Föryngringsavverkning</t>
        </is>
      </c>
      <c r="D604" s="1" t="n">
        <v>46196</v>
      </c>
      <c r="E604" s="1" t="n">
        <v>46220</v>
      </c>
      <c r="F604" t="inlineStr">
        <is>
          <t>UPPSALA LÄN</t>
        </is>
      </c>
      <c r="G604" t="inlineStr">
        <is>
          <t>TIERP</t>
        </is>
      </c>
      <c r="H604" t="inlineStr">
        <is>
          <t>Övriga Aktiebolag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22647-2026</t>
        </is>
      </c>
      <c r="B605" t="inlineStr">
        <is>
          <t>avverkningsanmälan</t>
        </is>
      </c>
      <c r="C605" t="inlineStr">
        <is>
          <t>Föryngringsavverkning</t>
        </is>
      </c>
      <c r="D605" s="1" t="n">
        <v>46155</v>
      </c>
      <c r="E605" s="1" t="n">
        <v>46220</v>
      </c>
      <c r="F605" t="inlineStr">
        <is>
          <t>UPPSALA LÄN</t>
        </is>
      </c>
      <c r="G605" t="inlineStr">
        <is>
          <t>TIERP</t>
        </is>
      </c>
      <c r="H605" t="inlineStr">
        <is>
          <t>Bergvik skog öst AB</t>
        </is>
      </c>
      <c r="I605" t="n">
        <v>3.3</v>
      </c>
      <c r="J605" t="n">
        <v>0</v>
      </c>
      <c r="K605" t="n">
        <v>0</v>
      </c>
      <c r="L605" t="n">
        <v>0</v>
      </c>
      <c r="M605" t="n">
        <v>0</v>
      </c>
      <c r="N605" t="n">
        <v>0</v>
      </c>
      <c r="O605" t="n">
        <v>0</v>
      </c>
      <c r="P605" t="n">
        <v>0</v>
      </c>
      <c r="Q605" t="n">
        <v>0</v>
      </c>
      <c r="R605" t="n">
        <v>0</v>
      </c>
      <c r="S605" t="n">
        <v>0</v>
      </c>
      <c r="T605" t="n">
        <v>0</v>
      </c>
      <c r="U605" s="2" t="inlineStr"/>
    </row>
    <row r="606" ht="15" customHeight="1">
      <c r="A606" t="inlineStr">
        <is>
          <t>A 28246-2026</t>
        </is>
      </c>
      <c r="B606" t="inlineStr">
        <is>
          <t>avverkningsanmälan</t>
        </is>
      </c>
      <c r="C606" t="inlineStr">
        <is>
          <t>Föryngringsavverkning</t>
        </is>
      </c>
      <c r="D606" s="1" t="n">
        <v>46196</v>
      </c>
      <c r="E606" s="1" t="n">
        <v>46220</v>
      </c>
      <c r="F606" t="inlineStr">
        <is>
          <t>UPPSALA LÄN</t>
        </is>
      </c>
      <c r="G606" t="inlineStr">
        <is>
          <t>TIERP</t>
        </is>
      </c>
      <c r="H606" t="inlineStr">
        <is>
          <t>Bergvik skog väst AB</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46976-2021</t>
        </is>
      </c>
      <c r="B607" t="inlineStr">
        <is>
          <t>avverkningsanmälan</t>
        </is>
      </c>
      <c r="C607" t="inlineStr">
        <is>
          <t>Föryngringsavverkning</t>
        </is>
      </c>
      <c r="D607" s="1" t="n">
        <v>44446</v>
      </c>
      <c r="E607" s="1" t="n">
        <v>46220</v>
      </c>
      <c r="F607" t="inlineStr">
        <is>
          <t>UPPSALA LÄN</t>
        </is>
      </c>
      <c r="G607" t="inlineStr">
        <is>
          <t>TIERP</t>
        </is>
      </c>
      <c r="H607" t="inlineStr">
        <is>
          <t>Bergvik skog väst AB</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28958-2026</t>
        </is>
      </c>
      <c r="B608" t="inlineStr">
        <is>
          <t>avverkningsanmälan</t>
        </is>
      </c>
      <c r="C608" t="inlineStr">
        <is>
          <t>Föryngringsavverkning</t>
        </is>
      </c>
      <c r="D608" s="1" t="n">
        <v>46199</v>
      </c>
      <c r="E608" s="1" t="n">
        <v>46220</v>
      </c>
      <c r="F608" t="inlineStr">
        <is>
          <t>UPPSALA LÄN</t>
        </is>
      </c>
      <c r="G608" t="inlineStr">
        <is>
          <t>TIERP</t>
        </is>
      </c>
      <c r="H608" t="inlineStr">
        <is>
          <t>Bergvik skog väst AB</t>
        </is>
      </c>
      <c r="I608" t="n">
        <v>2.5</v>
      </c>
      <c r="J608" t="n">
        <v>0</v>
      </c>
      <c r="K608" t="n">
        <v>0</v>
      </c>
      <c r="L608" t="n">
        <v>0</v>
      </c>
      <c r="M608" t="n">
        <v>0</v>
      </c>
      <c r="N608" t="n">
        <v>0</v>
      </c>
      <c r="O608" t="n">
        <v>0</v>
      </c>
      <c r="P608" t="n">
        <v>0</v>
      </c>
      <c r="Q608" t="n">
        <v>0</v>
      </c>
      <c r="R608" t="n">
        <v>0</v>
      </c>
      <c r="S608" t="n">
        <v>0</v>
      </c>
      <c r="T608" t="n">
        <v>0</v>
      </c>
      <c r="U608" s="2" t="inlineStr"/>
    </row>
    <row r="609" ht="15" customHeight="1">
      <c r="A609" t="inlineStr">
        <is>
          <t>A 20854-2024</t>
        </is>
      </c>
      <c r="B609" t="inlineStr">
        <is>
          <t>avverkningsanmälan</t>
        </is>
      </c>
      <c r="C609" t="inlineStr">
        <is>
          <t>Föryngringsavverkning</t>
        </is>
      </c>
      <c r="D609" s="1" t="n">
        <v>45439</v>
      </c>
      <c r="E609" s="1" t="n">
        <v>46220</v>
      </c>
      <c r="F609" t="inlineStr">
        <is>
          <t>UPPSALA LÄN</t>
        </is>
      </c>
      <c r="G609" t="inlineStr">
        <is>
          <t>TIERP</t>
        </is>
      </c>
      <c r="I609" t="n">
        <v>0.8</v>
      </c>
      <c r="J609" t="n">
        <v>0</v>
      </c>
      <c r="K609" t="n">
        <v>0</v>
      </c>
      <c r="L609" t="n">
        <v>0</v>
      </c>
      <c r="M609" t="n">
        <v>0</v>
      </c>
      <c r="N609" t="n">
        <v>0</v>
      </c>
      <c r="O609" t="n">
        <v>0</v>
      </c>
      <c r="P609" t="n">
        <v>0</v>
      </c>
      <c r="Q609" t="n">
        <v>0</v>
      </c>
      <c r="R609" t="n">
        <v>0</v>
      </c>
      <c r="S609" t="n">
        <v>0</v>
      </c>
      <c r="T609" t="n">
        <v>0</v>
      </c>
      <c r="U609" s="2" t="inlineStr"/>
    </row>
    <row r="610" ht="15" customHeight="1">
      <c r="A610" t="inlineStr">
        <is>
          <t>A 13464-2024</t>
        </is>
      </c>
      <c r="B610" t="inlineStr">
        <is>
          <t>avverkningsanmälan</t>
        </is>
      </c>
      <c r="C610" t="inlineStr">
        <is>
          <t>Föryngringsavverkning</t>
        </is>
      </c>
      <c r="D610" s="1" t="n">
        <v>45387</v>
      </c>
      <c r="E610" s="1" t="n">
        <v>46220</v>
      </c>
      <c r="F610" t="inlineStr">
        <is>
          <t>UPPSALA LÄN</t>
        </is>
      </c>
      <c r="G610" t="inlineStr">
        <is>
          <t>TIERP</t>
        </is>
      </c>
      <c r="H610" t="inlineStr">
        <is>
          <t>Bergvik skog väst AB</t>
        </is>
      </c>
      <c r="I610" t="n">
        <v>2.5</v>
      </c>
      <c r="J610" t="n">
        <v>0</v>
      </c>
      <c r="K610" t="n">
        <v>0</v>
      </c>
      <c r="L610" t="n">
        <v>0</v>
      </c>
      <c r="M610" t="n">
        <v>0</v>
      </c>
      <c r="N610" t="n">
        <v>0</v>
      </c>
      <c r="O610" t="n">
        <v>0</v>
      </c>
      <c r="P610" t="n">
        <v>0</v>
      </c>
      <c r="Q610" t="n">
        <v>0</v>
      </c>
      <c r="R610" t="n">
        <v>0</v>
      </c>
      <c r="S610" t="n">
        <v>0</v>
      </c>
      <c r="T610" t="n">
        <v>0</v>
      </c>
      <c r="U610" s="2" t="inlineStr"/>
    </row>
    <row r="611" ht="15" customHeight="1">
      <c r="A611" t="inlineStr">
        <is>
          <t>A 28952-2026</t>
        </is>
      </c>
      <c r="B611" t="inlineStr">
        <is>
          <t>avverkningsanmälan</t>
        </is>
      </c>
      <c r="C611" t="inlineStr">
        <is>
          <t>Föryngringsavverkning</t>
        </is>
      </c>
      <c r="D611" s="1" t="n">
        <v>46199</v>
      </c>
      <c r="E611" s="1" t="n">
        <v>46220</v>
      </c>
      <c r="F611" t="inlineStr">
        <is>
          <t>UPPSALA LÄN</t>
        </is>
      </c>
      <c r="G611" t="inlineStr">
        <is>
          <t>TIERP</t>
        </is>
      </c>
      <c r="H611" t="inlineStr">
        <is>
          <t>Bergvik skog väst AB</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13356-2024</t>
        </is>
      </c>
      <c r="B612" t="inlineStr">
        <is>
          <t>avverkningsanmälan</t>
        </is>
      </c>
      <c r="C612" t="inlineStr">
        <is>
          <t>Föryngringsavverkning</t>
        </is>
      </c>
      <c r="D612" s="1" t="n">
        <v>45387</v>
      </c>
      <c r="E612" s="1" t="n">
        <v>46220</v>
      </c>
      <c r="F612" t="inlineStr">
        <is>
          <t>UPPSALA LÄN</t>
        </is>
      </c>
      <c r="G612" t="inlineStr">
        <is>
          <t>TIERP</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61149-2024</t>
        </is>
      </c>
      <c r="B613" t="inlineStr">
        <is>
          <t>avverkningsanmälan</t>
        </is>
      </c>
      <c r="C613" t="inlineStr">
        <is>
          <t>Föryngringsavverkning</t>
        </is>
      </c>
      <c r="D613" s="1" t="n">
        <v>45645</v>
      </c>
      <c r="E613" s="1" t="n">
        <v>46220</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29237-2026</t>
        </is>
      </c>
      <c r="B614" t="inlineStr">
        <is>
          <t>avverkningsanmälan</t>
        </is>
      </c>
      <c r="C614" t="inlineStr">
        <is>
          <t>Föryngringsavverkning</t>
        </is>
      </c>
      <c r="D614" s="1" t="n">
        <v>46202</v>
      </c>
      <c r="E614" s="1" t="n">
        <v>46220</v>
      </c>
      <c r="F614" t="inlineStr">
        <is>
          <t>UPPSALA LÄN</t>
        </is>
      </c>
      <c r="G614" t="inlineStr">
        <is>
          <t>TIERP</t>
        </is>
      </c>
      <c r="H614" t="inlineStr">
        <is>
          <t>Bergvik skog öst AB</t>
        </is>
      </c>
      <c r="I614" t="n">
        <v>2.9</v>
      </c>
      <c r="J614" t="n">
        <v>0</v>
      </c>
      <c r="K614" t="n">
        <v>0</v>
      </c>
      <c r="L614" t="n">
        <v>0</v>
      </c>
      <c r="M614" t="n">
        <v>0</v>
      </c>
      <c r="N614" t="n">
        <v>0</v>
      </c>
      <c r="O614" t="n">
        <v>0</v>
      </c>
      <c r="P614" t="n">
        <v>0</v>
      </c>
      <c r="Q614" t="n">
        <v>0</v>
      </c>
      <c r="R614" t="n">
        <v>0</v>
      </c>
      <c r="S614" t="n">
        <v>0</v>
      </c>
      <c r="T614" t="n">
        <v>0</v>
      </c>
      <c r="U614" s="2" t="inlineStr"/>
    </row>
    <row r="615" ht="15" customHeight="1">
      <c r="A615" t="inlineStr">
        <is>
          <t>A 23160-2026</t>
        </is>
      </c>
      <c r="B615" t="inlineStr">
        <is>
          <t>avverkningsanmälan</t>
        </is>
      </c>
      <c r="C615" t="inlineStr">
        <is>
          <t>Föryngringsavverkning</t>
        </is>
      </c>
      <c r="D615" s="1" t="n">
        <v>46161</v>
      </c>
      <c r="E615" s="1" t="n">
        <v>46220</v>
      </c>
      <c r="F615" t="inlineStr">
        <is>
          <t>UPPSALA LÄN</t>
        </is>
      </c>
      <c r="G615" t="inlineStr">
        <is>
          <t>TIERP</t>
        </is>
      </c>
      <c r="H615" t="inlineStr">
        <is>
          <t>Bergvik skog väst AB</t>
        </is>
      </c>
      <c r="I615" t="n">
        <v>3.3</v>
      </c>
      <c r="J615" t="n">
        <v>0</v>
      </c>
      <c r="K615" t="n">
        <v>0</v>
      </c>
      <c r="L615" t="n">
        <v>0</v>
      </c>
      <c r="M615" t="n">
        <v>0</v>
      </c>
      <c r="N615" t="n">
        <v>0</v>
      </c>
      <c r="O615" t="n">
        <v>0</v>
      </c>
      <c r="P615" t="n">
        <v>0</v>
      </c>
      <c r="Q615" t="n">
        <v>0</v>
      </c>
      <c r="R615" t="n">
        <v>0</v>
      </c>
      <c r="S615" t="n">
        <v>0</v>
      </c>
      <c r="T615" t="n">
        <v>0</v>
      </c>
      <c r="U615" s="2" t="inlineStr"/>
    </row>
    <row r="616" ht="15" customHeight="1">
      <c r="A616" t="inlineStr">
        <is>
          <t>A 29361-2026</t>
        </is>
      </c>
      <c r="B616" t="inlineStr">
        <is>
          <t>avverkningsanmälan</t>
        </is>
      </c>
      <c r="C616" t="inlineStr">
        <is>
          <t>Föryngringsavverkning</t>
        </is>
      </c>
      <c r="D616" s="1" t="n">
        <v>46203</v>
      </c>
      <c r="E616" s="1" t="n">
        <v>46220</v>
      </c>
      <c r="F616" t="inlineStr">
        <is>
          <t>UPPSALA LÄN</t>
        </is>
      </c>
      <c r="G616" t="inlineStr">
        <is>
          <t>TIERP</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34460-2022</t>
        </is>
      </c>
      <c r="B617" t="inlineStr">
        <is>
          <t>avverkningsanmälan</t>
        </is>
      </c>
      <c r="C617" t="inlineStr">
        <is>
          <t>Föryngringsavverkning</t>
        </is>
      </c>
      <c r="D617" s="1" t="n">
        <v>44792</v>
      </c>
      <c r="E617" s="1" t="n">
        <v>46220</v>
      </c>
      <c r="F617" t="inlineStr">
        <is>
          <t>UPPSALA LÄN</t>
        </is>
      </c>
      <c r="G617" t="inlineStr">
        <is>
          <t>TIERP</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18412-2025</t>
        </is>
      </c>
      <c r="B618" t="inlineStr">
        <is>
          <t>avverkningsanmälan</t>
        </is>
      </c>
      <c r="C618" t="inlineStr">
        <is>
          <t>Föryngringsavverkning</t>
        </is>
      </c>
      <c r="D618" s="1" t="n">
        <v>45762</v>
      </c>
      <c r="E618" s="1" t="n">
        <v>46220</v>
      </c>
      <c r="F618" t="inlineStr">
        <is>
          <t>UPPSALA LÄN</t>
        </is>
      </c>
      <c r="G618" t="inlineStr">
        <is>
          <t>TIERP</t>
        </is>
      </c>
      <c r="H618" t="inlineStr">
        <is>
          <t>Bergvik skog öst AB</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1081-2026</t>
        </is>
      </c>
      <c r="B619" t="inlineStr">
        <is>
          <t>avverkningsanmälan</t>
        </is>
      </c>
      <c r="C619" t="inlineStr">
        <is>
          <t>Föryngringsavverkning</t>
        </is>
      </c>
      <c r="D619" s="1" t="n">
        <v>46030</v>
      </c>
      <c r="E619" s="1" t="n">
        <v>46220</v>
      </c>
      <c r="F619" t="inlineStr">
        <is>
          <t>UPPSALA LÄN</t>
        </is>
      </c>
      <c r="G619" t="inlineStr">
        <is>
          <t>TIERP</t>
        </is>
      </c>
      <c r="H619" t="inlineStr">
        <is>
          <t>Bergvik skog öst AB</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28912-2023</t>
        </is>
      </c>
      <c r="B620" t="inlineStr">
        <is>
          <t>avverkningsanmälan</t>
        </is>
      </c>
      <c r="C620" t="inlineStr">
        <is>
          <t>Föryngringsavverkning</t>
        </is>
      </c>
      <c r="D620" s="1" t="n">
        <v>45104</v>
      </c>
      <c r="E620" s="1" t="n">
        <v>46220</v>
      </c>
      <c r="F620" t="inlineStr">
        <is>
          <t>UPPSALA LÄN</t>
        </is>
      </c>
      <c r="G620" t="inlineStr">
        <is>
          <t>TIERP</t>
        </is>
      </c>
      <c r="H620" t="inlineStr">
        <is>
          <t>Bergvik skog öst AB</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29363-2026</t>
        </is>
      </c>
      <c r="B621" t="inlineStr">
        <is>
          <t>avverkningsanmälan</t>
        </is>
      </c>
      <c r="C621" t="inlineStr">
        <is>
          <t>Föryngringsavverkning</t>
        </is>
      </c>
      <c r="D621" s="1" t="n">
        <v>46203</v>
      </c>
      <c r="E621" s="1" t="n">
        <v>46220</v>
      </c>
      <c r="F621" t="inlineStr">
        <is>
          <t>UPPSALA LÄN</t>
        </is>
      </c>
      <c r="G621" t="inlineStr">
        <is>
          <t>TIERP</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22901-2023</t>
        </is>
      </c>
      <c r="B622" t="inlineStr">
        <is>
          <t>avverkningsanmälan</t>
        </is>
      </c>
      <c r="C622" t="inlineStr">
        <is>
          <t>Avverkning för annat ändamål</t>
        </is>
      </c>
      <c r="D622" s="1" t="n">
        <v>45072</v>
      </c>
      <c r="E622" s="1" t="n">
        <v>46220</v>
      </c>
      <c r="F622" t="inlineStr">
        <is>
          <t>UPPSALA LÄN</t>
        </is>
      </c>
      <c r="G622" t="inlineStr">
        <is>
          <t>TIERP</t>
        </is>
      </c>
      <c r="I622" t="n">
        <v>0.2</v>
      </c>
      <c r="J622" t="n">
        <v>0</v>
      </c>
      <c r="K622" t="n">
        <v>0</v>
      </c>
      <c r="L622" t="n">
        <v>0</v>
      </c>
      <c r="M622" t="n">
        <v>0</v>
      </c>
      <c r="N622" t="n">
        <v>0</v>
      </c>
      <c r="O622" t="n">
        <v>0</v>
      </c>
      <c r="P622" t="n">
        <v>0</v>
      </c>
      <c r="Q622" t="n">
        <v>0</v>
      </c>
      <c r="R622" t="n">
        <v>0</v>
      </c>
      <c r="S622" t="n">
        <v>0</v>
      </c>
      <c r="T622" t="n">
        <v>0</v>
      </c>
      <c r="U622" s="2" t="inlineStr"/>
    </row>
    <row r="623" ht="15" customHeight="1">
      <c r="A623" t="inlineStr">
        <is>
          <t>A 22930-2026</t>
        </is>
      </c>
      <c r="B623" t="inlineStr">
        <is>
          <t>avverkningsanmälan</t>
        </is>
      </c>
      <c r="C623" t="inlineStr">
        <is>
          <t>Föryngringsavverkning</t>
        </is>
      </c>
      <c r="D623" s="1" t="n">
        <v>46160</v>
      </c>
      <c r="E623" s="1" t="n">
        <v>46220</v>
      </c>
      <c r="F623" t="inlineStr">
        <is>
          <t>UPPSALA LÄN</t>
        </is>
      </c>
      <c r="G623" t="inlineStr">
        <is>
          <t>TIERP</t>
        </is>
      </c>
      <c r="I623" t="n">
        <v>6.9</v>
      </c>
      <c r="J623" t="n">
        <v>0</v>
      </c>
      <c r="K623" t="n">
        <v>0</v>
      </c>
      <c r="L623" t="n">
        <v>0</v>
      </c>
      <c r="M623" t="n">
        <v>0</v>
      </c>
      <c r="N623" t="n">
        <v>0</v>
      </c>
      <c r="O623" t="n">
        <v>0</v>
      </c>
      <c r="P623" t="n">
        <v>0</v>
      </c>
      <c r="Q623" t="n">
        <v>0</v>
      </c>
      <c r="R623" t="n">
        <v>0</v>
      </c>
      <c r="S623" t="n">
        <v>0</v>
      </c>
      <c r="T623" t="n">
        <v>0</v>
      </c>
      <c r="U623" s="2" t="inlineStr"/>
    </row>
    <row r="624" ht="15" customHeight="1">
      <c r="A624" t="inlineStr">
        <is>
          <t>A 60304-2024</t>
        </is>
      </c>
      <c r="B624" t="inlineStr">
        <is>
          <t>avverkningsanmälan</t>
        </is>
      </c>
      <c r="C624" t="inlineStr">
        <is>
          <t>Föryngringsavverkning</t>
        </is>
      </c>
      <c r="D624" s="1" t="n">
        <v>45643</v>
      </c>
      <c r="E624" s="1" t="n">
        <v>46220</v>
      </c>
      <c r="F624" t="inlineStr">
        <is>
          <t>UPPSALA LÄN</t>
        </is>
      </c>
      <c r="G624" t="inlineStr">
        <is>
          <t>TIERP</t>
        </is>
      </c>
      <c r="H624" t="inlineStr">
        <is>
          <t>Bergvik skog öst AB</t>
        </is>
      </c>
      <c r="I624" t="n">
        <v>3.4</v>
      </c>
      <c r="J624" t="n">
        <v>0</v>
      </c>
      <c r="K624" t="n">
        <v>0</v>
      </c>
      <c r="L624" t="n">
        <v>0</v>
      </c>
      <c r="M624" t="n">
        <v>0</v>
      </c>
      <c r="N624" t="n">
        <v>0</v>
      </c>
      <c r="O624" t="n">
        <v>0</v>
      </c>
      <c r="P624" t="n">
        <v>0</v>
      </c>
      <c r="Q624" t="n">
        <v>0</v>
      </c>
      <c r="R624" t="n">
        <v>0</v>
      </c>
      <c r="S624" t="n">
        <v>0</v>
      </c>
      <c r="T624" t="n">
        <v>0</v>
      </c>
      <c r="U624" s="2" t="inlineStr"/>
    </row>
    <row r="625" ht="15" customHeight="1">
      <c r="A625" t="inlineStr">
        <is>
          <t>A 62006-2024</t>
        </is>
      </c>
      <c r="B625" t="inlineStr">
        <is>
          <t>avverkningsanmälan</t>
        </is>
      </c>
      <c r="C625" t="inlineStr">
        <is>
          <t>Föryngringsavverkning</t>
        </is>
      </c>
      <c r="D625" s="1" t="n">
        <v>45655</v>
      </c>
      <c r="E625" s="1" t="n">
        <v>46220</v>
      </c>
      <c r="F625" t="inlineStr">
        <is>
          <t>UPPSALA LÄN</t>
        </is>
      </c>
      <c r="G625" t="inlineStr">
        <is>
          <t>TIERP</t>
        </is>
      </c>
      <c r="I625" t="n">
        <v>4.2</v>
      </c>
      <c r="J625" t="n">
        <v>0</v>
      </c>
      <c r="K625" t="n">
        <v>0</v>
      </c>
      <c r="L625" t="n">
        <v>0</v>
      </c>
      <c r="M625" t="n">
        <v>0</v>
      </c>
      <c r="N625" t="n">
        <v>0</v>
      </c>
      <c r="O625" t="n">
        <v>0</v>
      </c>
      <c r="P625" t="n">
        <v>0</v>
      </c>
      <c r="Q625" t="n">
        <v>0</v>
      </c>
      <c r="R625" t="n">
        <v>0</v>
      </c>
      <c r="S625" t="n">
        <v>0</v>
      </c>
      <c r="T625" t="n">
        <v>0</v>
      </c>
      <c r="U625" s="2" t="inlineStr"/>
    </row>
    <row r="626" ht="15" customHeight="1">
      <c r="A626" t="inlineStr">
        <is>
          <t>A 29649-2026</t>
        </is>
      </c>
      <c r="B626" t="inlineStr">
        <is>
          <t>avverkningsanmälan</t>
        </is>
      </c>
      <c r="C626" t="inlineStr">
        <is>
          <t>Föryngringsavverkning</t>
        </is>
      </c>
      <c r="D626" s="1" t="n">
        <v>46204</v>
      </c>
      <c r="E626" s="1" t="n">
        <v>46220</v>
      </c>
      <c r="F626" t="inlineStr">
        <is>
          <t>UPPSALA LÄN</t>
        </is>
      </c>
      <c r="G626" t="inlineStr">
        <is>
          <t>TIERP</t>
        </is>
      </c>
      <c r="H626" t="inlineStr">
        <is>
          <t>Bergvik skog öst AB</t>
        </is>
      </c>
      <c r="I626" t="n">
        <v>7.3</v>
      </c>
      <c r="J626" t="n">
        <v>0</v>
      </c>
      <c r="K626" t="n">
        <v>0</v>
      </c>
      <c r="L626" t="n">
        <v>0</v>
      </c>
      <c r="M626" t="n">
        <v>0</v>
      </c>
      <c r="N626" t="n">
        <v>0</v>
      </c>
      <c r="O626" t="n">
        <v>0</v>
      </c>
      <c r="P626" t="n">
        <v>0</v>
      </c>
      <c r="Q626" t="n">
        <v>0</v>
      </c>
      <c r="R626" t="n">
        <v>0</v>
      </c>
      <c r="S626" t="n">
        <v>0</v>
      </c>
      <c r="T626" t="n">
        <v>0</v>
      </c>
      <c r="U626" s="2" t="inlineStr"/>
    </row>
    <row r="627" ht="15" customHeight="1">
      <c r="A627" t="inlineStr">
        <is>
          <t>A 28304-2026</t>
        </is>
      </c>
      <c r="B627" t="inlineStr">
        <is>
          <t>avverkningsanmälan</t>
        </is>
      </c>
      <c r="C627" t="inlineStr">
        <is>
          <t>Föryngringsavverkning</t>
        </is>
      </c>
      <c r="D627" s="1" t="n">
        <v>46196</v>
      </c>
      <c r="E627" s="1" t="n">
        <v>46220</v>
      </c>
      <c r="F627" t="inlineStr">
        <is>
          <t>UPPSALA LÄN</t>
        </is>
      </c>
      <c r="G627" t="inlineStr">
        <is>
          <t>TIERP</t>
        </is>
      </c>
      <c r="H627" t="inlineStr">
        <is>
          <t>Bergvik skog öst AB</t>
        </is>
      </c>
      <c r="I627" t="n">
        <v>2.9</v>
      </c>
      <c r="J627" t="n">
        <v>0</v>
      </c>
      <c r="K627" t="n">
        <v>0</v>
      </c>
      <c r="L627" t="n">
        <v>0</v>
      </c>
      <c r="M627" t="n">
        <v>0</v>
      </c>
      <c r="N627" t="n">
        <v>0</v>
      </c>
      <c r="O627" t="n">
        <v>0</v>
      </c>
      <c r="P627" t="n">
        <v>0</v>
      </c>
      <c r="Q627" t="n">
        <v>0</v>
      </c>
      <c r="R627" t="n">
        <v>0</v>
      </c>
      <c r="S627" t="n">
        <v>0</v>
      </c>
      <c r="T627" t="n">
        <v>0</v>
      </c>
      <c r="U627" s="2" t="inlineStr"/>
    </row>
    <row r="628" ht="15" customHeight="1">
      <c r="A628" t="inlineStr">
        <is>
          <t>A 30195-2026</t>
        </is>
      </c>
      <c r="B628" t="inlineStr">
        <is>
          <t>avverkningsanmälan</t>
        </is>
      </c>
      <c r="C628" t="inlineStr">
        <is>
          <t>Föryngringsavverkning</t>
        </is>
      </c>
      <c r="D628" s="1" t="n">
        <v>46206</v>
      </c>
      <c r="E628" s="1" t="n">
        <v>46220</v>
      </c>
      <c r="F628" t="inlineStr">
        <is>
          <t>UPPSALA LÄN</t>
        </is>
      </c>
      <c r="G628" t="inlineStr">
        <is>
          <t>TIERP</t>
        </is>
      </c>
      <c r="H628" t="inlineStr">
        <is>
          <t>Bergvik skog öst AB</t>
        </is>
      </c>
      <c r="I628" t="n">
        <v>5.4</v>
      </c>
      <c r="J628" t="n">
        <v>0</v>
      </c>
      <c r="K628" t="n">
        <v>0</v>
      </c>
      <c r="L628" t="n">
        <v>0</v>
      </c>
      <c r="M628" t="n">
        <v>0</v>
      </c>
      <c r="N628" t="n">
        <v>0</v>
      </c>
      <c r="O628" t="n">
        <v>0</v>
      </c>
      <c r="P628" t="n">
        <v>0</v>
      </c>
      <c r="Q628" t="n">
        <v>0</v>
      </c>
      <c r="R628" t="n">
        <v>0</v>
      </c>
      <c r="S628" t="n">
        <v>0</v>
      </c>
      <c r="T628" t="n">
        <v>0</v>
      </c>
      <c r="U628" s="2" t="inlineStr"/>
    </row>
    <row r="629" ht="15" customHeight="1">
      <c r="A629" t="inlineStr">
        <is>
          <t>A 41223-2023</t>
        </is>
      </c>
      <c r="B629" t="inlineStr">
        <is>
          <t>avverkningsanmälan</t>
        </is>
      </c>
      <c r="C629" t="inlineStr">
        <is>
          <t>Föryngringsavverkning</t>
        </is>
      </c>
      <c r="D629" s="1" t="n">
        <v>45174</v>
      </c>
      <c r="E629" s="1" t="n">
        <v>46220</v>
      </c>
      <c r="F629" t="inlineStr">
        <is>
          <t>UPPSALA LÄN</t>
        </is>
      </c>
      <c r="G629" t="inlineStr">
        <is>
          <t>TIERP</t>
        </is>
      </c>
      <c r="I629" t="n">
        <v>3.3</v>
      </c>
      <c r="J629" t="n">
        <v>0</v>
      </c>
      <c r="K629" t="n">
        <v>0</v>
      </c>
      <c r="L629" t="n">
        <v>0</v>
      </c>
      <c r="M629" t="n">
        <v>0</v>
      </c>
      <c r="N629" t="n">
        <v>0</v>
      </c>
      <c r="O629" t="n">
        <v>0</v>
      </c>
      <c r="P629" t="n">
        <v>0</v>
      </c>
      <c r="Q629" t="n">
        <v>0</v>
      </c>
      <c r="R629" t="n">
        <v>0</v>
      </c>
      <c r="S629" t="n">
        <v>0</v>
      </c>
      <c r="T629" t="n">
        <v>0</v>
      </c>
      <c r="U629" s="2" t="inlineStr"/>
    </row>
    <row r="630" ht="15" customHeight="1">
      <c r="A630" t="inlineStr">
        <is>
          <t>A 9238-2023</t>
        </is>
      </c>
      <c r="B630" t="inlineStr">
        <is>
          <t>avverkningsanmälan</t>
        </is>
      </c>
      <c r="C630" t="inlineStr">
        <is>
          <t>Föryngringsavverkning</t>
        </is>
      </c>
      <c r="D630" s="1" t="n">
        <v>44980</v>
      </c>
      <c r="E630" s="1" t="n">
        <v>46220</v>
      </c>
      <c r="F630" t="inlineStr">
        <is>
          <t>UPPSALA LÄN</t>
        </is>
      </c>
      <c r="G630" t="inlineStr">
        <is>
          <t>TIERP</t>
        </is>
      </c>
      <c r="I630" t="n">
        <v>4.8</v>
      </c>
      <c r="J630" t="n">
        <v>0</v>
      </c>
      <c r="K630" t="n">
        <v>0</v>
      </c>
      <c r="L630" t="n">
        <v>0</v>
      </c>
      <c r="M630" t="n">
        <v>0</v>
      </c>
      <c r="N630" t="n">
        <v>0</v>
      </c>
      <c r="O630" t="n">
        <v>0</v>
      </c>
      <c r="P630" t="n">
        <v>0</v>
      </c>
      <c r="Q630" t="n">
        <v>0</v>
      </c>
      <c r="R630" t="n">
        <v>0</v>
      </c>
      <c r="S630" t="n">
        <v>0</v>
      </c>
      <c r="T630" t="n">
        <v>0</v>
      </c>
      <c r="U630" s="2" t="inlineStr"/>
    </row>
    <row r="631" ht="15" customHeight="1">
      <c r="A631" t="inlineStr">
        <is>
          <t>A 9432-2023</t>
        </is>
      </c>
      <c r="B631" t="inlineStr">
        <is>
          <t>avverkningsanmälan</t>
        </is>
      </c>
      <c r="C631" t="inlineStr">
        <is>
          <t>Föryngringsavverkning</t>
        </is>
      </c>
      <c r="D631" s="1" t="n">
        <v>44981</v>
      </c>
      <c r="E631" s="1" t="n">
        <v>46220</v>
      </c>
      <c r="F631" t="inlineStr">
        <is>
          <t>UPPSALA LÄN</t>
        </is>
      </c>
      <c r="G631" t="inlineStr">
        <is>
          <t>TIERP</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2838-2025</t>
        </is>
      </c>
      <c r="B632" t="inlineStr">
        <is>
          <t>avverkningsanmälan</t>
        </is>
      </c>
      <c r="C632" t="inlineStr">
        <is>
          <t>Föryngringsavverkning</t>
        </is>
      </c>
      <c r="D632" s="1" t="n">
        <v>45677</v>
      </c>
      <c r="E632" s="1" t="n">
        <v>46220</v>
      </c>
      <c r="F632" t="inlineStr">
        <is>
          <t>UPPSALA LÄN</t>
        </is>
      </c>
      <c r="G632" t="inlineStr">
        <is>
          <t>TIERP</t>
        </is>
      </c>
      <c r="H632" t="inlineStr">
        <is>
          <t>Bergvik skog väst AB</t>
        </is>
      </c>
      <c r="I632" t="n">
        <v>9.300000000000001</v>
      </c>
      <c r="J632" t="n">
        <v>0</v>
      </c>
      <c r="K632" t="n">
        <v>0</v>
      </c>
      <c r="L632" t="n">
        <v>0</v>
      </c>
      <c r="M632" t="n">
        <v>0</v>
      </c>
      <c r="N632" t="n">
        <v>0</v>
      </c>
      <c r="O632" t="n">
        <v>0</v>
      </c>
      <c r="P632" t="n">
        <v>0</v>
      </c>
      <c r="Q632" t="n">
        <v>0</v>
      </c>
      <c r="R632" t="n">
        <v>0</v>
      </c>
      <c r="S632" t="n">
        <v>0</v>
      </c>
      <c r="T632" t="n">
        <v>0</v>
      </c>
      <c r="U632" s="2" t="inlineStr"/>
    </row>
    <row r="633" ht="15" customHeight="1">
      <c r="A633" t="inlineStr">
        <is>
          <t>A 20846-2024</t>
        </is>
      </c>
      <c r="B633" t="inlineStr">
        <is>
          <t>avverkningsanmälan</t>
        </is>
      </c>
      <c r="C633" t="inlineStr">
        <is>
          <t>Föryngringsavverkning</t>
        </is>
      </c>
      <c r="D633" s="1" t="n">
        <v>45439</v>
      </c>
      <c r="E633" s="1" t="n">
        <v>46220</v>
      </c>
      <c r="F633" t="inlineStr">
        <is>
          <t>UPPSALA LÄN</t>
        </is>
      </c>
      <c r="G633" t="inlineStr">
        <is>
          <t>TIERP</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30634-2026</t>
        </is>
      </c>
      <c r="B634" t="inlineStr">
        <is>
          <t>avverkningsanmälan</t>
        </is>
      </c>
      <c r="C634" t="inlineStr">
        <is>
          <t>Föryngringsavverkning</t>
        </is>
      </c>
      <c r="D634" s="1" t="n">
        <v>46211</v>
      </c>
      <c r="E634" s="1" t="n">
        <v>46220</v>
      </c>
      <c r="F634" t="inlineStr">
        <is>
          <t>UPPSALA LÄN</t>
        </is>
      </c>
      <c r="G634" t="inlineStr">
        <is>
          <t>TIERP</t>
        </is>
      </c>
      <c r="H634" t="inlineStr">
        <is>
          <t>Övriga Aktiebolag</t>
        </is>
      </c>
      <c r="I634" t="n">
        <v>4.3</v>
      </c>
      <c r="J634" t="n">
        <v>0</v>
      </c>
      <c r="K634" t="n">
        <v>0</v>
      </c>
      <c r="L634" t="n">
        <v>0</v>
      </c>
      <c r="M634" t="n">
        <v>0</v>
      </c>
      <c r="N634" t="n">
        <v>0</v>
      </c>
      <c r="O634" t="n">
        <v>0</v>
      </c>
      <c r="P634" t="n">
        <v>0</v>
      </c>
      <c r="Q634" t="n">
        <v>0</v>
      </c>
      <c r="R634" t="n">
        <v>0</v>
      </c>
      <c r="S634" t="n">
        <v>0</v>
      </c>
      <c r="T634" t="n">
        <v>0</v>
      </c>
      <c r="U634" s="2" t="inlineStr"/>
    </row>
    <row r="635" ht="15" customHeight="1">
      <c r="A635" t="inlineStr">
        <is>
          <t>A 30575-2026</t>
        </is>
      </c>
      <c r="B635" t="inlineStr">
        <is>
          <t>avverkningsanmälan</t>
        </is>
      </c>
      <c r="C635" t="inlineStr">
        <is>
          <t>Föryngringsavverkning</t>
        </is>
      </c>
      <c r="D635" s="1" t="n">
        <v>46210</v>
      </c>
      <c r="E635" s="1" t="n">
        <v>46220</v>
      </c>
      <c r="F635" t="inlineStr">
        <is>
          <t>UPPSALA LÄN</t>
        </is>
      </c>
      <c r="G635" t="inlineStr">
        <is>
          <t>TIERP</t>
        </is>
      </c>
      <c r="H635" t="inlineStr">
        <is>
          <t>Bergvik skog öst AB</t>
        </is>
      </c>
      <c r="I635" t="n">
        <v>2.4</v>
      </c>
      <c r="J635" t="n">
        <v>0</v>
      </c>
      <c r="K635" t="n">
        <v>0</v>
      </c>
      <c r="L635" t="n">
        <v>0</v>
      </c>
      <c r="M635" t="n">
        <v>0</v>
      </c>
      <c r="N635" t="n">
        <v>0</v>
      </c>
      <c r="O635" t="n">
        <v>0</v>
      </c>
      <c r="P635" t="n">
        <v>0</v>
      </c>
      <c r="Q635" t="n">
        <v>0</v>
      </c>
      <c r="R635" t="n">
        <v>0</v>
      </c>
      <c r="S635" t="n">
        <v>0</v>
      </c>
      <c r="T635" t="n">
        <v>0</v>
      </c>
      <c r="U635" s="2" t="inlineStr"/>
    </row>
    <row r="636" ht="15" customHeight="1">
      <c r="A636" t="inlineStr">
        <is>
          <t>A 25363-2022</t>
        </is>
      </c>
      <c r="B636" t="inlineStr">
        <is>
          <t>avverkningsanmälan</t>
        </is>
      </c>
      <c r="C636" t="inlineStr">
        <is>
          <t>Föryngringsavverkning</t>
        </is>
      </c>
      <c r="D636" s="1" t="n">
        <v>44732</v>
      </c>
      <c r="E636" s="1" t="n">
        <v>46220</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30979-2026</t>
        </is>
      </c>
      <c r="B637" t="inlineStr">
        <is>
          <t>avverkningsanmälan</t>
        </is>
      </c>
      <c r="C637" t="inlineStr">
        <is>
          <t>Föryngringsavverkning</t>
        </is>
      </c>
      <c r="D637" s="1" t="n">
        <v>46213</v>
      </c>
      <c r="E637" s="1" t="n">
        <v>46220</v>
      </c>
      <c r="F637" t="inlineStr">
        <is>
          <t>UPPSALA LÄN</t>
        </is>
      </c>
      <c r="G637" t="inlineStr">
        <is>
          <t>TIERP</t>
        </is>
      </c>
      <c r="H637" t="inlineStr">
        <is>
          <t>Bergvik skog öst AB</t>
        </is>
      </c>
      <c r="I637" t="n">
        <v>6.4</v>
      </c>
      <c r="J637" t="n">
        <v>0</v>
      </c>
      <c r="K637" t="n">
        <v>0</v>
      </c>
      <c r="L637" t="n">
        <v>0</v>
      </c>
      <c r="M637" t="n">
        <v>0</v>
      </c>
      <c r="N637" t="n">
        <v>0</v>
      </c>
      <c r="O637" t="n">
        <v>0</v>
      </c>
      <c r="P637" t="n">
        <v>0</v>
      </c>
      <c r="Q637" t="n">
        <v>0</v>
      </c>
      <c r="R637" t="n">
        <v>0</v>
      </c>
      <c r="S637" t="n">
        <v>0</v>
      </c>
      <c r="T637" t="n">
        <v>0</v>
      </c>
      <c r="U637" s="2" t="inlineStr"/>
    </row>
    <row r="638" ht="15" customHeight="1">
      <c r="A638" t="inlineStr">
        <is>
          <t>A 47968-2023</t>
        </is>
      </c>
      <c r="B638" t="inlineStr">
        <is>
          <t>avverkningsanmälan</t>
        </is>
      </c>
      <c r="C638" t="inlineStr">
        <is>
          <t>Föryngringsavverkning</t>
        </is>
      </c>
      <c r="D638" s="1" t="n">
        <v>45204</v>
      </c>
      <c r="E638" s="1" t="n">
        <v>46220</v>
      </c>
      <c r="F638" t="inlineStr">
        <is>
          <t>UPPSALA LÄN</t>
        </is>
      </c>
      <c r="G638" t="inlineStr">
        <is>
          <t>TIERP</t>
        </is>
      </c>
      <c r="I638" t="n">
        <v>1.5</v>
      </c>
      <c r="J638" t="n">
        <v>0</v>
      </c>
      <c r="K638" t="n">
        <v>0</v>
      </c>
      <c r="L638" t="n">
        <v>0</v>
      </c>
      <c r="M638" t="n">
        <v>0</v>
      </c>
      <c r="N638" t="n">
        <v>0</v>
      </c>
      <c r="O638" t="n">
        <v>0</v>
      </c>
      <c r="P638" t="n">
        <v>0</v>
      </c>
      <c r="Q638" t="n">
        <v>0</v>
      </c>
      <c r="R638" t="n">
        <v>0</v>
      </c>
      <c r="S638" t="n">
        <v>0</v>
      </c>
      <c r="T638" t="n">
        <v>0</v>
      </c>
      <c r="U638" s="2" t="inlineStr"/>
    </row>
    <row r="639" ht="15" customHeight="1">
      <c r="A639" t="inlineStr">
        <is>
          <t>A 30794-2026</t>
        </is>
      </c>
      <c r="B639" t="inlineStr">
        <is>
          <t>avverkningsanmälan</t>
        </is>
      </c>
      <c r="C639" t="inlineStr">
        <is>
          <t>Föryngringsavverkning</t>
        </is>
      </c>
      <c r="D639" s="1" t="n">
        <v>46212</v>
      </c>
      <c r="E639" s="1" t="n">
        <v>46220</v>
      </c>
      <c r="F639" t="inlineStr">
        <is>
          <t>UPPSALA LÄN</t>
        </is>
      </c>
      <c r="G639" t="inlineStr">
        <is>
          <t>TIERP</t>
        </is>
      </c>
      <c r="H639" t="inlineStr">
        <is>
          <t>Övriga Aktiebolag</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16851-2025</t>
        </is>
      </c>
      <c r="B640" t="inlineStr">
        <is>
          <t>avverkningsanmälan</t>
        </is>
      </c>
      <c r="C640" t="inlineStr">
        <is>
          <t>Föryngringsavverkning</t>
        </is>
      </c>
      <c r="D640" s="1" t="n">
        <v>45754</v>
      </c>
      <c r="E640" s="1" t="n">
        <v>46220</v>
      </c>
      <c r="F640" t="inlineStr">
        <is>
          <t>UPPSALA LÄN</t>
        </is>
      </c>
      <c r="G640" t="inlineStr">
        <is>
          <t>TIERP</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48735-2023</t>
        </is>
      </c>
      <c r="B641" t="inlineStr">
        <is>
          <t>avverkningsanmälan</t>
        </is>
      </c>
      <c r="C641" t="inlineStr">
        <is>
          <t>Föryngringsavverkning</t>
        </is>
      </c>
      <c r="D641" s="1" t="n">
        <v>45203</v>
      </c>
      <c r="E641" s="1" t="n">
        <v>46220</v>
      </c>
      <c r="F641" t="inlineStr">
        <is>
          <t>UPPSALA LÄN</t>
        </is>
      </c>
      <c r="G641" t="inlineStr">
        <is>
          <t>TIERP</t>
        </is>
      </c>
      <c r="H641" t="inlineStr">
        <is>
          <t>Bergvik skog väst AB</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30932-2026</t>
        </is>
      </c>
      <c r="B642" t="inlineStr">
        <is>
          <t>avverkningsanmälan</t>
        </is>
      </c>
      <c r="C642" t="inlineStr">
        <is>
          <t>Föryngringsavverkning</t>
        </is>
      </c>
      <c r="D642" s="1" t="n">
        <v>46213</v>
      </c>
      <c r="E642" s="1" t="n">
        <v>46220</v>
      </c>
      <c r="F642" t="inlineStr">
        <is>
          <t>UPPSALA LÄN</t>
        </is>
      </c>
      <c r="G642" t="inlineStr">
        <is>
          <t>TIERP</t>
        </is>
      </c>
      <c r="H642" t="inlineStr">
        <is>
          <t>Bergvik skog väst AB</t>
        </is>
      </c>
      <c r="I642" t="n">
        <v>4.2</v>
      </c>
      <c r="J642" t="n">
        <v>0</v>
      </c>
      <c r="K642" t="n">
        <v>0</v>
      </c>
      <c r="L642" t="n">
        <v>0</v>
      </c>
      <c r="M642" t="n">
        <v>0</v>
      </c>
      <c r="N642" t="n">
        <v>0</v>
      </c>
      <c r="O642" t="n">
        <v>0</v>
      </c>
      <c r="P642" t="n">
        <v>0</v>
      </c>
      <c r="Q642" t="n">
        <v>0</v>
      </c>
      <c r="R642" t="n">
        <v>0</v>
      </c>
      <c r="S642" t="n">
        <v>0</v>
      </c>
      <c r="T642" t="n">
        <v>0</v>
      </c>
      <c r="U642" s="2" t="inlineStr"/>
    </row>
    <row r="643" ht="15" customHeight="1">
      <c r="A643" t="inlineStr">
        <is>
          <t>A 22110-2026</t>
        </is>
      </c>
      <c r="B643" t="inlineStr">
        <is>
          <t>avverkningsanmälan</t>
        </is>
      </c>
      <c r="C643" t="inlineStr">
        <is>
          <t>Avverkning för annat ändamål</t>
        </is>
      </c>
      <c r="D643" s="1" t="n">
        <v>46153</v>
      </c>
      <c r="E643" s="1" t="n">
        <v>46220</v>
      </c>
      <c r="F643" t="inlineStr">
        <is>
          <t>UPPSALA LÄN</t>
        </is>
      </c>
      <c r="G643" t="inlineStr">
        <is>
          <t>TIERP</t>
        </is>
      </c>
      <c r="H643" t="inlineStr">
        <is>
          <t>Kyrkan</t>
        </is>
      </c>
      <c r="I643" t="n">
        <v>0.5</v>
      </c>
      <c r="J643" t="n">
        <v>0</v>
      </c>
      <c r="K643" t="n">
        <v>0</v>
      </c>
      <c r="L643" t="n">
        <v>0</v>
      </c>
      <c r="M643" t="n">
        <v>0</v>
      </c>
      <c r="N643" t="n">
        <v>0</v>
      </c>
      <c r="O643" t="n">
        <v>0</v>
      </c>
      <c r="P643" t="n">
        <v>0</v>
      </c>
      <c r="Q643" t="n">
        <v>0</v>
      </c>
      <c r="R643" t="n">
        <v>0</v>
      </c>
      <c r="S643" t="n">
        <v>0</v>
      </c>
      <c r="T643" t="n">
        <v>0</v>
      </c>
      <c r="U643" s="2" t="inlineStr"/>
    </row>
    <row r="644" ht="15" customHeight="1">
      <c r="A644" t="inlineStr">
        <is>
          <t>A 23154-2023</t>
        </is>
      </c>
      <c r="B644" t="inlineStr">
        <is>
          <t>avverkningsanmälan</t>
        </is>
      </c>
      <c r="C644" t="inlineStr">
        <is>
          <t>Föryngringsavverkning</t>
        </is>
      </c>
      <c r="D644" s="1" t="n">
        <v>45075</v>
      </c>
      <c r="E644" s="1" t="n">
        <v>46220</v>
      </c>
      <c r="F644" t="inlineStr">
        <is>
          <t>UPPSALA LÄN</t>
        </is>
      </c>
      <c r="G644" t="inlineStr">
        <is>
          <t>TIERP</t>
        </is>
      </c>
      <c r="H644" t="inlineStr">
        <is>
          <t>Kyrkan</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30977-2026</t>
        </is>
      </c>
      <c r="B645" t="inlineStr">
        <is>
          <t>avverkningsanmälan</t>
        </is>
      </c>
      <c r="C645" t="inlineStr">
        <is>
          <t>Föryngringsavverkning</t>
        </is>
      </c>
      <c r="D645" s="1" t="n">
        <v>46213</v>
      </c>
      <c r="E645" s="1" t="n">
        <v>46220</v>
      </c>
      <c r="F645" t="inlineStr">
        <is>
          <t>UPPSALA LÄN</t>
        </is>
      </c>
      <c r="G645" t="inlineStr">
        <is>
          <t>TIERP</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30841-2026</t>
        </is>
      </c>
      <c r="B646" t="inlineStr">
        <is>
          <t>avverkningsanmälan</t>
        </is>
      </c>
      <c r="C646" t="inlineStr">
        <is>
          <t>Avverkning för att bevara och utveckla /försöksver</t>
        </is>
      </c>
      <c r="D646" s="1" t="n">
        <v>46212</v>
      </c>
      <c r="E646" s="1" t="n">
        <v>46220</v>
      </c>
      <c r="F646" t="inlineStr">
        <is>
          <t>UPPSALA LÄN</t>
        </is>
      </c>
      <c r="G646" t="inlineStr">
        <is>
          <t>TIERP</t>
        </is>
      </c>
      <c r="H646" t="inlineStr">
        <is>
          <t>Kommuner</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24558-2026</t>
        </is>
      </c>
      <c r="B647" t="inlineStr">
        <is>
          <t>avverkningsanmälan</t>
        </is>
      </c>
      <c r="C647" t="inlineStr">
        <is>
          <t>Föryngringsavverkning</t>
        </is>
      </c>
      <c r="D647" s="1" t="n">
        <v>46170</v>
      </c>
      <c r="E647" s="1" t="n">
        <v>46220</v>
      </c>
      <c r="F647" t="inlineStr">
        <is>
          <t>UPPSALA LÄN</t>
        </is>
      </c>
      <c r="G647" t="inlineStr">
        <is>
          <t>TIERP</t>
        </is>
      </c>
      <c r="H647" t="inlineStr">
        <is>
          <t>Bergvik skog väst AB</t>
        </is>
      </c>
      <c r="I647" t="n">
        <v>8.300000000000001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29103-2022</t>
        </is>
      </c>
      <c r="B648" t="inlineStr">
        <is>
          <t>avverkningsanmälan</t>
        </is>
      </c>
      <c r="C648" t="inlineStr">
        <is>
          <t>Föryngringsavverkning</t>
        </is>
      </c>
      <c r="D648" s="1" t="n">
        <v>44750</v>
      </c>
      <c r="E648" s="1" t="n">
        <v>46220</v>
      </c>
      <c r="F648" t="inlineStr">
        <is>
          <t>UPPSALA LÄN</t>
        </is>
      </c>
      <c r="G648" t="inlineStr">
        <is>
          <t>TIERP</t>
        </is>
      </c>
      <c r="H648" t="inlineStr">
        <is>
          <t>Bergvik skog väst AB</t>
        </is>
      </c>
      <c r="I648" t="n">
        <v>3.1</v>
      </c>
      <c r="J648" t="n">
        <v>0</v>
      </c>
      <c r="K648" t="n">
        <v>0</v>
      </c>
      <c r="L648" t="n">
        <v>0</v>
      </c>
      <c r="M648" t="n">
        <v>0</v>
      </c>
      <c r="N648" t="n">
        <v>0</v>
      </c>
      <c r="O648" t="n">
        <v>0</v>
      </c>
      <c r="P648" t="n">
        <v>0</v>
      </c>
      <c r="Q648" t="n">
        <v>0</v>
      </c>
      <c r="R648" t="n">
        <v>0</v>
      </c>
      <c r="S648" t="n">
        <v>0</v>
      </c>
      <c r="T648" t="n">
        <v>0</v>
      </c>
      <c r="U648" s="2" t="inlineStr"/>
    </row>
    <row r="649" ht="15" customHeight="1">
      <c r="A649" t="inlineStr">
        <is>
          <t>A 24661-2026</t>
        </is>
      </c>
      <c r="B649" t="inlineStr">
        <is>
          <t>avverkningsanmälan</t>
        </is>
      </c>
      <c r="C649" t="inlineStr">
        <is>
          <t>Föryngringsavverkning</t>
        </is>
      </c>
      <c r="D649" s="1" t="n">
        <v>46171</v>
      </c>
      <c r="E649" s="1" t="n">
        <v>46220</v>
      </c>
      <c r="F649" t="inlineStr">
        <is>
          <t>UPPSALA LÄN</t>
        </is>
      </c>
      <c r="G649" t="inlineStr">
        <is>
          <t>TIERP</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36029-2025</t>
        </is>
      </c>
      <c r="B650" t="inlineStr">
        <is>
          <t>avverkningsanmälan</t>
        </is>
      </c>
      <c r="C650" t="inlineStr">
        <is>
          <t>Föryngringsavverkning</t>
        </is>
      </c>
      <c r="D650" s="1" t="n">
        <v>45865</v>
      </c>
      <c r="E650" s="1" t="n">
        <v>46220</v>
      </c>
      <c r="F650" t="inlineStr">
        <is>
          <t>UPPSALA LÄN</t>
        </is>
      </c>
      <c r="G650" t="inlineStr">
        <is>
          <t>TIERP</t>
        </is>
      </c>
      <c r="H650" t="inlineStr">
        <is>
          <t>Bergvik skog väst AB</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54764-2022</t>
        </is>
      </c>
      <c r="B651" t="inlineStr">
        <is>
          <t>avverkningsanmälan</t>
        </is>
      </c>
      <c r="C651" t="inlineStr">
        <is>
          <t>Föryngringsavverkning</t>
        </is>
      </c>
      <c r="D651" s="1" t="n">
        <v>44883</v>
      </c>
      <c r="E651" s="1" t="n">
        <v>46220</v>
      </c>
      <c r="F651" t="inlineStr">
        <is>
          <t>UPPSALA LÄN</t>
        </is>
      </c>
      <c r="G651" t="inlineStr">
        <is>
          <t>TIERP</t>
        </is>
      </c>
      <c r="I651" t="n">
        <v>8.699999999999999</v>
      </c>
      <c r="J651" t="n">
        <v>0</v>
      </c>
      <c r="K651" t="n">
        <v>0</v>
      </c>
      <c r="L651" t="n">
        <v>0</v>
      </c>
      <c r="M651" t="n">
        <v>0</v>
      </c>
      <c r="N651" t="n">
        <v>0</v>
      </c>
      <c r="O651" t="n">
        <v>0</v>
      </c>
      <c r="P651" t="n">
        <v>0</v>
      </c>
      <c r="Q651" t="n">
        <v>0</v>
      </c>
      <c r="R651" t="n">
        <v>0</v>
      </c>
      <c r="S651" t="n">
        <v>0</v>
      </c>
      <c r="T651" t="n">
        <v>0</v>
      </c>
      <c r="U651" s="2" t="inlineStr"/>
    </row>
    <row r="652" ht="15" customHeight="1">
      <c r="A652" t="inlineStr">
        <is>
          <t>A 39928-2023</t>
        </is>
      </c>
      <c r="B652" t="inlineStr">
        <is>
          <t>avverkningsanmälan</t>
        </is>
      </c>
      <c r="C652" t="inlineStr">
        <is>
          <t>Föryngringsavverkning</t>
        </is>
      </c>
      <c r="D652" s="1" t="n">
        <v>45167</v>
      </c>
      <c r="E652" s="1" t="n">
        <v>46220</v>
      </c>
      <c r="F652" t="inlineStr">
        <is>
          <t>UPPSALA LÄN</t>
        </is>
      </c>
      <c r="G652" t="inlineStr">
        <is>
          <t>TIERP</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25433-2026</t>
        </is>
      </c>
      <c r="B653" t="inlineStr">
        <is>
          <t>avverkningsanmälan</t>
        </is>
      </c>
      <c r="C653" t="inlineStr">
        <is>
          <t>Föryngringsavverkning</t>
        </is>
      </c>
      <c r="D653" s="1" t="n">
        <v>46177</v>
      </c>
      <c r="E653" s="1" t="n">
        <v>46220</v>
      </c>
      <c r="F653" t="inlineStr">
        <is>
          <t>UPPSALA LÄN</t>
        </is>
      </c>
      <c r="G653" t="inlineStr">
        <is>
          <t>TIERP</t>
        </is>
      </c>
      <c r="H653" t="inlineStr">
        <is>
          <t>Bergvik skog öst AB</t>
        </is>
      </c>
      <c r="I653" t="n">
        <v>4</v>
      </c>
      <c r="J653" t="n">
        <v>0</v>
      </c>
      <c r="K653" t="n">
        <v>0</v>
      </c>
      <c r="L653" t="n">
        <v>0</v>
      </c>
      <c r="M653" t="n">
        <v>0</v>
      </c>
      <c r="N653" t="n">
        <v>0</v>
      </c>
      <c r="O653" t="n">
        <v>0</v>
      </c>
      <c r="P653" t="n">
        <v>0</v>
      </c>
      <c r="Q653" t="n">
        <v>0</v>
      </c>
      <c r="R653" t="n">
        <v>0</v>
      </c>
      <c r="S653" t="n">
        <v>0</v>
      </c>
      <c r="T653" t="n">
        <v>0</v>
      </c>
      <c r="U653" s="2" t="inlineStr"/>
    </row>
    <row r="654" ht="15" customHeight="1">
      <c r="A654" t="inlineStr">
        <is>
          <t>A 61717-2022</t>
        </is>
      </c>
      <c r="B654" t="inlineStr">
        <is>
          <t>avverkningsanmälan</t>
        </is>
      </c>
      <c r="C654" t="inlineStr">
        <is>
          <t>Avverkning för annat ändamål</t>
        </is>
      </c>
      <c r="D654" s="1" t="n">
        <v>44917</v>
      </c>
      <c r="E654" s="1" t="n">
        <v>46220</v>
      </c>
      <c r="F654" t="inlineStr">
        <is>
          <t>UPPSALA LÄN</t>
        </is>
      </c>
      <c r="G654" t="inlineStr">
        <is>
          <t>TIERP</t>
        </is>
      </c>
      <c r="I654" t="n">
        <v>3.2</v>
      </c>
      <c r="J654" t="n">
        <v>0</v>
      </c>
      <c r="K654" t="n">
        <v>0</v>
      </c>
      <c r="L654" t="n">
        <v>0</v>
      </c>
      <c r="M654" t="n">
        <v>0</v>
      </c>
      <c r="N654" t="n">
        <v>0</v>
      </c>
      <c r="O654" t="n">
        <v>0</v>
      </c>
      <c r="P654" t="n">
        <v>0</v>
      </c>
      <c r="Q654" t="n">
        <v>0</v>
      </c>
      <c r="R654" t="n">
        <v>0</v>
      </c>
      <c r="S654" t="n">
        <v>0</v>
      </c>
      <c r="T654" t="n">
        <v>0</v>
      </c>
      <c r="U654" s="2" t="inlineStr"/>
    </row>
    <row r="655" ht="15" customHeight="1">
      <c r="A655" t="inlineStr">
        <is>
          <t>A 36561-2022</t>
        </is>
      </c>
      <c r="B655" t="inlineStr">
        <is>
          <t>avverkningsanmälan</t>
        </is>
      </c>
      <c r="C655" t="inlineStr">
        <is>
          <t>Föryngringsavverkning</t>
        </is>
      </c>
      <c r="D655" s="1" t="n">
        <v>44804</v>
      </c>
      <c r="E655" s="1" t="n">
        <v>46220</v>
      </c>
      <c r="F655" t="inlineStr">
        <is>
          <t>UPPSALA LÄN</t>
        </is>
      </c>
      <c r="G655" t="inlineStr">
        <is>
          <t>TIERP</t>
        </is>
      </c>
      <c r="I655" t="n">
        <v>0.3</v>
      </c>
      <c r="J655" t="n">
        <v>0</v>
      </c>
      <c r="K655" t="n">
        <v>0</v>
      </c>
      <c r="L655" t="n">
        <v>0</v>
      </c>
      <c r="M655" t="n">
        <v>0</v>
      </c>
      <c r="N655" t="n">
        <v>0</v>
      </c>
      <c r="O655" t="n">
        <v>0</v>
      </c>
      <c r="P655" t="n">
        <v>0</v>
      </c>
      <c r="Q655" t="n">
        <v>0</v>
      </c>
      <c r="R655" t="n">
        <v>0</v>
      </c>
      <c r="S655" t="n">
        <v>0</v>
      </c>
      <c r="T655" t="n">
        <v>0</v>
      </c>
      <c r="U655" s="2" t="inlineStr"/>
      <c r="W655">
        <f>HYPERLINK("https://klasma.github.io/Logging_0360/kartor/A 36561-2022 karta.png", "A 36561-2022")</f>
        <v/>
      </c>
      <c r="Y655">
        <f>HYPERLINK("https://klasma.github.io/Logging_0360/klagomål/A 36561-2022 FSC-klagomål.docx", "A 36561-2022")</f>
        <v/>
      </c>
      <c r="Z655">
        <f>HYPERLINK("https://klasma.github.io/Logging_0360/klagomålsmail/A 36561-2022 FSC-klagomål mail.docx", "A 36561-2022")</f>
        <v/>
      </c>
      <c r="AA655">
        <f>HYPERLINK("https://klasma.github.io/Logging_0360/tillsyn/A 36561-2022 tillsynsbegäran.docx", "A 36561-2022")</f>
        <v/>
      </c>
      <c r="AB655">
        <f>HYPERLINK("https://klasma.github.io/Logging_0360/tillsynsmail/A 36561-2022 tillsynsbegäran mail.docx", "A 36561-2022")</f>
        <v/>
      </c>
    </row>
    <row r="656" ht="15" customHeight="1">
      <c r="A656" t="inlineStr">
        <is>
          <t>A 19172-2023</t>
        </is>
      </c>
      <c r="B656" t="inlineStr">
        <is>
          <t>avverkningsanmälan</t>
        </is>
      </c>
      <c r="C656" t="inlineStr">
        <is>
          <t>Avverkning för annat ändamål</t>
        </is>
      </c>
      <c r="D656" s="1" t="n">
        <v>45046</v>
      </c>
      <c r="E656" s="1" t="n">
        <v>46220</v>
      </c>
      <c r="F656" t="inlineStr">
        <is>
          <t>UPPSALA LÄN</t>
        </is>
      </c>
      <c r="G656" t="inlineStr">
        <is>
          <t>TIERP</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25634-2026</t>
        </is>
      </c>
      <c r="B657" t="inlineStr">
        <is>
          <t>avverkningsanmälan</t>
        </is>
      </c>
      <c r="C657" t="inlineStr">
        <is>
          <t>Föryngringsavverkning</t>
        </is>
      </c>
      <c r="D657" s="1" t="n">
        <v>46177</v>
      </c>
      <c r="E657" s="1" t="n">
        <v>46220</v>
      </c>
      <c r="F657" t="inlineStr">
        <is>
          <t>UPPSALA LÄN</t>
        </is>
      </c>
      <c r="G657" t="inlineStr">
        <is>
          <t>TIERP</t>
        </is>
      </c>
      <c r="I657" t="n">
        <v>6</v>
      </c>
      <c r="J657" t="n">
        <v>0</v>
      </c>
      <c r="K657" t="n">
        <v>0</v>
      </c>
      <c r="L657" t="n">
        <v>0</v>
      </c>
      <c r="M657" t="n">
        <v>0</v>
      </c>
      <c r="N657" t="n">
        <v>0</v>
      </c>
      <c r="O657" t="n">
        <v>0</v>
      </c>
      <c r="P657" t="n">
        <v>0</v>
      </c>
      <c r="Q657" t="n">
        <v>0</v>
      </c>
      <c r="R657" t="n">
        <v>0</v>
      </c>
      <c r="S657" t="n">
        <v>0</v>
      </c>
      <c r="T657" t="n">
        <v>0</v>
      </c>
      <c r="U657" s="2" t="inlineStr"/>
    </row>
    <row r="658" ht="15" customHeight="1">
      <c r="A658" t="inlineStr">
        <is>
          <t>A 25212-2026</t>
        </is>
      </c>
      <c r="B658" t="inlineStr">
        <is>
          <t>avverkningsanmälan</t>
        </is>
      </c>
      <c r="C658" t="inlineStr">
        <is>
          <t>Föryngringsavverkning</t>
        </is>
      </c>
      <c r="D658" s="1" t="n">
        <v>46175</v>
      </c>
      <c r="E658" s="1" t="n">
        <v>46220</v>
      </c>
      <c r="F658" t="inlineStr">
        <is>
          <t>UPPSALA LÄN</t>
        </is>
      </c>
      <c r="G658" t="inlineStr">
        <is>
          <t>TIERP</t>
        </is>
      </c>
      <c r="H658" t="inlineStr">
        <is>
          <t>Bergvik skog väst AB</t>
        </is>
      </c>
      <c r="I658" t="n">
        <v>32.5</v>
      </c>
      <c r="J658" t="n">
        <v>0</v>
      </c>
      <c r="K658" t="n">
        <v>0</v>
      </c>
      <c r="L658" t="n">
        <v>0</v>
      </c>
      <c r="M658" t="n">
        <v>0</v>
      </c>
      <c r="N658" t="n">
        <v>0</v>
      </c>
      <c r="O658" t="n">
        <v>0</v>
      </c>
      <c r="P658" t="n">
        <v>0</v>
      </c>
      <c r="Q658" t="n">
        <v>0</v>
      </c>
      <c r="R658" t="n">
        <v>0</v>
      </c>
      <c r="S658" t="n">
        <v>0</v>
      </c>
      <c r="T658" t="n">
        <v>0</v>
      </c>
      <c r="U658" s="2" t="inlineStr"/>
    </row>
    <row r="659" ht="15" customHeight="1">
      <c r="A659" t="inlineStr">
        <is>
          <t>A 14116-2024</t>
        </is>
      </c>
      <c r="B659" t="inlineStr">
        <is>
          <t>avverkningsanmälan</t>
        </is>
      </c>
      <c r="C659" t="inlineStr">
        <is>
          <t>Föryngringsavverkning</t>
        </is>
      </c>
      <c r="D659" s="1" t="n">
        <v>45392</v>
      </c>
      <c r="E659" s="1" t="n">
        <v>46220</v>
      </c>
      <c r="F659" t="inlineStr">
        <is>
          <t>UPPSALA LÄN</t>
        </is>
      </c>
      <c r="G659" t="inlineStr">
        <is>
          <t>TIERP</t>
        </is>
      </c>
      <c r="H659" t="inlineStr">
        <is>
          <t>Bergvik skog öst AB</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25627-2026</t>
        </is>
      </c>
      <c r="B660" t="inlineStr">
        <is>
          <t>avverkningsanmälan</t>
        </is>
      </c>
      <c r="C660" t="inlineStr">
        <is>
          <t>Föryngringsavverkning</t>
        </is>
      </c>
      <c r="D660" s="1" t="n">
        <v>46177</v>
      </c>
      <c r="E660" s="1" t="n">
        <v>46220</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31328-2026</t>
        </is>
      </c>
      <c r="B661" t="inlineStr">
        <is>
          <t>avverkningsanmälan</t>
        </is>
      </c>
      <c r="C661" t="inlineStr">
        <is>
          <t>Föryngringsavverkning</t>
        </is>
      </c>
      <c r="D661" s="1" t="n">
        <v>46219</v>
      </c>
      <c r="E661" s="1" t="n">
        <v>46220</v>
      </c>
      <c r="F661" t="inlineStr">
        <is>
          <t>UPPSALA LÄN</t>
        </is>
      </c>
      <c r="G661" t="inlineStr">
        <is>
          <t>TIERP</t>
        </is>
      </c>
      <c r="H661" t="inlineStr">
        <is>
          <t>Bergvik skog öst AB</t>
        </is>
      </c>
      <c r="I661" t="n">
        <v>15.2</v>
      </c>
      <c r="J661" t="n">
        <v>0</v>
      </c>
      <c r="K661" t="n">
        <v>0</v>
      </c>
      <c r="L661" t="n">
        <v>0</v>
      </c>
      <c r="M661" t="n">
        <v>0</v>
      </c>
      <c r="N661" t="n">
        <v>0</v>
      </c>
      <c r="O661" t="n">
        <v>0</v>
      </c>
      <c r="P661" t="n">
        <v>0</v>
      </c>
      <c r="Q661" t="n">
        <v>0</v>
      </c>
      <c r="R661" t="n">
        <v>0</v>
      </c>
      <c r="S661" t="n">
        <v>0</v>
      </c>
      <c r="T661" t="n">
        <v>0</v>
      </c>
      <c r="U661" s="2" t="inlineStr"/>
    </row>
    <row r="662" ht="15" customHeight="1">
      <c r="A662" t="inlineStr">
        <is>
          <t>A 22759-2024</t>
        </is>
      </c>
      <c r="B662" t="inlineStr">
        <is>
          <t>avverkningsanmälan</t>
        </is>
      </c>
      <c r="C662" t="inlineStr">
        <is>
          <t>Föryngringsavverkning</t>
        </is>
      </c>
      <c r="D662" s="1" t="n">
        <v>45448</v>
      </c>
      <c r="E662" s="1" t="n">
        <v>46220</v>
      </c>
      <c r="F662" t="inlineStr">
        <is>
          <t>UPPSALA LÄN</t>
        </is>
      </c>
      <c r="G662" t="inlineStr">
        <is>
          <t>TIERP</t>
        </is>
      </c>
      <c r="I662" t="n">
        <v>6.9</v>
      </c>
      <c r="J662" t="n">
        <v>0</v>
      </c>
      <c r="K662" t="n">
        <v>0</v>
      </c>
      <c r="L662" t="n">
        <v>0</v>
      </c>
      <c r="M662" t="n">
        <v>0</v>
      </c>
      <c r="N662" t="n">
        <v>0</v>
      </c>
      <c r="O662" t="n">
        <v>0</v>
      </c>
      <c r="P662" t="n">
        <v>0</v>
      </c>
      <c r="Q662" t="n">
        <v>0</v>
      </c>
      <c r="R662" t="n">
        <v>0</v>
      </c>
      <c r="S662" t="n">
        <v>0</v>
      </c>
      <c r="T662" t="n">
        <v>0</v>
      </c>
      <c r="U662" s="2" t="inlineStr"/>
    </row>
    <row r="663" ht="15" customHeight="1">
      <c r="A663" t="inlineStr">
        <is>
          <t>A 25267-2026</t>
        </is>
      </c>
      <c r="B663" t="inlineStr">
        <is>
          <t>avverkningsanmälan</t>
        </is>
      </c>
      <c r="C663" t="inlineStr">
        <is>
          <t>Föryngringsavverkning</t>
        </is>
      </c>
      <c r="D663" s="1" t="n">
        <v>46176</v>
      </c>
      <c r="E663" s="1" t="n">
        <v>46220</v>
      </c>
      <c r="F663" t="inlineStr">
        <is>
          <t>UPPSALA LÄN</t>
        </is>
      </c>
      <c r="G663" t="inlineStr">
        <is>
          <t>TIERP</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18423-2025</t>
        </is>
      </c>
      <c r="B664" t="inlineStr">
        <is>
          <t>avverkningsanmälan</t>
        </is>
      </c>
      <c r="C664" t="inlineStr">
        <is>
          <t>Föryngringsavverkning</t>
        </is>
      </c>
      <c r="D664" s="1" t="n">
        <v>45762</v>
      </c>
      <c r="E664" s="1" t="n">
        <v>46220</v>
      </c>
      <c r="F664" t="inlineStr">
        <is>
          <t>UPPSALA LÄN</t>
        </is>
      </c>
      <c r="G664" t="inlineStr">
        <is>
          <t>TIERP</t>
        </is>
      </c>
      <c r="H664" t="inlineStr">
        <is>
          <t>Bergvik skog öst AB</t>
        </is>
      </c>
      <c r="I664" t="n">
        <v>1.8</v>
      </c>
      <c r="J664" t="n">
        <v>0</v>
      </c>
      <c r="K664" t="n">
        <v>0</v>
      </c>
      <c r="L664" t="n">
        <v>0</v>
      </c>
      <c r="M664" t="n">
        <v>0</v>
      </c>
      <c r="N664" t="n">
        <v>0</v>
      </c>
      <c r="O664" t="n">
        <v>0</v>
      </c>
      <c r="P664" t="n">
        <v>0</v>
      </c>
      <c r="Q664" t="n">
        <v>0</v>
      </c>
      <c r="R664" t="n">
        <v>0</v>
      </c>
      <c r="S664" t="n">
        <v>0</v>
      </c>
      <c r="T664" t="n">
        <v>0</v>
      </c>
      <c r="U664" s="2" t="inlineStr"/>
    </row>
    <row r="665" ht="15" customHeight="1">
      <c r="A665" t="inlineStr">
        <is>
          <t>A 11568-2025</t>
        </is>
      </c>
      <c r="B665" t="inlineStr">
        <is>
          <t>avverkningsanmälan</t>
        </is>
      </c>
      <c r="C665" t="inlineStr">
        <is>
          <t>Föryngringsavverkning</t>
        </is>
      </c>
      <c r="D665" s="1" t="n">
        <v>45727</v>
      </c>
      <c r="E665" s="1" t="n">
        <v>46220</v>
      </c>
      <c r="F665" t="inlineStr">
        <is>
          <t>UPPSALA LÄN</t>
        </is>
      </c>
      <c r="G665" t="inlineStr">
        <is>
          <t>TIERP</t>
        </is>
      </c>
      <c r="H665" t="inlineStr">
        <is>
          <t>Bergvik skog öst AB</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26380-2023</t>
        </is>
      </c>
      <c r="B666" t="inlineStr">
        <is>
          <t>avverkningsanmälan</t>
        </is>
      </c>
      <c r="C666" t="inlineStr">
        <is>
          <t>Avverkning för att bevara och utveckla /försöksver</t>
        </is>
      </c>
      <c r="D666" s="1" t="n">
        <v>45092</v>
      </c>
      <c r="E666" s="1" t="n">
        <v>46220</v>
      </c>
      <c r="F666" t="inlineStr">
        <is>
          <t>UPPSALA LÄN</t>
        </is>
      </c>
      <c r="G666" t="inlineStr">
        <is>
          <t>TIERP</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13687-2024</t>
        </is>
      </c>
      <c r="B667" t="inlineStr">
        <is>
          <t>avverkningsanmälan</t>
        </is>
      </c>
      <c r="C667" t="inlineStr">
        <is>
          <t>Föryngringsavverkning</t>
        </is>
      </c>
      <c r="D667" s="1" t="n">
        <v>45390</v>
      </c>
      <c r="E667" s="1" t="n">
        <v>46220</v>
      </c>
      <c r="F667" t="inlineStr">
        <is>
          <t>UPPSALA LÄN</t>
        </is>
      </c>
      <c r="G667" t="inlineStr">
        <is>
          <t>TIERP</t>
        </is>
      </c>
      <c r="H667" t="inlineStr">
        <is>
          <t>Bergvik skog väst AB</t>
        </is>
      </c>
      <c r="I667" t="n">
        <v>1.5</v>
      </c>
      <c r="J667" t="n">
        <v>0</v>
      </c>
      <c r="K667" t="n">
        <v>0</v>
      </c>
      <c r="L667" t="n">
        <v>0</v>
      </c>
      <c r="M667" t="n">
        <v>0</v>
      </c>
      <c r="N667" t="n">
        <v>0</v>
      </c>
      <c r="O667" t="n">
        <v>0</v>
      </c>
      <c r="P667" t="n">
        <v>0</v>
      </c>
      <c r="Q667" t="n">
        <v>0</v>
      </c>
      <c r="R667" t="n">
        <v>0</v>
      </c>
      <c r="S667" t="n">
        <v>0</v>
      </c>
      <c r="T667" t="n">
        <v>0</v>
      </c>
      <c r="U667" s="2" t="inlineStr"/>
    </row>
    <row r="668" ht="15" customHeight="1">
      <c r="A668" t="inlineStr">
        <is>
          <t>A 16791-2023</t>
        </is>
      </c>
      <c r="B668" t="inlineStr">
        <is>
          <t>avverkningsanmälan</t>
        </is>
      </c>
      <c r="C668" t="inlineStr">
        <is>
          <t>Föryngringsavverkning</t>
        </is>
      </c>
      <c r="D668" s="1" t="n">
        <v>45033</v>
      </c>
      <c r="E668" s="1" t="n">
        <v>46220</v>
      </c>
      <c r="F668" t="inlineStr">
        <is>
          <t>UPPSALA LÄN</t>
        </is>
      </c>
      <c r="G668" t="inlineStr">
        <is>
          <t>TIERP</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59597-2024</t>
        </is>
      </c>
      <c r="B669" t="inlineStr">
        <is>
          <t>avverkningsanmälan</t>
        </is>
      </c>
      <c r="C669" t="inlineStr">
        <is>
          <t>Föryngringsavverkning</t>
        </is>
      </c>
      <c r="D669" s="1" t="n">
        <v>45638</v>
      </c>
      <c r="E669" s="1" t="n">
        <v>46220</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20641-2025</t>
        </is>
      </c>
      <c r="B670" t="inlineStr">
        <is>
          <t>avverkningsanmälan</t>
        </is>
      </c>
      <c r="C670" t="inlineStr">
        <is>
          <t>Föryngringsavverkning</t>
        </is>
      </c>
      <c r="D670" s="1" t="n">
        <v>45776</v>
      </c>
      <c r="E670" s="1" t="n">
        <v>46220</v>
      </c>
      <c r="F670" t="inlineStr">
        <is>
          <t>UPPSALA LÄN</t>
        </is>
      </c>
      <c r="G670" t="inlineStr">
        <is>
          <t>TIERP</t>
        </is>
      </c>
      <c r="H670" t="inlineStr">
        <is>
          <t>Bergvik skog öst AB</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32871-2024</t>
        </is>
      </c>
      <c r="B671" t="inlineStr">
        <is>
          <t>avverkningsanmälan</t>
        </is>
      </c>
      <c r="C671" t="inlineStr">
        <is>
          <t>Föryngringsavverkning</t>
        </is>
      </c>
      <c r="D671" s="1" t="n">
        <v>45516</v>
      </c>
      <c r="E671" s="1" t="n">
        <v>46220</v>
      </c>
      <c r="F671" t="inlineStr">
        <is>
          <t>UPPSALA LÄN</t>
        </is>
      </c>
      <c r="G671" t="inlineStr">
        <is>
          <t>TIERP</t>
        </is>
      </c>
      <c r="I671" t="n">
        <v>4.8</v>
      </c>
      <c r="J671" t="n">
        <v>0</v>
      </c>
      <c r="K671" t="n">
        <v>0</v>
      </c>
      <c r="L671" t="n">
        <v>0</v>
      </c>
      <c r="M671" t="n">
        <v>0</v>
      </c>
      <c r="N671" t="n">
        <v>0</v>
      </c>
      <c r="O671" t="n">
        <v>0</v>
      </c>
      <c r="P671" t="n">
        <v>0</v>
      </c>
      <c r="Q671" t="n">
        <v>0</v>
      </c>
      <c r="R671" t="n">
        <v>0</v>
      </c>
      <c r="S671" t="n">
        <v>0</v>
      </c>
      <c r="T671" t="n">
        <v>0</v>
      </c>
      <c r="U671" s="2" t="inlineStr"/>
    </row>
    <row r="672" ht="15" customHeight="1">
      <c r="A672" t="inlineStr">
        <is>
          <t>A 1951-2024</t>
        </is>
      </c>
      <c r="B672" t="inlineStr">
        <is>
          <t>avverkningsanmälan</t>
        </is>
      </c>
      <c r="C672" t="inlineStr">
        <is>
          <t>Föryngringsavverkning</t>
        </is>
      </c>
      <c r="D672" s="1" t="n">
        <v>45308</v>
      </c>
      <c r="E672" s="1" t="n">
        <v>46220</v>
      </c>
      <c r="F672" t="inlineStr">
        <is>
          <t>UPPSALA LÄN</t>
        </is>
      </c>
      <c r="G672" t="inlineStr">
        <is>
          <t>TIERP</t>
        </is>
      </c>
      <c r="I672" t="n">
        <v>1.2</v>
      </c>
      <c r="J672" t="n">
        <v>0</v>
      </c>
      <c r="K672" t="n">
        <v>0</v>
      </c>
      <c r="L672" t="n">
        <v>0</v>
      </c>
      <c r="M672" t="n">
        <v>0</v>
      </c>
      <c r="N672" t="n">
        <v>0</v>
      </c>
      <c r="O672" t="n">
        <v>0</v>
      </c>
      <c r="P672" t="n">
        <v>0</v>
      </c>
      <c r="Q672" t="n">
        <v>0</v>
      </c>
      <c r="R672" t="n">
        <v>0</v>
      </c>
      <c r="S672" t="n">
        <v>0</v>
      </c>
      <c r="T672" t="n">
        <v>0</v>
      </c>
      <c r="U672" s="2" t="inlineStr"/>
    </row>
    <row r="673" ht="15" customHeight="1">
      <c r="A673" t="inlineStr">
        <is>
          <t>A 8958-2024</t>
        </is>
      </c>
      <c r="B673" t="inlineStr">
        <is>
          <t>avverkningsanmälan</t>
        </is>
      </c>
      <c r="C673" t="inlineStr">
        <is>
          <t>Föryngringsavverkning</t>
        </is>
      </c>
      <c r="D673" s="1" t="n">
        <v>45357</v>
      </c>
      <c r="E673" s="1" t="n">
        <v>46220</v>
      </c>
      <c r="F673" t="inlineStr">
        <is>
          <t>UPPSALA LÄN</t>
        </is>
      </c>
      <c r="G673" t="inlineStr">
        <is>
          <t>TIERP</t>
        </is>
      </c>
      <c r="I673" t="n">
        <v>3.8</v>
      </c>
      <c r="J673" t="n">
        <v>0</v>
      </c>
      <c r="K673" t="n">
        <v>0</v>
      </c>
      <c r="L673" t="n">
        <v>0</v>
      </c>
      <c r="M673" t="n">
        <v>0</v>
      </c>
      <c r="N673" t="n">
        <v>0</v>
      </c>
      <c r="O673" t="n">
        <v>0</v>
      </c>
      <c r="P673" t="n">
        <v>0</v>
      </c>
      <c r="Q673" t="n">
        <v>0</v>
      </c>
      <c r="R673" t="n">
        <v>0</v>
      </c>
      <c r="S673" t="n">
        <v>0</v>
      </c>
      <c r="T673" t="n">
        <v>0</v>
      </c>
      <c r="U673" s="2" t="inlineStr"/>
    </row>
    <row r="674" ht="15" customHeight="1">
      <c r="A674" t="inlineStr">
        <is>
          <t>A 22083-2025</t>
        </is>
      </c>
      <c r="B674" t="inlineStr">
        <is>
          <t>avverkningsanmälan</t>
        </is>
      </c>
      <c r="C674" t="inlineStr">
        <is>
          <t>Föryngringsavverkning</t>
        </is>
      </c>
      <c r="D674" s="1" t="n">
        <v>45785</v>
      </c>
      <c r="E674" s="1" t="n">
        <v>46220</v>
      </c>
      <c r="F674" t="inlineStr">
        <is>
          <t>UPPSALA LÄN</t>
        </is>
      </c>
      <c r="G674" t="inlineStr">
        <is>
          <t>TIERP</t>
        </is>
      </c>
      <c r="I674" t="n">
        <v>8</v>
      </c>
      <c r="J674" t="n">
        <v>0</v>
      </c>
      <c r="K674" t="n">
        <v>0</v>
      </c>
      <c r="L674" t="n">
        <v>0</v>
      </c>
      <c r="M674" t="n">
        <v>0</v>
      </c>
      <c r="N674" t="n">
        <v>0</v>
      </c>
      <c r="O674" t="n">
        <v>0</v>
      </c>
      <c r="P674" t="n">
        <v>0</v>
      </c>
      <c r="Q674" t="n">
        <v>0</v>
      </c>
      <c r="R674" t="n">
        <v>0</v>
      </c>
      <c r="S674" t="n">
        <v>0</v>
      </c>
      <c r="T674" t="n">
        <v>0</v>
      </c>
      <c r="U674" s="2" t="inlineStr"/>
    </row>
    <row r="675" ht="15" customHeight="1">
      <c r="A675" t="inlineStr">
        <is>
          <t>A 35001-2024</t>
        </is>
      </c>
      <c r="B675" t="inlineStr">
        <is>
          <t>avverkningsanmälan</t>
        </is>
      </c>
      <c r="C675" t="inlineStr">
        <is>
          <t>Föryngringsavverkning</t>
        </is>
      </c>
      <c r="D675" s="1" t="n">
        <v>45527</v>
      </c>
      <c r="E675" s="1" t="n">
        <v>46220</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s="2" t="inlineStr"/>
    </row>
    <row r="676" ht="15" customHeight="1">
      <c r="A676" t="inlineStr">
        <is>
          <t>A 23201-2025</t>
        </is>
      </c>
      <c r="B676" t="inlineStr">
        <is>
          <t>avverkningsanmälan</t>
        </is>
      </c>
      <c r="C676" t="inlineStr">
        <is>
          <t>Föryngringsavverkning</t>
        </is>
      </c>
      <c r="D676" s="1" t="n">
        <v>45791</v>
      </c>
      <c r="E676" s="1" t="n">
        <v>46220</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S 5066-2024</t>
        </is>
      </c>
      <c r="B677" t="inlineStr">
        <is>
          <t>samrådsanmälan</t>
        </is>
      </c>
      <c r="C677" t="inlineStr">
        <is>
          <t>Skogsgödsling</t>
        </is>
      </c>
      <c r="D677" s="1" t="n">
        <v>45638</v>
      </c>
      <c r="E677" s="1" t="n">
        <v>46220</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s="2" t="inlineStr"/>
    </row>
    <row r="678" ht="15" customHeight="1">
      <c r="A678" t="inlineStr">
        <is>
          <t>S 192-2024</t>
        </is>
      </c>
      <c r="B678" t="inlineStr">
        <is>
          <t>samrådsanmälan</t>
        </is>
      </c>
      <c r="C678" t="inlineStr">
        <is>
          <t>Skogsgödsling</t>
        </is>
      </c>
      <c r="D678" s="1" t="n">
        <v>45315</v>
      </c>
      <c r="E678" s="1" t="n">
        <v>46220</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s="2" t="inlineStr"/>
    </row>
    <row r="679" ht="15" customHeight="1">
      <c r="A679" t="inlineStr">
        <is>
          <t>S 407-2022</t>
        </is>
      </c>
      <c r="B679" t="inlineStr">
        <is>
          <t>samrådsanmälan</t>
        </is>
      </c>
      <c r="C679" t="inlineStr">
        <is>
          <t>Skogsgödsling</t>
        </is>
      </c>
      <c r="D679" s="1" t="n">
        <v>44585</v>
      </c>
      <c r="E679" s="1" t="n">
        <v>46220</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s="2" t="inlineStr"/>
    </row>
    <row r="680" ht="15" customHeight="1">
      <c r="A680" t="inlineStr">
        <is>
          <t>S 1683-2024</t>
        </is>
      </c>
      <c r="B680" t="inlineStr">
        <is>
          <t>samrådsanmälan</t>
        </is>
      </c>
      <c r="C680" t="inlineStr">
        <is>
          <t>Skogsgödsling</t>
        </is>
      </c>
      <c r="D680" s="1" t="n">
        <v>45432</v>
      </c>
      <c r="E680" s="1" t="n">
        <v>46220</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s="2" t="inlineStr"/>
    </row>
    <row r="681" ht="15" customHeight="1">
      <c r="A681" t="inlineStr">
        <is>
          <t>S 1311-2023</t>
        </is>
      </c>
      <c r="B681" t="inlineStr">
        <is>
          <t>samrådsanmälan</t>
        </is>
      </c>
      <c r="C681" t="inlineStr">
        <is>
          <t>Annan skogsbruksåtgärd</t>
        </is>
      </c>
      <c r="D681" s="1" t="n">
        <v>45035</v>
      </c>
      <c r="E681" s="1" t="n">
        <v>46220</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S 1695-2025</t>
        </is>
      </c>
      <c r="B682" t="inlineStr">
        <is>
          <t>samrådsanmälan</t>
        </is>
      </c>
      <c r="C682" t="inlineStr">
        <is>
          <t>Skogsgödsling</t>
        </is>
      </c>
      <c r="D682" s="1" t="n">
        <v>45805</v>
      </c>
      <c r="E682" s="1" t="n">
        <v>46220</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s="2" t="inlineStr"/>
    </row>
    <row r="683">
      <c r="A683" t="inlineStr">
        <is>
          <t>S 3259-2025</t>
        </is>
      </c>
      <c r="B683" t="inlineStr">
        <is>
          <t>samrådsanmälan</t>
        </is>
      </c>
      <c r="C683" t="inlineStr">
        <is>
          <t>Skogsgödsling</t>
        </is>
      </c>
      <c r="D683" s="1" t="n">
        <v>45982</v>
      </c>
      <c r="E683" s="1" t="n">
        <v>46220</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2026-07-17T01:43:21Z</dcterms:created>
  <dcterms:modified xmlns:dcterms="http://purl.org/dc/terms/" xmlns:xsi="http://www.w3.org/2001/XMLSchema-instance" xsi:type="dcterms:W3CDTF">2026-07-17T01:43:22Z</dcterms:modified>
</cp:coreProperties>
</file>