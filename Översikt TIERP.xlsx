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45811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45811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45811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45811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45811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45811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45811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45811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45811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45811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45811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45811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45811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45811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45811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45811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45811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45811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45811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45811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45811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45811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45811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45811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45811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45811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45811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45811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45811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45811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45811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45811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45811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45811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45811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45811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45811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45811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45811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45811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45811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45811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45811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45811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45811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45811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45811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45811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45811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45811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45811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45811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45811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45811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45811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45811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45811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45811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45811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45811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45811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45811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45811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45811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45811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45811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45811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45811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45811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45811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45811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45811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45811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45811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45811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45811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45811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45811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45811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45811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45811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45811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45811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45811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45811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45811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45811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45811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45811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45811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45811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45811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45811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45811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45811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45811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45811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45811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45811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45811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45811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45811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38105-2023</t>
        </is>
      </c>
      <c r="B104" s="1" t="n">
        <v>45161</v>
      </c>
      <c r="C104" s="1" t="n">
        <v>45811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HYPERLINK("https://klasma.github.io/Logging_0360/artfynd/A 38105-2023 artfynd.xlsx", "A 38105-2023")</f>
        <v/>
      </c>
      <c r="T104">
        <f>HYPERLINK("https://klasma.github.io/Logging_0360/kartor/A 38105-2023 karta.png", "A 38105-2023")</f>
        <v/>
      </c>
      <c r="V104">
        <f>HYPERLINK("https://klasma.github.io/Logging_0360/klagomål/A 38105-2023 FSC-klagomål.docx", "A 38105-2023")</f>
        <v/>
      </c>
      <c r="W104">
        <f>HYPERLINK("https://klasma.github.io/Logging_0360/klagomålsmail/A 38105-2023 FSC-klagomål mail.docx", "A 38105-2023")</f>
        <v/>
      </c>
      <c r="X104">
        <f>HYPERLINK("https://klasma.github.io/Logging_0360/tillsyn/A 38105-2023 tillsynsbegäran.docx", "A 38105-2023")</f>
        <v/>
      </c>
      <c r="Y104">
        <f>HYPERLINK("https://klasma.github.io/Logging_0360/tillsynsmail/A 38105-2023 tillsynsbegäran mail.docx", "A 38105-2023")</f>
        <v/>
      </c>
      <c r="Z104">
        <f>HYPERLINK("https://klasma.github.io/Logging_0360/fåglar/A 38105-2023 prioriterade fågelarter.docx", "A 38105-2023")</f>
        <v/>
      </c>
    </row>
    <row r="105" ht="15" customHeight="1">
      <c r="A105" t="inlineStr">
        <is>
          <t>A 38821-2023</t>
        </is>
      </c>
      <c r="B105" s="1" t="n">
        <v>45163</v>
      </c>
      <c r="C105" s="1" t="n">
        <v>45811</v>
      </c>
      <c r="D105" t="inlineStr">
        <is>
          <t>UPPSALA LÄN</t>
        </is>
      </c>
      <c r="E105" t="inlineStr">
        <is>
          <t>TIERP</t>
        </is>
      </c>
      <c r="G105" t="n">
        <v>20.3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HYPERLINK("https://klasma.github.io/Logging_0360/artfynd/A 38821-2023 artfynd.xlsx", "A 38821-2023")</f>
        <v/>
      </c>
      <c r="T105">
        <f>HYPERLINK("https://klasma.github.io/Logging_0360/kartor/A 38821-2023 karta.png", "A 38821-2023")</f>
        <v/>
      </c>
      <c r="V105">
        <f>HYPERLINK("https://klasma.github.io/Logging_0360/klagomål/A 38821-2023 FSC-klagomål.docx", "A 38821-2023")</f>
        <v/>
      </c>
      <c r="W105">
        <f>HYPERLINK("https://klasma.github.io/Logging_0360/klagomålsmail/A 38821-2023 FSC-klagomål mail.docx", "A 38821-2023")</f>
        <v/>
      </c>
      <c r="X105">
        <f>HYPERLINK("https://klasma.github.io/Logging_0360/tillsyn/A 38821-2023 tillsynsbegäran.docx", "A 38821-2023")</f>
        <v/>
      </c>
      <c r="Y105">
        <f>HYPERLINK("https://klasma.github.io/Logging_0360/tillsynsmail/A 38821-2023 tillsynsbegäran mail.docx", "A 38821-2023")</f>
        <v/>
      </c>
    </row>
    <row r="106" ht="15" customHeight="1">
      <c r="A106" t="inlineStr">
        <is>
          <t>A 40878-2023</t>
        </is>
      </c>
      <c r="B106" s="1" t="n">
        <v>45173</v>
      </c>
      <c r="C106" s="1" t="n">
        <v>45811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4.7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HYPERLINK("https://klasma.github.io/Logging_0360/artfynd/A 40878-2023 artfynd.xlsx", "A 40878-2023")</f>
        <v/>
      </c>
      <c r="T106">
        <f>HYPERLINK("https://klasma.github.io/Logging_0360/kartor/A 40878-2023 karta.png", "A 40878-2023")</f>
        <v/>
      </c>
      <c r="V106">
        <f>HYPERLINK("https://klasma.github.io/Logging_0360/klagomål/A 40878-2023 FSC-klagomål.docx", "A 40878-2023")</f>
        <v/>
      </c>
      <c r="W106">
        <f>HYPERLINK("https://klasma.github.io/Logging_0360/klagomålsmail/A 40878-2023 FSC-klagomål mail.docx", "A 40878-2023")</f>
        <v/>
      </c>
      <c r="X106">
        <f>HYPERLINK("https://klasma.github.io/Logging_0360/tillsyn/A 40878-2023 tillsynsbegäran.docx", "A 40878-2023")</f>
        <v/>
      </c>
      <c r="Y106">
        <f>HYPERLINK("https://klasma.github.io/Logging_0360/tillsynsmail/A 40878-2023 tillsynsbegäran mail.docx", "A 40878-2023")</f>
        <v/>
      </c>
    </row>
    <row r="107" ht="15" customHeight="1">
      <c r="A107" t="inlineStr">
        <is>
          <t>A 40940-2023</t>
        </is>
      </c>
      <c r="B107" s="1" t="n">
        <v>45173</v>
      </c>
      <c r="C107" s="1" t="n">
        <v>45811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40940-2023 artfynd.xlsx", "A 40940-2023")</f>
        <v/>
      </c>
      <c r="T107">
        <f>HYPERLINK("https://klasma.github.io/Logging_0360/kartor/A 40940-2023 karta.png", "A 40940-2023")</f>
        <v/>
      </c>
      <c r="V107">
        <f>HYPERLINK("https://klasma.github.io/Logging_0360/klagomål/A 40940-2023 FSC-klagomål.docx", "A 40940-2023")</f>
        <v/>
      </c>
      <c r="W107">
        <f>HYPERLINK("https://klasma.github.io/Logging_0360/klagomålsmail/A 40940-2023 FSC-klagomål mail.docx", "A 40940-2023")</f>
        <v/>
      </c>
      <c r="X107">
        <f>HYPERLINK("https://klasma.github.io/Logging_0360/tillsyn/A 40940-2023 tillsynsbegäran.docx", "A 40940-2023")</f>
        <v/>
      </c>
      <c r="Y107">
        <f>HYPERLINK("https://klasma.github.io/Logging_0360/tillsynsmail/A 40940-2023 tillsynsbegäran mail.docx", "A 40940-2023")</f>
        <v/>
      </c>
    </row>
    <row r="108" ht="15" customHeight="1">
      <c r="A108" t="inlineStr">
        <is>
          <t>A 43162-2023</t>
        </is>
      </c>
      <c r="B108" s="1" t="n">
        <v>45183</v>
      </c>
      <c r="C108" s="1" t="n">
        <v>45811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15.7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43162-2023 artfynd.xlsx", "A 43162-2023")</f>
        <v/>
      </c>
      <c r="T108">
        <f>HYPERLINK("https://klasma.github.io/Logging_0360/kartor/A 43162-2023 karta.png", "A 43162-2023")</f>
        <v/>
      </c>
      <c r="V108">
        <f>HYPERLINK("https://klasma.github.io/Logging_0360/klagomål/A 43162-2023 FSC-klagomål.docx", "A 43162-2023")</f>
        <v/>
      </c>
      <c r="W108">
        <f>HYPERLINK("https://klasma.github.io/Logging_0360/klagomålsmail/A 43162-2023 FSC-klagomål mail.docx", "A 43162-2023")</f>
        <v/>
      </c>
      <c r="X108">
        <f>HYPERLINK("https://klasma.github.io/Logging_0360/tillsyn/A 43162-2023 tillsynsbegäran.docx", "A 43162-2023")</f>
        <v/>
      </c>
      <c r="Y108">
        <f>HYPERLINK("https://klasma.github.io/Logging_0360/tillsynsmail/A 43162-2023 tillsynsbegäran mail.docx", "A 43162-2023")</f>
        <v/>
      </c>
      <c r="Z108">
        <f>HYPERLINK("https://klasma.github.io/Logging_0360/fåglar/A 43162-2023 prioriterade fågelarter.docx", "A 43162-2023")</f>
        <v/>
      </c>
    </row>
    <row r="109" ht="15" customHeight="1">
      <c r="A109" t="inlineStr">
        <is>
          <t>A 48687-2023</t>
        </is>
      </c>
      <c r="B109" s="1" t="n">
        <v>45208</v>
      </c>
      <c r="C109" s="1" t="n">
        <v>45811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2.6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48687-2023 artfynd.xlsx", "A 48687-2023")</f>
        <v/>
      </c>
      <c r="T109">
        <f>HYPERLINK("https://klasma.github.io/Logging_0360/kartor/A 48687-2023 karta.png", "A 48687-2023")</f>
        <v/>
      </c>
      <c r="V109">
        <f>HYPERLINK("https://klasma.github.io/Logging_0360/klagomål/A 48687-2023 FSC-klagomål.docx", "A 48687-2023")</f>
        <v/>
      </c>
      <c r="W109">
        <f>HYPERLINK("https://klasma.github.io/Logging_0360/klagomålsmail/A 48687-2023 FSC-klagomål mail.docx", "A 48687-2023")</f>
        <v/>
      </c>
      <c r="X109">
        <f>HYPERLINK("https://klasma.github.io/Logging_0360/tillsyn/A 48687-2023 tillsynsbegäran.docx", "A 48687-2023")</f>
        <v/>
      </c>
      <c r="Y109">
        <f>HYPERLINK("https://klasma.github.io/Logging_0360/tillsynsmail/A 48687-2023 tillsynsbegäran mail.docx", "A 48687-2023")</f>
        <v/>
      </c>
      <c r="Z109">
        <f>HYPERLINK("https://klasma.github.io/Logging_0360/fåglar/A 48687-2023 prioriterade fågelarter.docx", "A 48687-2023")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45811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45811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45811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45811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45811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45811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45811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45811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45811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45811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45811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45811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45811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45811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45811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45811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45811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45811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45811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45811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45811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45811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45811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45811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45811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45811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45811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45811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45811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45811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45811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45811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45811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45811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45811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45811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45811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45811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45811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45811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45811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45811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45811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45811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45811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45811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45811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45811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45811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45811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45811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45811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45811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45811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45811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45811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45811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45811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45811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45811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45811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45811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45811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45811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45811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45811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45811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45811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45811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45811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45811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45811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45811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45811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45811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45811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45811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45811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45811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45811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45811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45811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45811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45811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45811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45811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45811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45811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45811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45811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45811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45811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45811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45811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45811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45811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45811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45811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45811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45811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45811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45811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45811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45811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45811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45811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45811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45811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45811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45811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45811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45811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45811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45811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45811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45811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45811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45811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45811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45811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45811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45811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45811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45811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45811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45811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45811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45811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45811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45811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45811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45811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45811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45811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45811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45811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45811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45811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45811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45811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45811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45811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45811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45811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45811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45811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45811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45811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45811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45811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45811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45811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45811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45811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45811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45811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45811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45811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45811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45811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45811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45811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45811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45811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45811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45811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45811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45811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45811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45811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45811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45811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45811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45811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45811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45811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45811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45811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45811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45811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45811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45811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45811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45811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45811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45811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45811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45811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45811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45811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45811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45811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45811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45811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45811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45811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45811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45811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45811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45811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45811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45811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45811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45811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45811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45811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45811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45811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45811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45811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45811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45811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45811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45811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45811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45811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45811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45811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45811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45811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45811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45811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45811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45811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45811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45811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45811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45811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45811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45811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45811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45811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45811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45811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45811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45811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45811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45811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45811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45811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45811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45811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45811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45811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45811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45811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45811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45811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45811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45811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45811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45811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45811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45811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45811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45811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45811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45811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45811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45811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45811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45811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45811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45811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45811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45811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45811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45811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45811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45811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45811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45811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45811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45811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45811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45811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45811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45811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45811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45811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45811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45811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45811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45811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45811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45811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45811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45811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45811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45811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45811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45811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45811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45811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45811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45811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45811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45811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45811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45811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45811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45811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45811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45811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45811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45811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45811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45811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45811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45811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45811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45811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45811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45811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45811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45811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45811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45811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45811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45811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45811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45811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45811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45811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45811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45811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45811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45811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45811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45811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45811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45811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45811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45811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45811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45811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45811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45811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45811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45811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45811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45811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45811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45811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45811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45811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45811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45811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45811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45811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45811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45811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45811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45811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45811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45811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45811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45811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45811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45811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45811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45811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45811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45811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45811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45811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45811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45811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45811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45811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45811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45811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45811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45811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45811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45811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45811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45811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45811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45811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45811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45811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45811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45811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45811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45811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45811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45811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45811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45811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45811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45811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45811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45811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45811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45811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45811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45811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45811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45811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45811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45811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45811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45811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45811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45811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45811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45811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45811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45811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45811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45811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45811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45811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45811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45811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45811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45811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45811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45811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45811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45811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45811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45811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45811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45811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45811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45811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45811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45811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45811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45811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45811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45811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45811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45811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45811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45811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45811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45811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45811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45811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45811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45811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45811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45811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45811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45811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45811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45811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45811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45811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45811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45811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45811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45811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45811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45811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45811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45811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45811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45811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45811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45811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45811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45811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45811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45811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45811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45811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45811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45811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45811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45811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45811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45811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45811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45811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45811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45811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45811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45811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45811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45811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45811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45811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45811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45811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45811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45811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45811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45811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45811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45811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45811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45811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45811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45811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45811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45811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45811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45811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45811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45811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45811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45811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45811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45811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45811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45811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45811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45811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45811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45811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45811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45811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45811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45811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45811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45811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45811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45811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45811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45811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45811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45811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45811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45811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45811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45811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45811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45811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45811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45811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45811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45811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45811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45811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45811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45811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45811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45811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45811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45811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45811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45811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45811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45811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45811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45811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45811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45811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45811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45811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45811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45811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45811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45811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45811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45811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45811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45811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45811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45811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45811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45811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45811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45811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45811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45811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45811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45811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45811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45811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45811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45811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45811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45811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45811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45811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45811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45811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45811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45811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45811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45811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45811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45811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45811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45811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45811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45811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45811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45811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45811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45811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45811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45811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45811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45811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45811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45811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45811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45811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45811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45811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45811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45811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45811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45811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45811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45811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45811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45811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45811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45811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45811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45811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45811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45811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45811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45811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45811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45811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45811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45811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45811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45811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45811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45811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45811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45811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45811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45811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45811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45811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45811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45811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45811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45811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45811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45811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45811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45811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45811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45811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45811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45811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45811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45811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45811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45811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45811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45811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45811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45811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45811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45811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45811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45811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45811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45811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45811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45811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45811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45811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45811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45811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45811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45811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45811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45811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45811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45811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45811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45811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45811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45811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45811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45811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45811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45811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45811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45811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45811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45811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45811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45811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45811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45811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45811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45811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45811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45811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45811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45811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45811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45811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45811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45811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45811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45811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45811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45811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45811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45811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45811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45811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45811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45811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45811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45811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45811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45811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45811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45811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45811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45811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45811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45811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45811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45811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45811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45811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45811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45811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45811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45811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45811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45811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45811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45811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45811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45811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45811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45811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45811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45811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45811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45811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45811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45811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45811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45811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45811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45811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45811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45811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45811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45811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45811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45811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45811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45811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45811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45811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45811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45811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45811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45811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45811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45811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45811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45811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45811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45811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45811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45811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45811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45811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45811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45811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45811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45811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45811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45811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45811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45811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45811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45811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45811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45811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45811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45811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45811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45811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45811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45811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45811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45811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45811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45811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45811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45811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45811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45811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45811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45811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45811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45811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45811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45811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45811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45811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45811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45811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45811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45811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45811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45811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45811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45811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45811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45811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45811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45811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45811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45811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45811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45811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45811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45811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45811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45811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45811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45811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45811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45811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45811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45811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45811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45811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45811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45811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45811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45811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45811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45811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45811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45811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45811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45811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45811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45811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45811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45811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45811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45811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45811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45811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45811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45811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45811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45811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45811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45811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45811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45811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45811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45811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45811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45811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45811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45811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45811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45811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45811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45811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45811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45811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45811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45811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45811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45811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45811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45811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45811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45811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45811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45811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45811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45811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45811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45811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45811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45811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45811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45811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45811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45811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45811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45811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45811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45811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45811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45811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45811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45811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45811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45811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45811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45811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45811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45811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45811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45811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45811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45811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45811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45811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45811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45811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45811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45811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45811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45811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45811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45811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45811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45811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45811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45811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45811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45811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45811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45811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45811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45811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45811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45811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45811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45811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45811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45811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45811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45811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45811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45811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45811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45811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45811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45811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45811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45811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45811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45811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45811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45811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45811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45811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45811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45811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45811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45811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45811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45811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45811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45811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45811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45811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45811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45811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45811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45811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45811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45811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45811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45811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45811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45811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45811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45811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45811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45811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45811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45811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45811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45811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45811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45811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45811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45811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45811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45811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45811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45811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45811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45811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45811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45811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45811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45811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45811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45811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45811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45811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45811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45811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45811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45811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45811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45811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45811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45811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45811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45811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45811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45811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45811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45811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45811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45811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45811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45811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45811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45811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45811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45811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45811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45811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45811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45811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45811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45811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45811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45811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45811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45811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45811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45811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45811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45811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45811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45811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45811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45811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45811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45811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45811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45811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45811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45811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45811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45811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45811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45811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45811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45811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45811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45811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45811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45811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45811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45811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45811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45811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45811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45811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45811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45811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45811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45811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45811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45811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45811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45811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45811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45811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45811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45811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45811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45811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45811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45811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45811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45811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45811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45811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45811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45811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45811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45811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45811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45811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45811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45811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45811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45811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45811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45811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45811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45811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45811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45811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45811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45811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45811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45811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45811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45811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45811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45811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45811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45811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45811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45811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45811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45811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45811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45811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45811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45811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45811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45811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45811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45811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45811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45811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45811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45811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45811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45811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45811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45811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45811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45811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45811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45811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45811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45811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45811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45811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45811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45811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45811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45811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45811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45811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45811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45811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45811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45811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21905-2025</t>
        </is>
      </c>
      <c r="B1252" s="1" t="n">
        <v>45784</v>
      </c>
      <c r="C1252" s="1" t="n">
        <v>45811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45811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21889-2025</t>
        </is>
      </c>
      <c r="B1254" s="1" t="n">
        <v>45784</v>
      </c>
      <c r="C1254" s="1" t="n">
        <v>45811</v>
      </c>
      <c r="D1254" t="inlineStr">
        <is>
          <t>UPPSALA LÄN</t>
        </is>
      </c>
      <c r="E1254" t="inlineStr">
        <is>
          <t>TIERP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45811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45811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45811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45811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45811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45811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45811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45811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45811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23312-2025</t>
        </is>
      </c>
      <c r="B1264" s="1" t="n">
        <v>45791</v>
      </c>
      <c r="C1264" s="1" t="n">
        <v>45811</v>
      </c>
      <c r="D1264" t="inlineStr">
        <is>
          <t>UPPSALA LÄN</t>
        </is>
      </c>
      <c r="E1264" t="inlineStr">
        <is>
          <t>TIERP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45811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45811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45811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24124-2025</t>
        </is>
      </c>
      <c r="B1268" s="1" t="n">
        <v>45796</v>
      </c>
      <c r="C1268" s="1" t="n">
        <v>45811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45811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24150-2025</t>
        </is>
      </c>
      <c r="B1270" s="1" t="n">
        <v>45796</v>
      </c>
      <c r="C1270" s="1" t="n">
        <v>45811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24975-2025</t>
        </is>
      </c>
      <c r="B1271" s="1" t="n">
        <v>45799</v>
      </c>
      <c r="C1271" s="1" t="n">
        <v>45811</v>
      </c>
      <c r="D1271" t="inlineStr">
        <is>
          <t>UPPSALA LÄN</t>
        </is>
      </c>
      <c r="E1271" t="inlineStr">
        <is>
          <t>TIERP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24837-2025</t>
        </is>
      </c>
      <c r="B1272" s="1" t="n">
        <v>45799</v>
      </c>
      <c r="C1272" s="1" t="n">
        <v>45811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45811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45811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24799-2025</t>
        </is>
      </c>
      <c r="B1275" s="1" t="n">
        <v>45799</v>
      </c>
      <c r="C1275" s="1" t="n">
        <v>45811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45811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45811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25953-2025</t>
        </is>
      </c>
      <c r="B1278" s="1" t="n">
        <v>45804</v>
      </c>
      <c r="C1278" s="1" t="n">
        <v>45811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26040-2025</t>
        </is>
      </c>
      <c r="B1279" s="1" t="n">
        <v>45804</v>
      </c>
      <c r="C1279" s="1" t="n">
        <v>45811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25927-2025</t>
        </is>
      </c>
      <c r="B1280" s="1" t="n">
        <v>45804</v>
      </c>
      <c r="C1280" s="1" t="n">
        <v>45811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26559-2025</t>
        </is>
      </c>
      <c r="B1281" s="1" t="n">
        <v>45807</v>
      </c>
      <c r="C1281" s="1" t="n">
        <v>45811</v>
      </c>
      <c r="D1281" t="inlineStr">
        <is>
          <t>UPPSALA LÄN</t>
        </is>
      </c>
      <c r="E1281" t="inlineStr">
        <is>
          <t>TIERP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26541-2025</t>
        </is>
      </c>
      <c r="B1282" s="1" t="n">
        <v>45807</v>
      </c>
      <c r="C1282" s="1" t="n">
        <v>45811</v>
      </c>
      <c r="D1282" t="inlineStr">
        <is>
          <t>UPPSALA LÄN</t>
        </is>
      </c>
      <c r="E1282" t="inlineStr">
        <is>
          <t>TIERP</t>
        </is>
      </c>
      <c r="G1282" t="n">
        <v>10.6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26556-2025</t>
        </is>
      </c>
      <c r="B1283" s="1" t="n">
        <v>45807</v>
      </c>
      <c r="C1283" s="1" t="n">
        <v>45811</v>
      </c>
      <c r="D1283" t="inlineStr">
        <is>
          <t>UPPSALA LÄN</t>
        </is>
      </c>
      <c r="E1283" t="inlineStr">
        <is>
          <t>TIERP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26547-2025</t>
        </is>
      </c>
      <c r="B1284" s="1" t="n">
        <v>45807</v>
      </c>
      <c r="C1284" s="1" t="n">
        <v>45811</v>
      </c>
      <c r="D1284" t="inlineStr">
        <is>
          <t>UPPSALA LÄN</t>
        </is>
      </c>
      <c r="E1284" t="inlineStr">
        <is>
          <t>TIERP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26555-2025</t>
        </is>
      </c>
      <c r="B1285" s="1" t="n">
        <v>45807</v>
      </c>
      <c r="C1285" s="1" t="n">
        <v>45811</v>
      </c>
      <c r="D1285" t="inlineStr">
        <is>
          <t>UPPSALA LÄN</t>
        </is>
      </c>
      <c r="E1285" t="inlineStr">
        <is>
          <t>TIERP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26714-2025</t>
        </is>
      </c>
      <c r="B1286" s="1" t="n">
        <v>45810</v>
      </c>
      <c r="C1286" s="1" t="n">
        <v>45811</v>
      </c>
      <c r="D1286" t="inlineStr">
        <is>
          <t>UPPSALA LÄN</t>
        </is>
      </c>
      <c r="E1286" t="inlineStr">
        <is>
          <t>TIERP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2025-06-03T18:14:48Z</dcterms:created>
  <dcterms:modified xmlns:dcterms="http://purl.org/dc/terms/" xmlns:xsi="http://www.w3.org/2001/XMLSchema-instance" xsi:type="dcterms:W3CDTF">2025-06-03T18:14:49Z</dcterms:modified>
</cp:coreProperties>
</file>