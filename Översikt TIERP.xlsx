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45983</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45983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45983</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45983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45983</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45983</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45983</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45983</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45983</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45983</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45983</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7125-2023</t>
        </is>
      </c>
      <c r="B16" s="1" t="n">
        <v>44970</v>
      </c>
      <c r="C16" s="1" t="n">
        <v>45983</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73761-2021</t>
        </is>
      </c>
      <c r="B17" s="1" t="n">
        <v>44552</v>
      </c>
      <c r="C17" s="1" t="n">
        <v>45983</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30596-2025</t>
        </is>
      </c>
      <c r="B18" s="1" t="n">
        <v>45831.4458912037</v>
      </c>
      <c r="C18" s="1" t="n">
        <v>45983</v>
      </c>
      <c r="D18" t="inlineStr">
        <is>
          <t>UPPSALA LÄN</t>
        </is>
      </c>
      <c r="E18" t="inlineStr">
        <is>
          <t>TIERP</t>
        </is>
      </c>
      <c r="F18" t="inlineStr">
        <is>
          <t>Bergvik skog väst AB</t>
        </is>
      </c>
      <c r="G18" t="n">
        <v>32.1</v>
      </c>
      <c r="H18" t="n">
        <v>0</v>
      </c>
      <c r="I18" t="n">
        <v>2</v>
      </c>
      <c r="J18" t="n">
        <v>1</v>
      </c>
      <c r="K18" t="n">
        <v>0</v>
      </c>
      <c r="L18" t="n">
        <v>1</v>
      </c>
      <c r="M18" t="n">
        <v>0</v>
      </c>
      <c r="N18" t="n">
        <v>0</v>
      </c>
      <c r="O18" t="n">
        <v>2</v>
      </c>
      <c r="P18" t="n">
        <v>1</v>
      </c>
      <c r="Q18" t="n">
        <v>4</v>
      </c>
      <c r="R18" s="2" t="inlineStr">
        <is>
          <t>Ask
Rödbrun blekspik
Brun nållav
Kamjordstjärna</t>
        </is>
      </c>
      <c r="S18">
        <f>HYPERLINK("https://klasma.github.io/Logging_0360/artfynd/A 30596-2025 artfynd.xlsx", "A 30596-2025")</f>
        <v/>
      </c>
      <c r="T18">
        <f>HYPERLINK("https://klasma.github.io/Logging_0360/kartor/A 30596-2025 karta.png", "A 30596-2025")</f>
        <v/>
      </c>
      <c r="V18">
        <f>HYPERLINK("https://klasma.github.io/Logging_0360/klagomål/A 30596-2025 FSC-klagomål.docx", "A 30596-2025")</f>
        <v/>
      </c>
      <c r="W18">
        <f>HYPERLINK("https://klasma.github.io/Logging_0360/klagomålsmail/A 30596-2025 FSC-klagomål mail.docx", "A 30596-2025")</f>
        <v/>
      </c>
      <c r="X18">
        <f>HYPERLINK("https://klasma.github.io/Logging_0360/tillsyn/A 30596-2025 tillsynsbegäran.docx", "A 30596-2025")</f>
        <v/>
      </c>
      <c r="Y18">
        <f>HYPERLINK("https://klasma.github.io/Logging_0360/tillsynsmail/A 30596-2025 tillsynsbegäran mail.docx", "A 30596-2025")</f>
        <v/>
      </c>
    </row>
    <row r="19" ht="15" customHeight="1">
      <c r="A19" t="inlineStr">
        <is>
          <t>A 56545-2025</t>
        </is>
      </c>
      <c r="B19" s="1" t="n">
        <v>45975.4800462963</v>
      </c>
      <c r="C19" s="1" t="n">
        <v>45983</v>
      </c>
      <c r="D19" t="inlineStr">
        <is>
          <t>UPPSALA LÄN</t>
        </is>
      </c>
      <c r="E19" t="inlineStr">
        <is>
          <t>TIERP</t>
        </is>
      </c>
      <c r="F19" t="inlineStr">
        <is>
          <t>Bergvik skog öst AB</t>
        </is>
      </c>
      <c r="G19" t="n">
        <v>3</v>
      </c>
      <c r="H19" t="n">
        <v>3</v>
      </c>
      <c r="I19" t="n">
        <v>2</v>
      </c>
      <c r="J19" t="n">
        <v>1</v>
      </c>
      <c r="K19" t="n">
        <v>0</v>
      </c>
      <c r="L19" t="n">
        <v>0</v>
      </c>
      <c r="M19" t="n">
        <v>0</v>
      </c>
      <c r="N19" t="n">
        <v>0</v>
      </c>
      <c r="O19" t="n">
        <v>1</v>
      </c>
      <c r="P19" t="n">
        <v>0</v>
      </c>
      <c r="Q19" t="n">
        <v>4</v>
      </c>
      <c r="R19" s="2" t="inlineStr">
        <is>
          <t>Majviva
Flugblomster
Tvåblad
Brudsporre</t>
        </is>
      </c>
      <c r="S19">
        <f>HYPERLINK("https://klasma.github.io/Logging_0360/artfynd/A 56545-2025 artfynd.xlsx", "A 56545-2025")</f>
        <v/>
      </c>
      <c r="T19">
        <f>HYPERLINK("https://klasma.github.io/Logging_0360/kartor/A 56545-2025 karta.png", "A 56545-2025")</f>
        <v/>
      </c>
      <c r="V19">
        <f>HYPERLINK("https://klasma.github.io/Logging_0360/klagomål/A 56545-2025 FSC-klagomål.docx", "A 56545-2025")</f>
        <v/>
      </c>
      <c r="W19">
        <f>HYPERLINK("https://klasma.github.io/Logging_0360/klagomålsmail/A 56545-2025 FSC-klagomål mail.docx", "A 56545-2025")</f>
        <v/>
      </c>
      <c r="X19">
        <f>HYPERLINK("https://klasma.github.io/Logging_0360/tillsyn/A 56545-2025 tillsynsbegäran.docx", "A 56545-2025")</f>
        <v/>
      </c>
      <c r="Y19">
        <f>HYPERLINK("https://klasma.github.io/Logging_0360/tillsynsmail/A 56545-2025 tillsynsbegäran mail.docx", "A 56545-2025")</f>
        <v/>
      </c>
    </row>
    <row r="20" ht="15" customHeight="1">
      <c r="A20" t="inlineStr">
        <is>
          <t>A 7896-2025</t>
        </is>
      </c>
      <c r="B20" s="1" t="n">
        <v>45707</v>
      </c>
      <c r="C20" s="1" t="n">
        <v>45983</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14523-2025</t>
        </is>
      </c>
      <c r="B21" s="1" t="n">
        <v>45741.64648148148</v>
      </c>
      <c r="C21" s="1" t="n">
        <v>45983</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20503-2025</t>
        </is>
      </c>
      <c r="B22" s="1" t="n">
        <v>45775</v>
      </c>
      <c r="C22" s="1" t="n">
        <v>45983</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73325-2021</t>
        </is>
      </c>
      <c r="B23" s="1" t="n">
        <v>44551</v>
      </c>
      <c r="C23" s="1" t="n">
        <v>45983</v>
      </c>
      <c r="D23" t="inlineStr">
        <is>
          <t>UPPSALA LÄN</t>
        </is>
      </c>
      <c r="E23" t="inlineStr">
        <is>
          <t>TIERP</t>
        </is>
      </c>
      <c r="G23" t="n">
        <v>3.7</v>
      </c>
      <c r="H23" t="n">
        <v>0</v>
      </c>
      <c r="I23" t="n">
        <v>1</v>
      </c>
      <c r="J23" t="n">
        <v>1</v>
      </c>
      <c r="K23" t="n">
        <v>1</v>
      </c>
      <c r="L23" t="n">
        <v>0</v>
      </c>
      <c r="M23" t="n">
        <v>0</v>
      </c>
      <c r="N23" t="n">
        <v>0</v>
      </c>
      <c r="O23" t="n">
        <v>2</v>
      </c>
      <c r="P23" t="n">
        <v>1</v>
      </c>
      <c r="Q23" t="n">
        <v>3</v>
      </c>
      <c r="R23" s="2" t="inlineStr">
        <is>
          <t>Taggfingersvamp
Äggspindling
Rödgul trumpetsvamp</t>
        </is>
      </c>
      <c r="S23">
        <f>HYPERLINK("https://klasma.github.io/Logging_0360/artfynd/A 73325-2021 artfynd.xlsx", "A 73325-2021")</f>
        <v/>
      </c>
      <c r="T23">
        <f>HYPERLINK("https://klasma.github.io/Logging_0360/kartor/A 73325-2021 karta.png", "A 73325-2021")</f>
        <v/>
      </c>
      <c r="V23">
        <f>HYPERLINK("https://klasma.github.io/Logging_0360/klagomål/A 73325-2021 FSC-klagomål.docx", "A 73325-2021")</f>
        <v/>
      </c>
      <c r="W23">
        <f>HYPERLINK("https://klasma.github.io/Logging_0360/klagomålsmail/A 73325-2021 FSC-klagomål mail.docx", "A 73325-2021")</f>
        <v/>
      </c>
      <c r="X23">
        <f>HYPERLINK("https://klasma.github.io/Logging_0360/tillsyn/A 73325-2021 tillsynsbegäran.docx", "A 73325-2021")</f>
        <v/>
      </c>
      <c r="Y23">
        <f>HYPERLINK("https://klasma.github.io/Logging_0360/tillsynsmail/A 73325-2021 tillsynsbegäran mail.docx", "A 73325-2021")</f>
        <v/>
      </c>
    </row>
    <row r="24" ht="15" customHeight="1">
      <c r="A24" t="inlineStr">
        <is>
          <t>A 50814-2025</t>
        </is>
      </c>
      <c r="B24" s="1" t="n">
        <v>45946.52922453704</v>
      </c>
      <c r="C24" s="1" t="n">
        <v>45983</v>
      </c>
      <c r="D24" t="inlineStr">
        <is>
          <t>UPPSALA LÄN</t>
        </is>
      </c>
      <c r="E24" t="inlineStr">
        <is>
          <t>TIERP</t>
        </is>
      </c>
      <c r="G24" t="n">
        <v>3.4</v>
      </c>
      <c r="H24" t="n">
        <v>0</v>
      </c>
      <c r="I24" t="n">
        <v>3</v>
      </c>
      <c r="J24" t="n">
        <v>0</v>
      </c>
      <c r="K24" t="n">
        <v>0</v>
      </c>
      <c r="L24" t="n">
        <v>0</v>
      </c>
      <c r="M24" t="n">
        <v>0</v>
      </c>
      <c r="N24" t="n">
        <v>0</v>
      </c>
      <c r="O24" t="n">
        <v>0</v>
      </c>
      <c r="P24" t="n">
        <v>0</v>
      </c>
      <c r="Q24" t="n">
        <v>3</v>
      </c>
      <c r="R24" s="2" t="inlineStr">
        <is>
          <t>Anisspindling
Olivspindling
Sårläka</t>
        </is>
      </c>
      <c r="S24">
        <f>HYPERLINK("https://klasma.github.io/Logging_0360/artfynd/A 50814-2025 artfynd.xlsx", "A 50814-2025")</f>
        <v/>
      </c>
      <c r="T24">
        <f>HYPERLINK("https://klasma.github.io/Logging_0360/kartor/A 50814-2025 karta.png", "A 50814-2025")</f>
        <v/>
      </c>
      <c r="V24">
        <f>HYPERLINK("https://klasma.github.io/Logging_0360/klagomål/A 50814-2025 FSC-klagomål.docx", "A 50814-2025")</f>
        <v/>
      </c>
      <c r="W24">
        <f>HYPERLINK("https://klasma.github.io/Logging_0360/klagomålsmail/A 50814-2025 FSC-klagomål mail.docx", "A 50814-2025")</f>
        <v/>
      </c>
      <c r="X24">
        <f>HYPERLINK("https://klasma.github.io/Logging_0360/tillsyn/A 50814-2025 tillsynsbegäran.docx", "A 50814-2025")</f>
        <v/>
      </c>
      <c r="Y24">
        <f>HYPERLINK("https://klasma.github.io/Logging_0360/tillsynsmail/A 50814-2025 tillsynsbegäran mail.docx", "A 50814-2025")</f>
        <v/>
      </c>
    </row>
    <row r="25" ht="15" customHeight="1">
      <c r="A25" t="inlineStr">
        <is>
          <t>A 43860-2025</t>
        </is>
      </c>
      <c r="B25" s="1" t="n">
        <v>45912.65143518519</v>
      </c>
      <c r="C25" s="1" t="n">
        <v>45983</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7309-2023</t>
        </is>
      </c>
      <c r="B26" s="1" t="n">
        <v>44970</v>
      </c>
      <c r="C26" s="1" t="n">
        <v>45983</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10846-2025</t>
        </is>
      </c>
      <c r="B27" s="1" t="n">
        <v>45722.57912037037</v>
      </c>
      <c r="C27" s="1" t="n">
        <v>45983</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45983</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7366-2023</t>
        </is>
      </c>
      <c r="B29" s="1" t="n">
        <v>44966</v>
      </c>
      <c r="C29" s="1" t="n">
        <v>45983</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14093-2022</t>
        </is>
      </c>
      <c r="B30" s="1" t="n">
        <v>44651</v>
      </c>
      <c r="C30" s="1" t="n">
        <v>45983</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48687-2023</t>
        </is>
      </c>
      <c r="B31" s="1" t="n">
        <v>45208</v>
      </c>
      <c r="C31" s="1" t="n">
        <v>45983</v>
      </c>
      <c r="D31" t="inlineStr">
        <is>
          <t>UPPSALA LÄN</t>
        </is>
      </c>
      <c r="E31" t="inlineStr">
        <is>
          <t>TIERP</t>
        </is>
      </c>
      <c r="F31" t="inlineStr">
        <is>
          <t>Bergvik skog öst AB</t>
        </is>
      </c>
      <c r="G31" t="n">
        <v>2.6</v>
      </c>
      <c r="H31" t="n">
        <v>1</v>
      </c>
      <c r="I31" t="n">
        <v>0</v>
      </c>
      <c r="J31" t="n">
        <v>2</v>
      </c>
      <c r="K31" t="n">
        <v>0</v>
      </c>
      <c r="L31" t="n">
        <v>0</v>
      </c>
      <c r="M31" t="n">
        <v>0</v>
      </c>
      <c r="N31" t="n">
        <v>0</v>
      </c>
      <c r="O31" t="n">
        <v>2</v>
      </c>
      <c r="P31" t="n">
        <v>0</v>
      </c>
      <c r="Q31" t="n">
        <v>2</v>
      </c>
      <c r="R31" s="2" t="inlineStr">
        <is>
          <t>Gulsparv
Klasefibbla</t>
        </is>
      </c>
      <c r="S31">
        <f>HYPERLINK("https://klasma.github.io/Logging_0360/artfynd/A 48687-2023 artfynd.xlsx", "A 48687-2023")</f>
        <v/>
      </c>
      <c r="T31">
        <f>HYPERLINK("https://klasma.github.io/Logging_0360/kartor/A 48687-2023 karta.png", "A 48687-2023")</f>
        <v/>
      </c>
      <c r="V31">
        <f>HYPERLINK("https://klasma.github.io/Logging_0360/klagomål/A 48687-2023 FSC-klagomål.docx", "A 48687-2023")</f>
        <v/>
      </c>
      <c r="W31">
        <f>HYPERLINK("https://klasma.github.io/Logging_0360/klagomålsmail/A 48687-2023 FSC-klagomål mail.docx", "A 48687-2023")</f>
        <v/>
      </c>
      <c r="X31">
        <f>HYPERLINK("https://klasma.github.io/Logging_0360/tillsyn/A 48687-2023 tillsynsbegäran.docx", "A 48687-2023")</f>
        <v/>
      </c>
      <c r="Y31">
        <f>HYPERLINK("https://klasma.github.io/Logging_0360/tillsynsmail/A 48687-2023 tillsynsbegäran mail.docx", "A 48687-2023")</f>
        <v/>
      </c>
      <c r="Z31">
        <f>HYPERLINK("https://klasma.github.io/Logging_0360/fåglar/A 48687-2023 prioriterade fågelarter.docx", "A 48687-2023")</f>
        <v/>
      </c>
    </row>
    <row r="32" ht="15" customHeight="1">
      <c r="A32" t="inlineStr">
        <is>
          <t>A 25013-2025</t>
        </is>
      </c>
      <c r="B32" s="1" t="n">
        <v>45799.62886574074</v>
      </c>
      <c r="C32" s="1" t="n">
        <v>45983</v>
      </c>
      <c r="D32" t="inlineStr">
        <is>
          <t>UPPSALA LÄN</t>
        </is>
      </c>
      <c r="E32" t="inlineStr">
        <is>
          <t>TIERP</t>
        </is>
      </c>
      <c r="G32" t="n">
        <v>0.5</v>
      </c>
      <c r="H32" t="n">
        <v>0</v>
      </c>
      <c r="I32" t="n">
        <v>1</v>
      </c>
      <c r="J32" t="n">
        <v>1</v>
      </c>
      <c r="K32" t="n">
        <v>0</v>
      </c>
      <c r="L32" t="n">
        <v>0</v>
      </c>
      <c r="M32" t="n">
        <v>0</v>
      </c>
      <c r="N32" t="n">
        <v>0</v>
      </c>
      <c r="O32" t="n">
        <v>1</v>
      </c>
      <c r="P32" t="n">
        <v>0</v>
      </c>
      <c r="Q32" t="n">
        <v>2</v>
      </c>
      <c r="R32" s="2" t="inlineStr">
        <is>
          <t>Gul taggsvamp
Rödgul trumpetsvamp</t>
        </is>
      </c>
      <c r="S32">
        <f>HYPERLINK("https://klasma.github.io/Logging_0360/artfynd/A 25013-2025 artfynd.xlsx", "A 25013-2025")</f>
        <v/>
      </c>
      <c r="T32">
        <f>HYPERLINK("https://klasma.github.io/Logging_0360/kartor/A 25013-2025 karta.png", "A 25013-2025")</f>
        <v/>
      </c>
      <c r="V32">
        <f>HYPERLINK("https://klasma.github.io/Logging_0360/klagomål/A 25013-2025 FSC-klagomål.docx", "A 25013-2025")</f>
        <v/>
      </c>
      <c r="W32">
        <f>HYPERLINK("https://klasma.github.io/Logging_0360/klagomålsmail/A 25013-2025 FSC-klagomål mail.docx", "A 25013-2025")</f>
        <v/>
      </c>
      <c r="X32">
        <f>HYPERLINK("https://klasma.github.io/Logging_0360/tillsyn/A 25013-2025 tillsynsbegäran.docx", "A 25013-2025")</f>
        <v/>
      </c>
      <c r="Y32">
        <f>HYPERLINK("https://klasma.github.io/Logging_0360/tillsynsmail/A 25013-2025 tillsynsbegäran mail.docx", "A 25013-2025")</f>
        <v/>
      </c>
    </row>
    <row r="33" ht="15" customHeight="1">
      <c r="A33" t="inlineStr">
        <is>
          <t>A 39018-2024</t>
        </is>
      </c>
      <c r="B33" s="1" t="n">
        <v>45548.4465162037</v>
      </c>
      <c r="C33" s="1" t="n">
        <v>45983</v>
      </c>
      <c r="D33" t="inlineStr">
        <is>
          <t>UPPSALA LÄN</t>
        </is>
      </c>
      <c r="E33" t="inlineStr">
        <is>
          <t>TIERP</t>
        </is>
      </c>
      <c r="F33" t="inlineStr">
        <is>
          <t>Bergvik skog öst AB</t>
        </is>
      </c>
      <c r="G33" t="n">
        <v>19.1</v>
      </c>
      <c r="H33" t="n">
        <v>2</v>
      </c>
      <c r="I33" t="n">
        <v>0</v>
      </c>
      <c r="J33" t="n">
        <v>2</v>
      </c>
      <c r="K33" t="n">
        <v>0</v>
      </c>
      <c r="L33" t="n">
        <v>0</v>
      </c>
      <c r="M33" t="n">
        <v>0</v>
      </c>
      <c r="N33" t="n">
        <v>0</v>
      </c>
      <c r="O33" t="n">
        <v>2</v>
      </c>
      <c r="P33" t="n">
        <v>0</v>
      </c>
      <c r="Q33" t="n">
        <v>2</v>
      </c>
      <c r="R33" s="2" t="inlineStr">
        <is>
          <t>Rödvingetrast
Talltita</t>
        </is>
      </c>
      <c r="S33">
        <f>HYPERLINK("https://klasma.github.io/Logging_0360/artfynd/A 39018-2024 artfynd.xlsx", "A 39018-2024")</f>
        <v/>
      </c>
      <c r="T33">
        <f>HYPERLINK("https://klasma.github.io/Logging_0360/kartor/A 39018-2024 karta.png", "A 39018-2024")</f>
        <v/>
      </c>
      <c r="V33">
        <f>HYPERLINK("https://klasma.github.io/Logging_0360/klagomål/A 39018-2024 FSC-klagomål.docx", "A 39018-2024")</f>
        <v/>
      </c>
      <c r="W33">
        <f>HYPERLINK("https://klasma.github.io/Logging_0360/klagomålsmail/A 39018-2024 FSC-klagomål mail.docx", "A 39018-2024")</f>
        <v/>
      </c>
      <c r="X33">
        <f>HYPERLINK("https://klasma.github.io/Logging_0360/tillsyn/A 39018-2024 tillsynsbegäran.docx", "A 39018-2024")</f>
        <v/>
      </c>
      <c r="Y33">
        <f>HYPERLINK("https://klasma.github.io/Logging_0360/tillsynsmail/A 39018-2024 tillsynsbegäran mail.docx", "A 39018-2024")</f>
        <v/>
      </c>
      <c r="Z33">
        <f>HYPERLINK("https://klasma.github.io/Logging_0360/fåglar/A 39018-2024 prioriterade fågelarter.docx", "A 39018-2024")</f>
        <v/>
      </c>
    </row>
    <row r="34" ht="15" customHeight="1">
      <c r="A34" t="inlineStr">
        <is>
          <t>A 51201-2025</t>
        </is>
      </c>
      <c r="B34" s="1" t="n">
        <v>45947.63479166666</v>
      </c>
      <c r="C34" s="1" t="n">
        <v>45983</v>
      </c>
      <c r="D34" t="inlineStr">
        <is>
          <t>UPPSALA LÄN</t>
        </is>
      </c>
      <c r="E34" t="inlineStr">
        <is>
          <t>TIERP</t>
        </is>
      </c>
      <c r="G34" t="n">
        <v>0.8</v>
      </c>
      <c r="H34" t="n">
        <v>0</v>
      </c>
      <c r="I34" t="n">
        <v>1</v>
      </c>
      <c r="J34" t="n">
        <v>1</v>
      </c>
      <c r="K34" t="n">
        <v>0</v>
      </c>
      <c r="L34" t="n">
        <v>0</v>
      </c>
      <c r="M34" t="n">
        <v>0</v>
      </c>
      <c r="N34" t="n">
        <v>0</v>
      </c>
      <c r="O34" t="n">
        <v>1</v>
      </c>
      <c r="P34" t="n">
        <v>0</v>
      </c>
      <c r="Q34" t="n">
        <v>2</v>
      </c>
      <c r="R34" s="2" t="inlineStr">
        <is>
          <t>Äggspindling
Svavelriska</t>
        </is>
      </c>
      <c r="S34">
        <f>HYPERLINK("https://klasma.github.io/Logging_0360/artfynd/A 51201-2025 artfynd.xlsx", "A 51201-2025")</f>
        <v/>
      </c>
      <c r="T34">
        <f>HYPERLINK("https://klasma.github.io/Logging_0360/kartor/A 51201-2025 karta.png", "A 51201-2025")</f>
        <v/>
      </c>
      <c r="V34">
        <f>HYPERLINK("https://klasma.github.io/Logging_0360/klagomål/A 51201-2025 FSC-klagomål.docx", "A 51201-2025")</f>
        <v/>
      </c>
      <c r="W34">
        <f>HYPERLINK("https://klasma.github.io/Logging_0360/klagomålsmail/A 51201-2025 FSC-klagomål mail.docx", "A 51201-2025")</f>
        <v/>
      </c>
      <c r="X34">
        <f>HYPERLINK("https://klasma.github.io/Logging_0360/tillsyn/A 51201-2025 tillsynsbegäran.docx", "A 51201-2025")</f>
        <v/>
      </c>
      <c r="Y34">
        <f>HYPERLINK("https://klasma.github.io/Logging_0360/tillsynsmail/A 51201-2025 tillsynsbegäran mail.docx", "A 51201-2025")</f>
        <v/>
      </c>
    </row>
    <row r="35" ht="15" customHeight="1">
      <c r="A35" t="inlineStr">
        <is>
          <t>A 42363-2025</t>
        </is>
      </c>
      <c r="B35" s="1" t="n">
        <v>45905.31760416667</v>
      </c>
      <c r="C35" s="1" t="n">
        <v>45983</v>
      </c>
      <c r="D35" t="inlineStr">
        <is>
          <t>UPPSALA LÄN</t>
        </is>
      </c>
      <c r="E35" t="inlineStr">
        <is>
          <t>TIERP</t>
        </is>
      </c>
      <c r="G35" t="n">
        <v>8.4</v>
      </c>
      <c r="H35" t="n">
        <v>1</v>
      </c>
      <c r="I35" t="n">
        <v>0</v>
      </c>
      <c r="J35" t="n">
        <v>2</v>
      </c>
      <c r="K35" t="n">
        <v>0</v>
      </c>
      <c r="L35" t="n">
        <v>0</v>
      </c>
      <c r="M35" t="n">
        <v>0</v>
      </c>
      <c r="N35" t="n">
        <v>0</v>
      </c>
      <c r="O35" t="n">
        <v>2</v>
      </c>
      <c r="P35" t="n">
        <v>0</v>
      </c>
      <c r="Q35" t="n">
        <v>2</v>
      </c>
      <c r="R35" s="2" t="inlineStr">
        <is>
          <t>Spillkråka
Ullticka</t>
        </is>
      </c>
      <c r="S35">
        <f>HYPERLINK("https://klasma.github.io/Logging_0360/artfynd/A 42363-2025 artfynd.xlsx", "A 42363-2025")</f>
        <v/>
      </c>
      <c r="T35">
        <f>HYPERLINK("https://klasma.github.io/Logging_0360/kartor/A 42363-2025 karta.png", "A 42363-2025")</f>
        <v/>
      </c>
      <c r="V35">
        <f>HYPERLINK("https://klasma.github.io/Logging_0360/klagomål/A 42363-2025 FSC-klagomål.docx", "A 42363-2025")</f>
        <v/>
      </c>
      <c r="W35">
        <f>HYPERLINK("https://klasma.github.io/Logging_0360/klagomålsmail/A 42363-2025 FSC-klagomål mail.docx", "A 42363-2025")</f>
        <v/>
      </c>
      <c r="X35">
        <f>HYPERLINK("https://klasma.github.io/Logging_0360/tillsyn/A 42363-2025 tillsynsbegäran.docx", "A 42363-2025")</f>
        <v/>
      </c>
      <c r="Y35">
        <f>HYPERLINK("https://klasma.github.io/Logging_0360/tillsynsmail/A 42363-2025 tillsynsbegäran mail.docx", "A 42363-2025")</f>
        <v/>
      </c>
      <c r="Z35">
        <f>HYPERLINK("https://klasma.github.io/Logging_0360/fåglar/A 42363-2025 prioriterade fågelarter.docx", "A 42363-2025")</f>
        <v/>
      </c>
    </row>
    <row r="36" ht="15" customHeight="1">
      <c r="A36" t="inlineStr">
        <is>
          <t>A 17074-2022</t>
        </is>
      </c>
      <c r="B36" s="1" t="n">
        <v>44677</v>
      </c>
      <c r="C36" s="1" t="n">
        <v>45983</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15040-2024</t>
        </is>
      </c>
      <c r="B37" s="1" t="n">
        <v>45399.48680555556</v>
      </c>
      <c r="C37" s="1" t="n">
        <v>45983</v>
      </c>
      <c r="D37" t="inlineStr">
        <is>
          <t>UPPSALA LÄN</t>
        </is>
      </c>
      <c r="E37" t="inlineStr">
        <is>
          <t>TIERP</t>
        </is>
      </c>
      <c r="G37" t="n">
        <v>7.2</v>
      </c>
      <c r="H37" t="n">
        <v>1</v>
      </c>
      <c r="I37" t="n">
        <v>2</v>
      </c>
      <c r="J37" t="n">
        <v>0</v>
      </c>
      <c r="K37" t="n">
        <v>0</v>
      </c>
      <c r="L37" t="n">
        <v>0</v>
      </c>
      <c r="M37" t="n">
        <v>0</v>
      </c>
      <c r="N37" t="n">
        <v>0</v>
      </c>
      <c r="O37" t="n">
        <v>0</v>
      </c>
      <c r="P37" t="n">
        <v>0</v>
      </c>
      <c r="Q37" t="n">
        <v>2</v>
      </c>
      <c r="R37" s="2" t="inlineStr">
        <is>
          <t>Granbräken
Grönkulla</t>
        </is>
      </c>
      <c r="S37">
        <f>HYPERLINK("https://klasma.github.io/Logging_0360/artfynd/A 15040-2024 artfynd.xlsx", "A 15040-2024")</f>
        <v/>
      </c>
      <c r="T37">
        <f>HYPERLINK("https://klasma.github.io/Logging_0360/kartor/A 15040-2024 karta.png", "A 15040-2024")</f>
        <v/>
      </c>
      <c r="V37">
        <f>HYPERLINK("https://klasma.github.io/Logging_0360/klagomål/A 15040-2024 FSC-klagomål.docx", "A 15040-2024")</f>
        <v/>
      </c>
      <c r="W37">
        <f>HYPERLINK("https://klasma.github.io/Logging_0360/klagomålsmail/A 15040-2024 FSC-klagomål mail.docx", "A 15040-2024")</f>
        <v/>
      </c>
      <c r="X37">
        <f>HYPERLINK("https://klasma.github.io/Logging_0360/tillsyn/A 15040-2024 tillsynsbegäran.docx", "A 15040-2024")</f>
        <v/>
      </c>
      <c r="Y37">
        <f>HYPERLINK("https://klasma.github.io/Logging_0360/tillsynsmail/A 15040-2024 tillsynsbegäran mail.docx", "A 15040-2024")</f>
        <v/>
      </c>
    </row>
    <row r="38" ht="15" customHeight="1">
      <c r="A38" t="inlineStr">
        <is>
          <t>A 35188-2025</t>
        </is>
      </c>
      <c r="B38" s="1" t="n">
        <v>45853.32288194444</v>
      </c>
      <c r="C38" s="1" t="n">
        <v>45983</v>
      </c>
      <c r="D38" t="inlineStr">
        <is>
          <t>UPPSALA LÄN</t>
        </is>
      </c>
      <c r="E38" t="inlineStr">
        <is>
          <t>TIERP</t>
        </is>
      </c>
      <c r="G38" t="n">
        <v>1.8</v>
      </c>
      <c r="H38" t="n">
        <v>2</v>
      </c>
      <c r="I38" t="n">
        <v>1</v>
      </c>
      <c r="J38" t="n">
        <v>0</v>
      </c>
      <c r="K38" t="n">
        <v>0</v>
      </c>
      <c r="L38" t="n">
        <v>0</v>
      </c>
      <c r="M38" t="n">
        <v>0</v>
      </c>
      <c r="N38" t="n">
        <v>0</v>
      </c>
      <c r="O38" t="n">
        <v>0</v>
      </c>
      <c r="P38" t="n">
        <v>0</v>
      </c>
      <c r="Q38" t="n">
        <v>2</v>
      </c>
      <c r="R38" s="2" t="inlineStr">
        <is>
          <t>Skogsknipprot
Fläcknycklar</t>
        </is>
      </c>
      <c r="S38">
        <f>HYPERLINK("https://klasma.github.io/Logging_0360/artfynd/A 35188-2025 artfynd.xlsx", "A 35188-2025")</f>
        <v/>
      </c>
      <c r="T38">
        <f>HYPERLINK("https://klasma.github.io/Logging_0360/kartor/A 35188-2025 karta.png", "A 35188-2025")</f>
        <v/>
      </c>
      <c r="V38">
        <f>HYPERLINK("https://klasma.github.io/Logging_0360/klagomål/A 35188-2025 FSC-klagomål.docx", "A 35188-2025")</f>
        <v/>
      </c>
      <c r="W38">
        <f>HYPERLINK("https://klasma.github.io/Logging_0360/klagomålsmail/A 35188-2025 FSC-klagomål mail.docx", "A 35188-2025")</f>
        <v/>
      </c>
      <c r="X38">
        <f>HYPERLINK("https://klasma.github.io/Logging_0360/tillsyn/A 35188-2025 tillsynsbegäran.docx", "A 35188-2025")</f>
        <v/>
      </c>
      <c r="Y38">
        <f>HYPERLINK("https://klasma.github.io/Logging_0360/tillsynsmail/A 35188-2025 tillsynsbegäran mail.docx", "A 35188-2025")</f>
        <v/>
      </c>
    </row>
    <row r="39" ht="15" customHeight="1">
      <c r="A39" t="inlineStr">
        <is>
          <t>A 54237-2025</t>
        </is>
      </c>
      <c r="B39" s="1" t="n">
        <v>45964.62684027778</v>
      </c>
      <c r="C39" s="1" t="n">
        <v>45983</v>
      </c>
      <c r="D39" t="inlineStr">
        <is>
          <t>UPPSALA LÄN</t>
        </is>
      </c>
      <c r="E39" t="inlineStr">
        <is>
          <t>TIERP</t>
        </is>
      </c>
      <c r="G39" t="n">
        <v>5.3</v>
      </c>
      <c r="H39" t="n">
        <v>2</v>
      </c>
      <c r="I39" t="n">
        <v>0</v>
      </c>
      <c r="J39" t="n">
        <v>1</v>
      </c>
      <c r="K39" t="n">
        <v>0</v>
      </c>
      <c r="L39" t="n">
        <v>0</v>
      </c>
      <c r="M39" t="n">
        <v>0</v>
      </c>
      <c r="N39" t="n">
        <v>0</v>
      </c>
      <c r="O39" t="n">
        <v>1</v>
      </c>
      <c r="P39" t="n">
        <v>0</v>
      </c>
      <c r="Q39" t="n">
        <v>2</v>
      </c>
      <c r="R39" s="2" t="inlineStr">
        <is>
          <t>Rödvingetrast
Revlummer</t>
        </is>
      </c>
      <c r="S39">
        <f>HYPERLINK("https://klasma.github.io/Logging_0360/artfynd/A 54237-2025 artfynd.xlsx", "A 54237-2025")</f>
        <v/>
      </c>
      <c r="T39">
        <f>HYPERLINK("https://klasma.github.io/Logging_0360/kartor/A 54237-2025 karta.png", "A 54237-2025")</f>
        <v/>
      </c>
      <c r="V39">
        <f>HYPERLINK("https://klasma.github.io/Logging_0360/klagomål/A 54237-2025 FSC-klagomål.docx", "A 54237-2025")</f>
        <v/>
      </c>
      <c r="W39">
        <f>HYPERLINK("https://klasma.github.io/Logging_0360/klagomålsmail/A 54237-2025 FSC-klagomål mail.docx", "A 54237-2025")</f>
        <v/>
      </c>
      <c r="X39">
        <f>HYPERLINK("https://klasma.github.io/Logging_0360/tillsyn/A 54237-2025 tillsynsbegäran.docx", "A 54237-2025")</f>
        <v/>
      </c>
      <c r="Y39">
        <f>HYPERLINK("https://klasma.github.io/Logging_0360/tillsynsmail/A 54237-2025 tillsynsbegäran mail.docx", "A 54237-2025")</f>
        <v/>
      </c>
      <c r="Z39">
        <f>HYPERLINK("https://klasma.github.io/Logging_0360/fåglar/A 54237-2025 prioriterade fågelarter.docx", "A 54237-2025")</f>
        <v/>
      </c>
    </row>
    <row r="40" ht="15" customHeight="1">
      <c r="A40" t="inlineStr">
        <is>
          <t>A 140-2024</t>
        </is>
      </c>
      <c r="B40" s="1" t="n">
        <v>45294.44883101852</v>
      </c>
      <c r="C40" s="1" t="n">
        <v>45983</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45983</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57856-2025</t>
        </is>
      </c>
      <c r="B42" s="1" t="n">
        <v>45981.63950231481</v>
      </c>
      <c r="C42" s="1" t="n">
        <v>45983</v>
      </c>
      <c r="D42" t="inlineStr">
        <is>
          <t>UPPSALA LÄN</t>
        </is>
      </c>
      <c r="E42" t="inlineStr">
        <is>
          <t>TIERP</t>
        </is>
      </c>
      <c r="F42" t="inlineStr">
        <is>
          <t>Bergvik skog öst AB</t>
        </is>
      </c>
      <c r="G42" t="n">
        <v>10.4</v>
      </c>
      <c r="H42" t="n">
        <v>1</v>
      </c>
      <c r="I42" t="n">
        <v>2</v>
      </c>
      <c r="J42" t="n">
        <v>0</v>
      </c>
      <c r="K42" t="n">
        <v>0</v>
      </c>
      <c r="L42" t="n">
        <v>0</v>
      </c>
      <c r="M42" t="n">
        <v>0</v>
      </c>
      <c r="N42" t="n">
        <v>0</v>
      </c>
      <c r="O42" t="n">
        <v>0</v>
      </c>
      <c r="P42" t="n">
        <v>0</v>
      </c>
      <c r="Q42" t="n">
        <v>2</v>
      </c>
      <c r="R42" s="2" t="inlineStr">
        <is>
          <t>Tibast
Tvåblad</t>
        </is>
      </c>
      <c r="S42">
        <f>HYPERLINK("https://klasma.github.io/Logging_0360/artfynd/A 57856-2025 artfynd.xlsx", "A 57856-2025")</f>
        <v/>
      </c>
      <c r="T42">
        <f>HYPERLINK("https://klasma.github.io/Logging_0360/kartor/A 57856-2025 karta.png", "A 57856-2025")</f>
        <v/>
      </c>
      <c r="V42">
        <f>HYPERLINK("https://klasma.github.io/Logging_0360/klagomål/A 57856-2025 FSC-klagomål.docx", "A 57856-2025")</f>
        <v/>
      </c>
      <c r="W42">
        <f>HYPERLINK("https://klasma.github.io/Logging_0360/klagomålsmail/A 57856-2025 FSC-klagomål mail.docx", "A 57856-2025")</f>
        <v/>
      </c>
      <c r="X42">
        <f>HYPERLINK("https://klasma.github.io/Logging_0360/tillsyn/A 57856-2025 tillsynsbegäran.docx", "A 57856-2025")</f>
        <v/>
      </c>
      <c r="Y42">
        <f>HYPERLINK("https://klasma.github.io/Logging_0360/tillsynsmail/A 57856-2025 tillsynsbegäran mail.docx", "A 57856-2025")</f>
        <v/>
      </c>
    </row>
    <row r="43" ht="15" customHeight="1">
      <c r="A43" t="inlineStr">
        <is>
          <t>A 53324-2021</t>
        </is>
      </c>
      <c r="B43" s="1" t="n">
        <v>44468</v>
      </c>
      <c r="C43" s="1" t="n">
        <v>45983</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17748-2025</t>
        </is>
      </c>
      <c r="B44" s="1" t="n">
        <v>45758.4828125</v>
      </c>
      <c r="C44" s="1" t="n">
        <v>45983</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45851-2022</t>
        </is>
      </c>
      <c r="B45" s="1" t="n">
        <v>44846</v>
      </c>
      <c r="C45" s="1" t="n">
        <v>45983</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21607-2025</t>
        </is>
      </c>
      <c r="B46" s="1" t="n">
        <v>45783.38454861111</v>
      </c>
      <c r="C46" s="1" t="n">
        <v>45983</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2535-2022</t>
        </is>
      </c>
      <c r="B47" s="1" t="n">
        <v>44579.9575</v>
      </c>
      <c r="C47" s="1" t="n">
        <v>45983</v>
      </c>
      <c r="D47" t="inlineStr">
        <is>
          <t>UPPSALA LÄN</t>
        </is>
      </c>
      <c r="E47" t="inlineStr">
        <is>
          <t>TIERP</t>
        </is>
      </c>
      <c r="G47" t="n">
        <v>2.3</v>
      </c>
      <c r="H47" t="n">
        <v>1</v>
      </c>
      <c r="I47" t="n">
        <v>0</v>
      </c>
      <c r="J47" t="n">
        <v>0</v>
      </c>
      <c r="K47" t="n">
        <v>1</v>
      </c>
      <c r="L47" t="n">
        <v>0</v>
      </c>
      <c r="M47" t="n">
        <v>0</v>
      </c>
      <c r="N47" t="n">
        <v>0</v>
      </c>
      <c r="O47" t="n">
        <v>1</v>
      </c>
      <c r="P47" t="n">
        <v>1</v>
      </c>
      <c r="Q47" t="n">
        <v>1</v>
      </c>
      <c r="R47" s="2" t="inlineStr">
        <is>
          <t>Knärot</t>
        </is>
      </c>
      <c r="S47">
        <f>HYPERLINK("https://klasma.github.io/Logging_0360/artfynd/A 2535-2022 artfynd.xlsx", "A 2535-2022")</f>
        <v/>
      </c>
      <c r="T47">
        <f>HYPERLINK("https://klasma.github.io/Logging_0360/kartor/A 2535-2022 karta.png", "A 2535-2022")</f>
        <v/>
      </c>
      <c r="U47">
        <f>HYPERLINK("https://klasma.github.io/Logging_0360/knärot/A 2535-2022 karta knärot.png", "A 2535-2022")</f>
        <v/>
      </c>
      <c r="V47">
        <f>HYPERLINK("https://klasma.github.io/Logging_0360/klagomål/A 2535-2022 FSC-klagomål.docx", "A 2535-2022")</f>
        <v/>
      </c>
      <c r="W47">
        <f>HYPERLINK("https://klasma.github.io/Logging_0360/klagomålsmail/A 2535-2022 FSC-klagomål mail.docx", "A 2535-2022")</f>
        <v/>
      </c>
      <c r="X47">
        <f>HYPERLINK("https://klasma.github.io/Logging_0360/tillsyn/A 2535-2022 tillsynsbegäran.docx", "A 2535-2022")</f>
        <v/>
      </c>
      <c r="Y47">
        <f>HYPERLINK("https://klasma.github.io/Logging_0360/tillsynsmail/A 2535-2022 tillsynsbegäran mail.docx", "A 2535-2022")</f>
        <v/>
      </c>
    </row>
    <row r="48" ht="15" customHeight="1">
      <c r="A48" t="inlineStr">
        <is>
          <t>A 41971-2022</t>
        </is>
      </c>
      <c r="B48" s="1" t="n">
        <v>44827</v>
      </c>
      <c r="C48" s="1" t="n">
        <v>45983</v>
      </c>
      <c r="D48" t="inlineStr">
        <is>
          <t>UPPSALA LÄN</t>
        </is>
      </c>
      <c r="E48" t="inlineStr">
        <is>
          <t>TIERP</t>
        </is>
      </c>
      <c r="G48" t="n">
        <v>10</v>
      </c>
      <c r="H48" t="n">
        <v>1</v>
      </c>
      <c r="I48" t="n">
        <v>0</v>
      </c>
      <c r="J48" t="n">
        <v>1</v>
      </c>
      <c r="K48" t="n">
        <v>0</v>
      </c>
      <c r="L48" t="n">
        <v>0</v>
      </c>
      <c r="M48" t="n">
        <v>0</v>
      </c>
      <c r="N48" t="n">
        <v>0</v>
      </c>
      <c r="O48" t="n">
        <v>1</v>
      </c>
      <c r="P48" t="n">
        <v>0</v>
      </c>
      <c r="Q48" t="n">
        <v>1</v>
      </c>
      <c r="R48" s="2" t="inlineStr">
        <is>
          <t>Havsörn</t>
        </is>
      </c>
      <c r="S48">
        <f>HYPERLINK("https://klasma.github.io/Logging_0360/artfynd/A 41971-2022 artfynd.xlsx", "A 41971-2022")</f>
        <v/>
      </c>
      <c r="T48">
        <f>HYPERLINK("https://klasma.github.io/Logging_0360/kartor/A 41971-2022 karta.png", "A 41971-2022")</f>
        <v/>
      </c>
      <c r="V48">
        <f>HYPERLINK("https://klasma.github.io/Logging_0360/klagomål/A 41971-2022 FSC-klagomål.docx", "A 41971-2022")</f>
        <v/>
      </c>
      <c r="W48">
        <f>HYPERLINK("https://klasma.github.io/Logging_0360/klagomålsmail/A 41971-2022 FSC-klagomål mail.docx", "A 41971-2022")</f>
        <v/>
      </c>
      <c r="X48">
        <f>HYPERLINK("https://klasma.github.io/Logging_0360/tillsyn/A 41971-2022 tillsynsbegäran.docx", "A 41971-2022")</f>
        <v/>
      </c>
      <c r="Y48">
        <f>HYPERLINK("https://klasma.github.io/Logging_0360/tillsynsmail/A 41971-2022 tillsynsbegäran mail.docx", "A 41971-2022")</f>
        <v/>
      </c>
      <c r="Z48">
        <f>HYPERLINK("https://klasma.github.io/Logging_0360/fåglar/A 41971-2022 prioriterade fågelarter.docx", "A 41971-2022")</f>
        <v/>
      </c>
    </row>
    <row r="49" ht="15" customHeight="1">
      <c r="A49" t="inlineStr">
        <is>
          <t>A 29983-2022</t>
        </is>
      </c>
      <c r="B49" s="1" t="n">
        <v>44756.69783564815</v>
      </c>
      <c r="C49" s="1" t="n">
        <v>45983</v>
      </c>
      <c r="D49" t="inlineStr">
        <is>
          <t>UPPSALA LÄN</t>
        </is>
      </c>
      <c r="E49" t="inlineStr">
        <is>
          <t>TIERP</t>
        </is>
      </c>
      <c r="G49" t="n">
        <v>0.8</v>
      </c>
      <c r="H49" t="n">
        <v>1</v>
      </c>
      <c r="I49" t="n">
        <v>0</v>
      </c>
      <c r="J49" t="n">
        <v>0</v>
      </c>
      <c r="K49" t="n">
        <v>1</v>
      </c>
      <c r="L49" t="n">
        <v>0</v>
      </c>
      <c r="M49" t="n">
        <v>0</v>
      </c>
      <c r="N49" t="n">
        <v>0</v>
      </c>
      <c r="O49" t="n">
        <v>1</v>
      </c>
      <c r="P49" t="n">
        <v>1</v>
      </c>
      <c r="Q49" t="n">
        <v>1</v>
      </c>
      <c r="R49" s="2" t="inlineStr">
        <is>
          <t>Hussvala</t>
        </is>
      </c>
      <c r="S49">
        <f>HYPERLINK("https://klasma.github.io/Logging_0360/artfynd/A 29983-2022 artfynd.xlsx", "A 29983-2022")</f>
        <v/>
      </c>
      <c r="T49">
        <f>HYPERLINK("https://klasma.github.io/Logging_0360/kartor/A 29983-2022 karta.png", "A 29983-2022")</f>
        <v/>
      </c>
      <c r="V49">
        <f>HYPERLINK("https://klasma.github.io/Logging_0360/klagomål/A 29983-2022 FSC-klagomål.docx", "A 29983-2022")</f>
        <v/>
      </c>
      <c r="W49">
        <f>HYPERLINK("https://klasma.github.io/Logging_0360/klagomålsmail/A 29983-2022 FSC-klagomål mail.docx", "A 29983-2022")</f>
        <v/>
      </c>
      <c r="X49">
        <f>HYPERLINK("https://klasma.github.io/Logging_0360/tillsyn/A 29983-2022 tillsynsbegäran.docx", "A 29983-2022")</f>
        <v/>
      </c>
      <c r="Y49">
        <f>HYPERLINK("https://klasma.github.io/Logging_0360/tillsynsmail/A 29983-2022 tillsynsbegäran mail.docx", "A 29983-2022")</f>
        <v/>
      </c>
    </row>
    <row r="50" ht="15" customHeight="1">
      <c r="A50" t="inlineStr">
        <is>
          <t>A 33375-2022</t>
        </is>
      </c>
      <c r="B50" s="1" t="n">
        <v>44788</v>
      </c>
      <c r="C50" s="1" t="n">
        <v>45983</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22777-2025</t>
        </is>
      </c>
      <c r="B51" s="1" t="n">
        <v>45789.63715277778</v>
      </c>
      <c r="C51" s="1" t="n">
        <v>45983</v>
      </c>
      <c r="D51" t="inlineStr">
        <is>
          <t>UPPSALA LÄN</t>
        </is>
      </c>
      <c r="E51" t="inlineStr">
        <is>
          <t>TIERP</t>
        </is>
      </c>
      <c r="G51" t="n">
        <v>2</v>
      </c>
      <c r="H51" t="n">
        <v>0</v>
      </c>
      <c r="I51" t="n">
        <v>0</v>
      </c>
      <c r="J51" t="n">
        <v>1</v>
      </c>
      <c r="K51" t="n">
        <v>0</v>
      </c>
      <c r="L51" t="n">
        <v>0</v>
      </c>
      <c r="M51" t="n">
        <v>0</v>
      </c>
      <c r="N51" t="n">
        <v>0</v>
      </c>
      <c r="O51" t="n">
        <v>1</v>
      </c>
      <c r="P51" t="n">
        <v>0</v>
      </c>
      <c r="Q51" t="n">
        <v>1</v>
      </c>
      <c r="R51" s="2" t="inlineStr">
        <is>
          <t>Persiljespindling</t>
        </is>
      </c>
      <c r="S51">
        <f>HYPERLINK("https://klasma.github.io/Logging_0360/artfynd/A 22777-2025 artfynd.xlsx", "A 22777-2025")</f>
        <v/>
      </c>
      <c r="T51">
        <f>HYPERLINK("https://klasma.github.io/Logging_0360/kartor/A 22777-2025 karta.png", "A 22777-2025")</f>
        <v/>
      </c>
      <c r="V51">
        <f>HYPERLINK("https://klasma.github.io/Logging_0360/klagomål/A 22777-2025 FSC-klagomål.docx", "A 22777-2025")</f>
        <v/>
      </c>
      <c r="W51">
        <f>HYPERLINK("https://klasma.github.io/Logging_0360/klagomålsmail/A 22777-2025 FSC-klagomål mail.docx", "A 22777-2025")</f>
        <v/>
      </c>
      <c r="X51">
        <f>HYPERLINK("https://klasma.github.io/Logging_0360/tillsyn/A 22777-2025 tillsynsbegäran.docx", "A 22777-2025")</f>
        <v/>
      </c>
      <c r="Y51">
        <f>HYPERLINK("https://klasma.github.io/Logging_0360/tillsynsmail/A 22777-2025 tillsynsbegäran mail.docx", "A 22777-2025")</f>
        <v/>
      </c>
    </row>
    <row r="52" ht="15" customHeight="1">
      <c r="A52" t="inlineStr">
        <is>
          <t>A 22601-2025</t>
        </is>
      </c>
      <c r="B52" s="1" t="n">
        <v>45789</v>
      </c>
      <c r="C52" s="1" t="n">
        <v>45983</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2332-2024</t>
        </is>
      </c>
      <c r="B53" s="1" t="n">
        <v>45310</v>
      </c>
      <c r="C53" s="1" t="n">
        <v>45983</v>
      </c>
      <c r="D53" t="inlineStr">
        <is>
          <t>UPPSALA LÄN</t>
        </is>
      </c>
      <c r="E53" t="inlineStr">
        <is>
          <t>TIERP</t>
        </is>
      </c>
      <c r="G53" t="n">
        <v>3.7</v>
      </c>
      <c r="H53" t="n">
        <v>1</v>
      </c>
      <c r="I53" t="n">
        <v>0</v>
      </c>
      <c r="J53" t="n">
        <v>1</v>
      </c>
      <c r="K53" t="n">
        <v>0</v>
      </c>
      <c r="L53" t="n">
        <v>0</v>
      </c>
      <c r="M53" t="n">
        <v>0</v>
      </c>
      <c r="N53" t="n">
        <v>0</v>
      </c>
      <c r="O53" t="n">
        <v>1</v>
      </c>
      <c r="P53" t="n">
        <v>0</v>
      </c>
      <c r="Q53" t="n">
        <v>1</v>
      </c>
      <c r="R53" s="2" t="inlineStr">
        <is>
          <t>Talltita</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56972-2022</t>
        </is>
      </c>
      <c r="B54" s="1" t="n">
        <v>44894</v>
      </c>
      <c r="C54" s="1" t="n">
        <v>45983</v>
      </c>
      <c r="D54" t="inlineStr">
        <is>
          <t>UPPSALA LÄN</t>
        </is>
      </c>
      <c r="E54" t="inlineStr">
        <is>
          <t>TIERP</t>
        </is>
      </c>
      <c r="G54" t="n">
        <v>11</v>
      </c>
      <c r="H54" t="n">
        <v>0</v>
      </c>
      <c r="I54" t="n">
        <v>0</v>
      </c>
      <c r="J54" t="n">
        <v>0</v>
      </c>
      <c r="K54" t="n">
        <v>1</v>
      </c>
      <c r="L54" t="n">
        <v>0</v>
      </c>
      <c r="M54" t="n">
        <v>0</v>
      </c>
      <c r="N54" t="n">
        <v>0</v>
      </c>
      <c r="O54" t="n">
        <v>1</v>
      </c>
      <c r="P54" t="n">
        <v>1</v>
      </c>
      <c r="Q54" t="n">
        <v>1</v>
      </c>
      <c r="R54" s="2" t="inlineStr">
        <is>
          <t>Violgubbe</t>
        </is>
      </c>
      <c r="S54">
        <f>HYPERLINK("https://klasma.github.io/Logging_0360/artfynd/A 56972-2022 artfynd.xlsx", "A 56972-2022")</f>
        <v/>
      </c>
      <c r="T54">
        <f>HYPERLINK("https://klasma.github.io/Logging_0360/kartor/A 56972-2022 karta.png", "A 56972-2022")</f>
        <v/>
      </c>
      <c r="V54">
        <f>HYPERLINK("https://klasma.github.io/Logging_0360/klagomål/A 56972-2022 FSC-klagomål.docx", "A 56972-2022")</f>
        <v/>
      </c>
      <c r="W54">
        <f>HYPERLINK("https://klasma.github.io/Logging_0360/klagomålsmail/A 56972-2022 FSC-klagomål mail.docx", "A 56972-2022")</f>
        <v/>
      </c>
      <c r="X54">
        <f>HYPERLINK("https://klasma.github.io/Logging_0360/tillsyn/A 56972-2022 tillsynsbegäran.docx", "A 56972-2022")</f>
        <v/>
      </c>
      <c r="Y54">
        <f>HYPERLINK("https://klasma.github.io/Logging_0360/tillsynsmail/A 56972-2022 tillsynsbegäran mail.docx", "A 56972-2022")</f>
        <v/>
      </c>
    </row>
    <row r="55" ht="15" customHeight="1">
      <c r="A55" t="inlineStr">
        <is>
          <t>A 55331-2024</t>
        </is>
      </c>
      <c r="B55" s="1" t="n">
        <v>45621.68104166666</v>
      </c>
      <c r="C55" s="1" t="n">
        <v>45983</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57398-2024</t>
        </is>
      </c>
      <c r="B56" s="1" t="n">
        <v>45629</v>
      </c>
      <c r="C56" s="1" t="n">
        <v>45983</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52002-2025</t>
        </is>
      </c>
      <c r="B57" s="1" t="n">
        <v>45952.59070601852</v>
      </c>
      <c r="C57" s="1" t="n">
        <v>45983</v>
      </c>
      <c r="D57" t="inlineStr">
        <is>
          <t>UPPSALA LÄN</t>
        </is>
      </c>
      <c r="E57" t="inlineStr">
        <is>
          <t>TIERP</t>
        </is>
      </c>
      <c r="G57" t="n">
        <v>7.8</v>
      </c>
      <c r="H57" t="n">
        <v>0</v>
      </c>
      <c r="I57" t="n">
        <v>0</v>
      </c>
      <c r="J57" t="n">
        <v>1</v>
      </c>
      <c r="K57" t="n">
        <v>0</v>
      </c>
      <c r="L57" t="n">
        <v>0</v>
      </c>
      <c r="M57" t="n">
        <v>0</v>
      </c>
      <c r="N57" t="n">
        <v>0</v>
      </c>
      <c r="O57" t="n">
        <v>1</v>
      </c>
      <c r="P57" t="n">
        <v>0</v>
      </c>
      <c r="Q57" t="n">
        <v>1</v>
      </c>
      <c r="R57" s="2" t="inlineStr">
        <is>
          <t>Grentaggsvamp</t>
        </is>
      </c>
      <c r="S57">
        <f>HYPERLINK("https://klasma.github.io/Logging_0360/artfynd/A 52002-2025 artfynd.xlsx", "A 52002-2025")</f>
        <v/>
      </c>
      <c r="T57">
        <f>HYPERLINK("https://klasma.github.io/Logging_0360/kartor/A 52002-2025 karta.png", "A 52002-2025")</f>
        <v/>
      </c>
      <c r="V57">
        <f>HYPERLINK("https://klasma.github.io/Logging_0360/klagomål/A 52002-2025 FSC-klagomål.docx", "A 52002-2025")</f>
        <v/>
      </c>
      <c r="W57">
        <f>HYPERLINK("https://klasma.github.io/Logging_0360/klagomålsmail/A 52002-2025 FSC-klagomål mail.docx", "A 52002-2025")</f>
        <v/>
      </c>
      <c r="X57">
        <f>HYPERLINK("https://klasma.github.io/Logging_0360/tillsyn/A 52002-2025 tillsynsbegäran.docx", "A 52002-2025")</f>
        <v/>
      </c>
      <c r="Y57">
        <f>HYPERLINK("https://klasma.github.io/Logging_0360/tillsynsmail/A 52002-2025 tillsynsbegäran mail.docx", "A 52002-2025")</f>
        <v/>
      </c>
    </row>
    <row r="58" ht="15" customHeight="1">
      <c r="A58" t="inlineStr">
        <is>
          <t>A 52204-2025</t>
        </is>
      </c>
      <c r="B58" s="1" t="n">
        <v>45953.40888888889</v>
      </c>
      <c r="C58" s="1" t="n">
        <v>45983</v>
      </c>
      <c r="D58" t="inlineStr">
        <is>
          <t>UPPSALA LÄN</t>
        </is>
      </c>
      <c r="E58" t="inlineStr">
        <is>
          <t>TIERP</t>
        </is>
      </c>
      <c r="F58" t="inlineStr">
        <is>
          <t>Bergvik skog öst AB</t>
        </is>
      </c>
      <c r="G58" t="n">
        <v>5.6</v>
      </c>
      <c r="H58" t="n">
        <v>1</v>
      </c>
      <c r="I58" t="n">
        <v>0</v>
      </c>
      <c r="J58" t="n">
        <v>0</v>
      </c>
      <c r="K58" t="n">
        <v>0</v>
      </c>
      <c r="L58" t="n">
        <v>0</v>
      </c>
      <c r="M58" t="n">
        <v>0</v>
      </c>
      <c r="N58" t="n">
        <v>0</v>
      </c>
      <c r="O58" t="n">
        <v>0</v>
      </c>
      <c r="P58" t="n">
        <v>0</v>
      </c>
      <c r="Q58" t="n">
        <v>1</v>
      </c>
      <c r="R58" s="2" t="inlineStr">
        <is>
          <t>Blåsippa</t>
        </is>
      </c>
      <c r="S58">
        <f>HYPERLINK("https://klasma.github.io/Logging_0360/artfynd/A 52204-2025 artfynd.xlsx", "A 52204-2025")</f>
        <v/>
      </c>
      <c r="T58">
        <f>HYPERLINK("https://klasma.github.io/Logging_0360/kartor/A 52204-2025 karta.png", "A 52204-2025")</f>
        <v/>
      </c>
      <c r="V58">
        <f>HYPERLINK("https://klasma.github.io/Logging_0360/klagomål/A 52204-2025 FSC-klagomål.docx", "A 52204-2025")</f>
        <v/>
      </c>
      <c r="W58">
        <f>HYPERLINK("https://klasma.github.io/Logging_0360/klagomålsmail/A 52204-2025 FSC-klagomål mail.docx", "A 52204-2025")</f>
        <v/>
      </c>
      <c r="X58">
        <f>HYPERLINK("https://klasma.github.io/Logging_0360/tillsyn/A 52204-2025 tillsynsbegäran.docx", "A 52204-2025")</f>
        <v/>
      </c>
      <c r="Y58">
        <f>HYPERLINK("https://klasma.github.io/Logging_0360/tillsynsmail/A 52204-2025 tillsynsbegäran mail.docx", "A 52204-2025")</f>
        <v/>
      </c>
    </row>
    <row r="59" ht="15" customHeight="1">
      <c r="A59" t="inlineStr">
        <is>
          <t>A 52211-2025</t>
        </is>
      </c>
      <c r="B59" s="1" t="n">
        <v>45953.42253472222</v>
      </c>
      <c r="C59" s="1" t="n">
        <v>45983</v>
      </c>
      <c r="D59" t="inlineStr">
        <is>
          <t>UPPSALA LÄN</t>
        </is>
      </c>
      <c r="E59" t="inlineStr">
        <is>
          <t>TIERP</t>
        </is>
      </c>
      <c r="F59" t="inlineStr">
        <is>
          <t>Bergvik skog öst AB</t>
        </is>
      </c>
      <c r="G59" t="n">
        <v>7.8</v>
      </c>
      <c r="H59" t="n">
        <v>1</v>
      </c>
      <c r="I59" t="n">
        <v>0</v>
      </c>
      <c r="J59" t="n">
        <v>1</v>
      </c>
      <c r="K59" t="n">
        <v>0</v>
      </c>
      <c r="L59" t="n">
        <v>0</v>
      </c>
      <c r="M59" t="n">
        <v>0</v>
      </c>
      <c r="N59" t="n">
        <v>0</v>
      </c>
      <c r="O59" t="n">
        <v>1</v>
      </c>
      <c r="P59" t="n">
        <v>0</v>
      </c>
      <c r="Q59" t="n">
        <v>1</v>
      </c>
      <c r="R59" s="2" t="inlineStr">
        <is>
          <t>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58107-2024</t>
        </is>
      </c>
      <c r="B60" s="1" t="n">
        <v>45632</v>
      </c>
      <c r="C60" s="1" t="n">
        <v>45983</v>
      </c>
      <c r="D60" t="inlineStr">
        <is>
          <t>UPPSALA LÄN</t>
        </is>
      </c>
      <c r="E60" t="inlineStr">
        <is>
          <t>TIERP</t>
        </is>
      </c>
      <c r="G60" t="n">
        <v>0.6</v>
      </c>
      <c r="H60" t="n">
        <v>1</v>
      </c>
      <c r="I60" t="n">
        <v>1</v>
      </c>
      <c r="J60" t="n">
        <v>0</v>
      </c>
      <c r="K60" t="n">
        <v>0</v>
      </c>
      <c r="L60" t="n">
        <v>0</v>
      </c>
      <c r="M60" t="n">
        <v>0</v>
      </c>
      <c r="N60" t="n">
        <v>0</v>
      </c>
      <c r="O60" t="n">
        <v>0</v>
      </c>
      <c r="P60" t="n">
        <v>0</v>
      </c>
      <c r="Q60" t="n">
        <v>1</v>
      </c>
      <c r="R60" s="2" t="inlineStr">
        <is>
          <t>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44680-2025</t>
        </is>
      </c>
      <c r="B61" s="1" t="n">
        <v>45917.57564814815</v>
      </c>
      <c r="C61" s="1" t="n">
        <v>45983</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45460-2025</t>
        </is>
      </c>
      <c r="B62" s="1" t="n">
        <v>45922.49263888889</v>
      </c>
      <c r="C62" s="1" t="n">
        <v>45983</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54141-2025</t>
        </is>
      </c>
      <c r="B63" s="1" t="n">
        <v>45964.47799768519</v>
      </c>
      <c r="C63" s="1" t="n">
        <v>45983</v>
      </c>
      <c r="D63" t="inlineStr">
        <is>
          <t>UPPSALA LÄN</t>
        </is>
      </c>
      <c r="E63" t="inlineStr">
        <is>
          <t>TIERP</t>
        </is>
      </c>
      <c r="G63" t="n">
        <v>1.7</v>
      </c>
      <c r="H63" t="n">
        <v>0</v>
      </c>
      <c r="I63" t="n">
        <v>0</v>
      </c>
      <c r="J63" t="n">
        <v>0</v>
      </c>
      <c r="K63" t="n">
        <v>1</v>
      </c>
      <c r="L63" t="n">
        <v>0</v>
      </c>
      <c r="M63" t="n">
        <v>0</v>
      </c>
      <c r="N63" t="n">
        <v>0</v>
      </c>
      <c r="O63" t="n">
        <v>1</v>
      </c>
      <c r="P63" t="n">
        <v>1</v>
      </c>
      <c r="Q63" t="n">
        <v>1</v>
      </c>
      <c r="R63" s="2" t="inlineStr">
        <is>
          <t>Violgubbe</t>
        </is>
      </c>
      <c r="S63">
        <f>HYPERLINK("https://klasma.github.io/Logging_0360/artfynd/A 54141-2025 artfynd.xlsx", "A 54141-2025")</f>
        <v/>
      </c>
      <c r="T63">
        <f>HYPERLINK("https://klasma.github.io/Logging_0360/kartor/A 54141-2025 karta.png", "A 54141-2025")</f>
        <v/>
      </c>
      <c r="V63">
        <f>HYPERLINK("https://klasma.github.io/Logging_0360/klagomål/A 54141-2025 FSC-klagomål.docx", "A 54141-2025")</f>
        <v/>
      </c>
      <c r="W63">
        <f>HYPERLINK("https://klasma.github.io/Logging_0360/klagomålsmail/A 54141-2025 FSC-klagomål mail.docx", "A 54141-2025")</f>
        <v/>
      </c>
      <c r="X63">
        <f>HYPERLINK("https://klasma.github.io/Logging_0360/tillsyn/A 54141-2025 tillsynsbegäran.docx", "A 54141-2025")</f>
        <v/>
      </c>
      <c r="Y63">
        <f>HYPERLINK("https://klasma.github.io/Logging_0360/tillsynsmail/A 54141-2025 tillsynsbegäran mail.docx", "A 54141-2025")</f>
        <v/>
      </c>
    </row>
    <row r="64" ht="15" customHeight="1">
      <c r="A64" t="inlineStr">
        <is>
          <t>A 54008-2025</t>
        </is>
      </c>
      <c r="B64" s="1" t="n">
        <v>45961.61498842593</v>
      </c>
      <c r="C64" s="1" t="n">
        <v>45983</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54831-2025</t>
        </is>
      </c>
      <c r="B65" s="1" t="n">
        <v>45966.67679398148</v>
      </c>
      <c r="C65" s="1" t="n">
        <v>45983</v>
      </c>
      <c r="D65" t="inlineStr">
        <is>
          <t>UPPSALA LÄN</t>
        </is>
      </c>
      <c r="E65" t="inlineStr">
        <is>
          <t>TIERP</t>
        </is>
      </c>
      <c r="F65" t="inlineStr">
        <is>
          <t>Bergvik skog öst AB</t>
        </is>
      </c>
      <c r="G65" t="n">
        <v>5.3</v>
      </c>
      <c r="H65" t="n">
        <v>1</v>
      </c>
      <c r="I65" t="n">
        <v>0</v>
      </c>
      <c r="J65" t="n">
        <v>0</v>
      </c>
      <c r="K65" t="n">
        <v>0</v>
      </c>
      <c r="L65" t="n">
        <v>0</v>
      </c>
      <c r="M65" t="n">
        <v>0</v>
      </c>
      <c r="N65" t="n">
        <v>0</v>
      </c>
      <c r="O65" t="n">
        <v>0</v>
      </c>
      <c r="P65" t="n">
        <v>0</v>
      </c>
      <c r="Q65" t="n">
        <v>1</v>
      </c>
      <c r="R65" s="2" t="inlineStr">
        <is>
          <t>Tjäder</t>
        </is>
      </c>
      <c r="S65">
        <f>HYPERLINK("https://klasma.github.io/Logging_0360/artfynd/A 54831-2025 artfynd.xlsx", "A 54831-2025")</f>
        <v/>
      </c>
      <c r="T65">
        <f>HYPERLINK("https://klasma.github.io/Logging_0360/kartor/A 54831-2025 karta.png", "A 54831-2025")</f>
        <v/>
      </c>
      <c r="V65">
        <f>HYPERLINK("https://klasma.github.io/Logging_0360/klagomål/A 54831-2025 FSC-klagomål.docx", "A 54831-2025")</f>
        <v/>
      </c>
      <c r="W65">
        <f>HYPERLINK("https://klasma.github.io/Logging_0360/klagomålsmail/A 54831-2025 FSC-klagomål mail.docx", "A 54831-2025")</f>
        <v/>
      </c>
      <c r="X65">
        <f>HYPERLINK("https://klasma.github.io/Logging_0360/tillsyn/A 54831-2025 tillsynsbegäran.docx", "A 54831-2025")</f>
        <v/>
      </c>
      <c r="Y65">
        <f>HYPERLINK("https://klasma.github.io/Logging_0360/tillsynsmail/A 54831-2025 tillsynsbegäran mail.docx", "A 54831-2025")</f>
        <v/>
      </c>
      <c r="Z65">
        <f>HYPERLINK("https://klasma.github.io/Logging_0360/fåglar/A 54831-2025 prioriterade fågelarter.docx", "A 54831-2025")</f>
        <v/>
      </c>
    </row>
    <row r="66" ht="15" customHeight="1">
      <c r="A66" t="inlineStr">
        <is>
          <t>A 15680-2025</t>
        </is>
      </c>
      <c r="B66" s="1" t="n">
        <v>45748.4525</v>
      </c>
      <c r="C66" s="1" t="n">
        <v>45983</v>
      </c>
      <c r="D66" t="inlineStr">
        <is>
          <t>UPPSALA LÄN</t>
        </is>
      </c>
      <c r="E66" t="inlineStr">
        <is>
          <t>TIERP</t>
        </is>
      </c>
      <c r="F66" t="inlineStr">
        <is>
          <t>Kyrkan</t>
        </is>
      </c>
      <c r="G66" t="n">
        <v>13.5</v>
      </c>
      <c r="H66" t="n">
        <v>1</v>
      </c>
      <c r="I66" t="n">
        <v>0</v>
      </c>
      <c r="J66" t="n">
        <v>0</v>
      </c>
      <c r="K66" t="n">
        <v>0</v>
      </c>
      <c r="L66" t="n">
        <v>0</v>
      </c>
      <c r="M66" t="n">
        <v>0</v>
      </c>
      <c r="N66" t="n">
        <v>0</v>
      </c>
      <c r="O66" t="n">
        <v>0</v>
      </c>
      <c r="P66" t="n">
        <v>0</v>
      </c>
      <c r="Q66" t="n">
        <v>1</v>
      </c>
      <c r="R66" s="2" t="inlineStr">
        <is>
          <t>Mattlummer</t>
        </is>
      </c>
      <c r="S66">
        <f>HYPERLINK("https://klasma.github.io/Logging_0360/artfynd/A 15680-2025 artfynd.xlsx", "A 15680-2025")</f>
        <v/>
      </c>
      <c r="T66">
        <f>HYPERLINK("https://klasma.github.io/Logging_0360/kartor/A 15680-2025 karta.png", "A 15680-2025")</f>
        <v/>
      </c>
      <c r="V66">
        <f>HYPERLINK("https://klasma.github.io/Logging_0360/klagomål/A 15680-2025 FSC-klagomål.docx", "A 15680-2025")</f>
        <v/>
      </c>
      <c r="W66">
        <f>HYPERLINK("https://klasma.github.io/Logging_0360/klagomålsmail/A 15680-2025 FSC-klagomål mail.docx", "A 15680-2025")</f>
        <v/>
      </c>
      <c r="X66">
        <f>HYPERLINK("https://klasma.github.io/Logging_0360/tillsyn/A 15680-2025 tillsynsbegäran.docx", "A 15680-2025")</f>
        <v/>
      </c>
      <c r="Y66">
        <f>HYPERLINK("https://klasma.github.io/Logging_0360/tillsynsmail/A 15680-2025 tillsynsbegäran mail.docx", "A 15680-2025")</f>
        <v/>
      </c>
    </row>
    <row r="67" ht="15" customHeight="1">
      <c r="A67" t="inlineStr">
        <is>
          <t>A 27855-2025</t>
        </is>
      </c>
      <c r="B67" s="1" t="n">
        <v>45817</v>
      </c>
      <c r="C67" s="1" t="n">
        <v>45983</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45983</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47520-2025</t>
        </is>
      </c>
      <c r="B69" s="1" t="n">
        <v>45931.32129629629</v>
      </c>
      <c r="C69" s="1" t="n">
        <v>45983</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47584-2025</t>
        </is>
      </c>
      <c r="B70" s="1" t="n">
        <v>45931.43355324074</v>
      </c>
      <c r="C70" s="1" t="n">
        <v>45983</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3853-2025</t>
        </is>
      </c>
      <c r="B71" s="1" t="n">
        <v>45683</v>
      </c>
      <c r="C71" s="1" t="n">
        <v>45983</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49776-2025</t>
        </is>
      </c>
      <c r="B72" s="1" t="n">
        <v>45940.3791087963</v>
      </c>
      <c r="C72" s="1" t="n">
        <v>45983</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18619-2025</t>
        </is>
      </c>
      <c r="B73" s="1" t="n">
        <v>45763.51265046297</v>
      </c>
      <c r="C73" s="1" t="n">
        <v>45983</v>
      </c>
      <c r="D73" t="inlineStr">
        <is>
          <t>UPPSALA LÄN</t>
        </is>
      </c>
      <c r="E73" t="inlineStr">
        <is>
          <t>TIERP</t>
        </is>
      </c>
      <c r="G73" t="n">
        <v>4.6</v>
      </c>
      <c r="H73" t="n">
        <v>1</v>
      </c>
      <c r="I73" t="n">
        <v>1</v>
      </c>
      <c r="J73" t="n">
        <v>0</v>
      </c>
      <c r="K73" t="n">
        <v>0</v>
      </c>
      <c r="L73" t="n">
        <v>0</v>
      </c>
      <c r="M73" t="n">
        <v>0</v>
      </c>
      <c r="N73" t="n">
        <v>0</v>
      </c>
      <c r="O73" t="n">
        <v>0</v>
      </c>
      <c r="P73" t="n">
        <v>0</v>
      </c>
      <c r="Q73" t="n">
        <v>1</v>
      </c>
      <c r="R73" s="2" t="inlineStr">
        <is>
          <t>Nästrot</t>
        </is>
      </c>
      <c r="S73">
        <f>HYPERLINK("https://klasma.github.io/Logging_0360/artfynd/A 18619-2025 artfynd.xlsx", "A 18619-2025")</f>
        <v/>
      </c>
      <c r="T73">
        <f>HYPERLINK("https://klasma.github.io/Logging_0360/kartor/A 18619-2025 karta.png", "A 18619-2025")</f>
        <v/>
      </c>
      <c r="V73">
        <f>HYPERLINK("https://klasma.github.io/Logging_0360/klagomål/A 18619-2025 FSC-klagomål.docx", "A 18619-2025")</f>
        <v/>
      </c>
      <c r="W73">
        <f>HYPERLINK("https://klasma.github.io/Logging_0360/klagomålsmail/A 18619-2025 FSC-klagomål mail.docx", "A 18619-2025")</f>
        <v/>
      </c>
      <c r="X73">
        <f>HYPERLINK("https://klasma.github.io/Logging_0360/tillsyn/A 18619-2025 tillsynsbegäran.docx", "A 18619-2025")</f>
        <v/>
      </c>
      <c r="Y73">
        <f>HYPERLINK("https://klasma.github.io/Logging_0360/tillsynsmail/A 18619-2025 tillsynsbegäran mail.docx", "A 18619-2025")</f>
        <v/>
      </c>
    </row>
    <row r="74" ht="15" customHeight="1">
      <c r="A74" t="inlineStr">
        <is>
          <t>A 14515-2025</t>
        </is>
      </c>
      <c r="B74" s="1" t="n">
        <v>45741.63833333334</v>
      </c>
      <c r="C74" s="1" t="n">
        <v>45983</v>
      </c>
      <c r="D74" t="inlineStr">
        <is>
          <t>UPPSALA LÄN</t>
        </is>
      </c>
      <c r="E74" t="inlineStr">
        <is>
          <t>TIERP</t>
        </is>
      </c>
      <c r="F74" t="inlineStr">
        <is>
          <t>Bergvik skog väst AB</t>
        </is>
      </c>
      <c r="G74" t="n">
        <v>7.7</v>
      </c>
      <c r="H74" t="n">
        <v>1</v>
      </c>
      <c r="I74" t="n">
        <v>0</v>
      </c>
      <c r="J74" t="n">
        <v>1</v>
      </c>
      <c r="K74" t="n">
        <v>0</v>
      </c>
      <c r="L74" t="n">
        <v>0</v>
      </c>
      <c r="M74" t="n">
        <v>0</v>
      </c>
      <c r="N74" t="n">
        <v>0</v>
      </c>
      <c r="O74" t="n">
        <v>1</v>
      </c>
      <c r="P74" t="n">
        <v>0</v>
      </c>
      <c r="Q74" t="n">
        <v>1</v>
      </c>
      <c r="R74" s="2" t="inlineStr">
        <is>
          <t>Talltita</t>
        </is>
      </c>
      <c r="S74">
        <f>HYPERLINK("https://klasma.github.io/Logging_0360/artfynd/A 14515-2025 artfynd.xlsx", "A 14515-2025")</f>
        <v/>
      </c>
      <c r="T74">
        <f>HYPERLINK("https://klasma.github.io/Logging_0360/kartor/A 14515-2025 karta.png", "A 14515-2025")</f>
        <v/>
      </c>
      <c r="V74">
        <f>HYPERLINK("https://klasma.github.io/Logging_0360/klagomål/A 14515-2025 FSC-klagomål.docx", "A 14515-2025")</f>
        <v/>
      </c>
      <c r="W74">
        <f>HYPERLINK("https://klasma.github.io/Logging_0360/klagomålsmail/A 14515-2025 FSC-klagomål mail.docx", "A 14515-2025")</f>
        <v/>
      </c>
      <c r="X74">
        <f>HYPERLINK("https://klasma.github.io/Logging_0360/tillsyn/A 14515-2025 tillsynsbegäran.docx", "A 14515-2025")</f>
        <v/>
      </c>
      <c r="Y74">
        <f>HYPERLINK("https://klasma.github.io/Logging_0360/tillsynsmail/A 14515-2025 tillsynsbegäran mail.docx", "A 14515-2025")</f>
        <v/>
      </c>
      <c r="Z74">
        <f>HYPERLINK("https://klasma.github.io/Logging_0360/fåglar/A 14515-2025 prioriterade fågelarter.docx", "A 14515-2025")</f>
        <v/>
      </c>
    </row>
    <row r="75" ht="15" customHeight="1">
      <c r="A75" t="inlineStr">
        <is>
          <t>A 38821-2023</t>
        </is>
      </c>
      <c r="B75" s="1" t="n">
        <v>45163</v>
      </c>
      <c r="C75" s="1" t="n">
        <v>45983</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45983</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45983</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45983</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45983</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45983</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45983</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45983</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45983</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43680-2022</t>
        </is>
      </c>
      <c r="B84" s="1" t="n">
        <v>44837</v>
      </c>
      <c r="C84" s="1" t="n">
        <v>45983</v>
      </c>
      <c r="D84" t="inlineStr">
        <is>
          <t>UPPSALA LÄN</t>
        </is>
      </c>
      <c r="E84" t="inlineStr">
        <is>
          <t>TIERP</t>
        </is>
      </c>
      <c r="G84" t="n">
        <v>4.2</v>
      </c>
      <c r="H84" t="n">
        <v>0</v>
      </c>
      <c r="I84" t="n">
        <v>0</v>
      </c>
      <c r="J84" t="n">
        <v>0</v>
      </c>
      <c r="K84" t="n">
        <v>0</v>
      </c>
      <c r="L84" t="n">
        <v>0</v>
      </c>
      <c r="M84" t="n">
        <v>0</v>
      </c>
      <c r="N84" t="n">
        <v>0</v>
      </c>
      <c r="O84" t="n">
        <v>0</v>
      </c>
      <c r="P84" t="n">
        <v>0</v>
      </c>
      <c r="Q84" t="n">
        <v>0</v>
      </c>
      <c r="R84" s="2" t="inlineStr"/>
    </row>
    <row r="85" ht="15" customHeight="1">
      <c r="A85" t="inlineStr">
        <is>
          <t>A 18996-2021</t>
        </is>
      </c>
      <c r="B85" s="1" t="n">
        <v>44308</v>
      </c>
      <c r="C85" s="1" t="n">
        <v>45983</v>
      </c>
      <c r="D85" t="inlineStr">
        <is>
          <t>UPPSALA LÄN</t>
        </is>
      </c>
      <c r="E85" t="inlineStr">
        <is>
          <t>TIERP</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11937-2021</t>
        </is>
      </c>
      <c r="B86" s="1" t="n">
        <v>44266</v>
      </c>
      <c r="C86" s="1" t="n">
        <v>45983</v>
      </c>
      <c r="D86" t="inlineStr">
        <is>
          <t>UPPSALA LÄN</t>
        </is>
      </c>
      <c r="E86" t="inlineStr">
        <is>
          <t>TIERP</t>
        </is>
      </c>
      <c r="F86" t="inlineStr">
        <is>
          <t>Bergvik skog öst AB</t>
        </is>
      </c>
      <c r="G86" t="n">
        <v>0.9</v>
      </c>
      <c r="H86" t="n">
        <v>0</v>
      </c>
      <c r="I86" t="n">
        <v>0</v>
      </c>
      <c r="J86" t="n">
        <v>0</v>
      </c>
      <c r="K86" t="n">
        <v>0</v>
      </c>
      <c r="L86" t="n">
        <v>0</v>
      </c>
      <c r="M86" t="n">
        <v>0</v>
      </c>
      <c r="N86" t="n">
        <v>0</v>
      </c>
      <c r="O86" t="n">
        <v>0</v>
      </c>
      <c r="P86" t="n">
        <v>0</v>
      </c>
      <c r="Q86" t="n">
        <v>0</v>
      </c>
      <c r="R86" s="2" t="inlineStr"/>
    </row>
    <row r="87" ht="15" customHeight="1">
      <c r="A87" t="inlineStr">
        <is>
          <t>A 24431-2021</t>
        </is>
      </c>
      <c r="B87" s="1" t="n">
        <v>44337</v>
      </c>
      <c r="C87" s="1" t="n">
        <v>45983</v>
      </c>
      <c r="D87" t="inlineStr">
        <is>
          <t>UPPSALA LÄN</t>
        </is>
      </c>
      <c r="E87" t="inlineStr">
        <is>
          <t>TIERP</t>
        </is>
      </c>
      <c r="G87" t="n">
        <v>5.2</v>
      </c>
      <c r="H87" t="n">
        <v>0</v>
      </c>
      <c r="I87" t="n">
        <v>0</v>
      </c>
      <c r="J87" t="n">
        <v>0</v>
      </c>
      <c r="K87" t="n">
        <v>0</v>
      </c>
      <c r="L87" t="n">
        <v>0</v>
      </c>
      <c r="M87" t="n">
        <v>0</v>
      </c>
      <c r="N87" t="n">
        <v>0</v>
      </c>
      <c r="O87" t="n">
        <v>0</v>
      </c>
      <c r="P87" t="n">
        <v>0</v>
      </c>
      <c r="Q87" t="n">
        <v>0</v>
      </c>
      <c r="R87" s="2" t="inlineStr"/>
    </row>
    <row r="88" ht="15" customHeight="1">
      <c r="A88" t="inlineStr">
        <is>
          <t>A 48880-2021</t>
        </is>
      </c>
      <c r="B88" s="1" t="n">
        <v>44452</v>
      </c>
      <c r="C88" s="1" t="n">
        <v>45983</v>
      </c>
      <c r="D88" t="inlineStr">
        <is>
          <t>UPPSALA LÄN</t>
        </is>
      </c>
      <c r="E88" t="inlineStr">
        <is>
          <t>TIERP</t>
        </is>
      </c>
      <c r="G88" t="n">
        <v>2</v>
      </c>
      <c r="H88" t="n">
        <v>0</v>
      </c>
      <c r="I88" t="n">
        <v>0</v>
      </c>
      <c r="J88" t="n">
        <v>0</v>
      </c>
      <c r="K88" t="n">
        <v>0</v>
      </c>
      <c r="L88" t="n">
        <v>0</v>
      </c>
      <c r="M88" t="n">
        <v>0</v>
      </c>
      <c r="N88" t="n">
        <v>0</v>
      </c>
      <c r="O88" t="n">
        <v>0</v>
      </c>
      <c r="P88" t="n">
        <v>0</v>
      </c>
      <c r="Q88" t="n">
        <v>0</v>
      </c>
      <c r="R88" s="2" t="inlineStr"/>
    </row>
    <row r="89" ht="15" customHeight="1">
      <c r="A89" t="inlineStr">
        <is>
          <t>A 52025-2021</t>
        </is>
      </c>
      <c r="B89" s="1" t="n">
        <v>44463</v>
      </c>
      <c r="C89" s="1" t="n">
        <v>45983</v>
      </c>
      <c r="D89" t="inlineStr">
        <is>
          <t>UPPSALA LÄN</t>
        </is>
      </c>
      <c r="E89" t="inlineStr">
        <is>
          <t>TIERP</t>
        </is>
      </c>
      <c r="F89" t="inlineStr">
        <is>
          <t>Bergvik skog öst AB</t>
        </is>
      </c>
      <c r="G89" t="n">
        <v>4.8</v>
      </c>
      <c r="H89" t="n">
        <v>0</v>
      </c>
      <c r="I89" t="n">
        <v>0</v>
      </c>
      <c r="J89" t="n">
        <v>0</v>
      </c>
      <c r="K89" t="n">
        <v>0</v>
      </c>
      <c r="L89" t="n">
        <v>0</v>
      </c>
      <c r="M89" t="n">
        <v>0</v>
      </c>
      <c r="N89" t="n">
        <v>0</v>
      </c>
      <c r="O89" t="n">
        <v>0</v>
      </c>
      <c r="P89" t="n">
        <v>0</v>
      </c>
      <c r="Q89" t="n">
        <v>0</v>
      </c>
      <c r="R89" s="2" t="inlineStr"/>
    </row>
    <row r="90" ht="15" customHeight="1">
      <c r="A90" t="inlineStr">
        <is>
          <t>A 5204-2022</t>
        </is>
      </c>
      <c r="B90" s="1" t="n">
        <v>44594.46940972222</v>
      </c>
      <c r="C90" s="1" t="n">
        <v>45983</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74473-2021</t>
        </is>
      </c>
      <c r="B91" s="1" t="n">
        <v>44560</v>
      </c>
      <c r="C91" s="1" t="n">
        <v>45983</v>
      </c>
      <c r="D91" t="inlineStr">
        <is>
          <t>UPPSALA LÄN</t>
        </is>
      </c>
      <c r="E91" t="inlineStr">
        <is>
          <t>TIERP</t>
        </is>
      </c>
      <c r="G91" t="n">
        <v>0.5</v>
      </c>
      <c r="H91" t="n">
        <v>0</v>
      </c>
      <c r="I91" t="n">
        <v>0</v>
      </c>
      <c r="J91" t="n">
        <v>0</v>
      </c>
      <c r="K91" t="n">
        <v>0</v>
      </c>
      <c r="L91" t="n">
        <v>0</v>
      </c>
      <c r="M91" t="n">
        <v>0</v>
      </c>
      <c r="N91" t="n">
        <v>0</v>
      </c>
      <c r="O91" t="n">
        <v>0</v>
      </c>
      <c r="P91" t="n">
        <v>0</v>
      </c>
      <c r="Q91" t="n">
        <v>0</v>
      </c>
      <c r="R91" s="2" t="inlineStr"/>
    </row>
    <row r="92" ht="15" customHeight="1">
      <c r="A92" t="inlineStr">
        <is>
          <t>A 22592-2022</t>
        </is>
      </c>
      <c r="B92" s="1" t="n">
        <v>44713</v>
      </c>
      <c r="C92" s="1" t="n">
        <v>45983</v>
      </c>
      <c r="D92" t="inlineStr">
        <is>
          <t>UPPSALA LÄN</t>
        </is>
      </c>
      <c r="E92" t="inlineStr">
        <is>
          <t>TIERP</t>
        </is>
      </c>
      <c r="F92" t="inlineStr">
        <is>
          <t>Bergvik skog väst AB</t>
        </is>
      </c>
      <c r="G92" t="n">
        <v>9.800000000000001</v>
      </c>
      <c r="H92" t="n">
        <v>0</v>
      </c>
      <c r="I92" t="n">
        <v>0</v>
      </c>
      <c r="J92" t="n">
        <v>0</v>
      </c>
      <c r="K92" t="n">
        <v>0</v>
      </c>
      <c r="L92" t="n">
        <v>0</v>
      </c>
      <c r="M92" t="n">
        <v>0</v>
      </c>
      <c r="N92" t="n">
        <v>0</v>
      </c>
      <c r="O92" t="n">
        <v>0</v>
      </c>
      <c r="P92" t="n">
        <v>0</v>
      </c>
      <c r="Q92" t="n">
        <v>0</v>
      </c>
      <c r="R92" s="2" t="inlineStr"/>
    </row>
    <row r="93" ht="15" customHeight="1">
      <c r="A93" t="inlineStr">
        <is>
          <t>A 65491-2021</t>
        </is>
      </c>
      <c r="B93" s="1" t="n">
        <v>44516.36832175926</v>
      </c>
      <c r="C93" s="1" t="n">
        <v>45983</v>
      </c>
      <c r="D93" t="inlineStr">
        <is>
          <t>UPPSALA LÄN</t>
        </is>
      </c>
      <c r="E93" t="inlineStr">
        <is>
          <t>TIERP</t>
        </is>
      </c>
      <c r="G93" t="n">
        <v>0.8</v>
      </c>
      <c r="H93" t="n">
        <v>0</v>
      </c>
      <c r="I93" t="n">
        <v>0</v>
      </c>
      <c r="J93" t="n">
        <v>0</v>
      </c>
      <c r="K93" t="n">
        <v>0</v>
      </c>
      <c r="L93" t="n">
        <v>0</v>
      </c>
      <c r="M93" t="n">
        <v>0</v>
      </c>
      <c r="N93" t="n">
        <v>0</v>
      </c>
      <c r="O93" t="n">
        <v>0</v>
      </c>
      <c r="P93" t="n">
        <v>0</v>
      </c>
      <c r="Q93" t="n">
        <v>0</v>
      </c>
      <c r="R93" s="2" t="inlineStr"/>
    </row>
    <row r="94" ht="15" customHeight="1">
      <c r="A94" t="inlineStr">
        <is>
          <t>A 22810-2022</t>
        </is>
      </c>
      <c r="B94" s="1" t="n">
        <v>44715.41534722222</v>
      </c>
      <c r="C94" s="1" t="n">
        <v>45983</v>
      </c>
      <c r="D94" t="inlineStr">
        <is>
          <t>UPPSALA LÄN</t>
        </is>
      </c>
      <c r="E94" t="inlineStr">
        <is>
          <t>TIERP</t>
        </is>
      </c>
      <c r="F94" t="inlineStr">
        <is>
          <t>Övriga Aktiebolag</t>
        </is>
      </c>
      <c r="G94" t="n">
        <v>0.5</v>
      </c>
      <c r="H94" t="n">
        <v>0</v>
      </c>
      <c r="I94" t="n">
        <v>0</v>
      </c>
      <c r="J94" t="n">
        <v>0</v>
      </c>
      <c r="K94" t="n">
        <v>0</v>
      </c>
      <c r="L94" t="n">
        <v>0</v>
      </c>
      <c r="M94" t="n">
        <v>0</v>
      </c>
      <c r="N94" t="n">
        <v>0</v>
      </c>
      <c r="O94" t="n">
        <v>0</v>
      </c>
      <c r="P94" t="n">
        <v>0</v>
      </c>
      <c r="Q94" t="n">
        <v>0</v>
      </c>
      <c r="R94" s="2" t="inlineStr"/>
    </row>
    <row r="95" ht="15" customHeight="1">
      <c r="A95" t="inlineStr">
        <is>
          <t>A 65255-2021</t>
        </is>
      </c>
      <c r="B95" s="1" t="n">
        <v>44515</v>
      </c>
      <c r="C95" s="1" t="n">
        <v>45983</v>
      </c>
      <c r="D95" t="inlineStr">
        <is>
          <t>UPPSALA LÄN</t>
        </is>
      </c>
      <c r="E95" t="inlineStr">
        <is>
          <t>TIERP</t>
        </is>
      </c>
      <c r="G95" t="n">
        <v>6.3</v>
      </c>
      <c r="H95" t="n">
        <v>0</v>
      </c>
      <c r="I95" t="n">
        <v>0</v>
      </c>
      <c r="J95" t="n">
        <v>0</v>
      </c>
      <c r="K95" t="n">
        <v>0</v>
      </c>
      <c r="L95" t="n">
        <v>0</v>
      </c>
      <c r="M95" t="n">
        <v>0</v>
      </c>
      <c r="N95" t="n">
        <v>0</v>
      </c>
      <c r="O95" t="n">
        <v>0</v>
      </c>
      <c r="P95" t="n">
        <v>0</v>
      </c>
      <c r="Q95" t="n">
        <v>0</v>
      </c>
      <c r="R95" s="2" t="inlineStr"/>
    </row>
    <row r="96" ht="15" customHeight="1">
      <c r="A96" t="inlineStr">
        <is>
          <t>A 56740-2021</t>
        </is>
      </c>
      <c r="B96" s="1" t="n">
        <v>44481</v>
      </c>
      <c r="C96" s="1" t="n">
        <v>45983</v>
      </c>
      <c r="D96" t="inlineStr">
        <is>
          <t>UPPSALA LÄN</t>
        </is>
      </c>
      <c r="E96" t="inlineStr">
        <is>
          <t>TIERP</t>
        </is>
      </c>
      <c r="F96" t="inlineStr">
        <is>
          <t>Bergvik skog öst AB</t>
        </is>
      </c>
      <c r="G96" t="n">
        <v>0.4</v>
      </c>
      <c r="H96" t="n">
        <v>0</v>
      </c>
      <c r="I96" t="n">
        <v>0</v>
      </c>
      <c r="J96" t="n">
        <v>0</v>
      </c>
      <c r="K96" t="n">
        <v>0</v>
      </c>
      <c r="L96" t="n">
        <v>0</v>
      </c>
      <c r="M96" t="n">
        <v>0</v>
      </c>
      <c r="N96" t="n">
        <v>0</v>
      </c>
      <c r="O96" t="n">
        <v>0</v>
      </c>
      <c r="P96" t="n">
        <v>0</v>
      </c>
      <c r="Q96" t="n">
        <v>0</v>
      </c>
      <c r="R96" s="2" t="inlineStr"/>
    </row>
    <row r="97" ht="15" customHeight="1">
      <c r="A97" t="inlineStr">
        <is>
          <t>A 45225-2021</t>
        </is>
      </c>
      <c r="B97" s="1" t="n">
        <v>44439.57831018518</v>
      </c>
      <c r="C97" s="1" t="n">
        <v>45983</v>
      </c>
      <c r="D97" t="inlineStr">
        <is>
          <t>UPPSALA LÄN</t>
        </is>
      </c>
      <c r="E97" t="inlineStr">
        <is>
          <t>TIERP</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2534-2022</t>
        </is>
      </c>
      <c r="B98" s="1" t="n">
        <v>44579</v>
      </c>
      <c r="C98" s="1" t="n">
        <v>45983</v>
      </c>
      <c r="D98" t="inlineStr">
        <is>
          <t>UPPSALA LÄN</t>
        </is>
      </c>
      <c r="E98" t="inlineStr">
        <is>
          <t>TIERP</t>
        </is>
      </c>
      <c r="G98" t="n">
        <v>7.1</v>
      </c>
      <c r="H98" t="n">
        <v>0</v>
      </c>
      <c r="I98" t="n">
        <v>0</v>
      </c>
      <c r="J98" t="n">
        <v>0</v>
      </c>
      <c r="K98" t="n">
        <v>0</v>
      </c>
      <c r="L98" t="n">
        <v>0</v>
      </c>
      <c r="M98" t="n">
        <v>0</v>
      </c>
      <c r="N98" t="n">
        <v>0</v>
      </c>
      <c r="O98" t="n">
        <v>0</v>
      </c>
      <c r="P98" t="n">
        <v>0</v>
      </c>
      <c r="Q98" t="n">
        <v>0</v>
      </c>
      <c r="R98" s="2" t="inlineStr"/>
    </row>
    <row r="99" ht="15" customHeight="1">
      <c r="A99" t="inlineStr">
        <is>
          <t>A 21775-2022</t>
        </is>
      </c>
      <c r="B99" s="1" t="n">
        <v>44708</v>
      </c>
      <c r="C99" s="1" t="n">
        <v>45983</v>
      </c>
      <c r="D99" t="inlineStr">
        <is>
          <t>UPPSALA LÄN</t>
        </is>
      </c>
      <c r="E99" t="inlineStr">
        <is>
          <t>TIERP</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21776-2022</t>
        </is>
      </c>
      <c r="B100" s="1" t="n">
        <v>44708</v>
      </c>
      <c r="C100" s="1" t="n">
        <v>45983</v>
      </c>
      <c r="D100" t="inlineStr">
        <is>
          <t>UPPSALA LÄN</t>
        </is>
      </c>
      <c r="E100" t="inlineStr">
        <is>
          <t>TIERP</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45983</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45983</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45983</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45983</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249-2021</t>
        </is>
      </c>
      <c r="B105" s="1" t="n">
        <v>44200</v>
      </c>
      <c r="C105" s="1" t="n">
        <v>45983</v>
      </c>
      <c r="D105" t="inlineStr">
        <is>
          <t>UPPSALA LÄN</t>
        </is>
      </c>
      <c r="E105" t="inlineStr">
        <is>
          <t>TIERP</t>
        </is>
      </c>
      <c r="G105" t="n">
        <v>3.1</v>
      </c>
      <c r="H105" t="n">
        <v>0</v>
      </c>
      <c r="I105" t="n">
        <v>0</v>
      </c>
      <c r="J105" t="n">
        <v>0</v>
      </c>
      <c r="K105" t="n">
        <v>0</v>
      </c>
      <c r="L105" t="n">
        <v>0</v>
      </c>
      <c r="M105" t="n">
        <v>0</v>
      </c>
      <c r="N105" t="n">
        <v>0</v>
      </c>
      <c r="O105" t="n">
        <v>0</v>
      </c>
      <c r="P105" t="n">
        <v>0</v>
      </c>
      <c r="Q105" t="n">
        <v>0</v>
      </c>
      <c r="R105" s="2" t="inlineStr"/>
    </row>
    <row r="106" ht="15" customHeight="1">
      <c r="A106" t="inlineStr">
        <is>
          <t>A 65225-2020</t>
        </is>
      </c>
      <c r="B106" s="1" t="n">
        <v>44172.8127662037</v>
      </c>
      <c r="C106" s="1" t="n">
        <v>45983</v>
      </c>
      <c r="D106" t="inlineStr">
        <is>
          <t>UPPSALA LÄN</t>
        </is>
      </c>
      <c r="E106" t="inlineStr">
        <is>
          <t>TIERP</t>
        </is>
      </c>
      <c r="G106" t="n">
        <v>0.4</v>
      </c>
      <c r="H106" t="n">
        <v>0</v>
      </c>
      <c r="I106" t="n">
        <v>0</v>
      </c>
      <c r="J106" t="n">
        <v>0</v>
      </c>
      <c r="K106" t="n">
        <v>0</v>
      </c>
      <c r="L106" t="n">
        <v>0</v>
      </c>
      <c r="M106" t="n">
        <v>0</v>
      </c>
      <c r="N106" t="n">
        <v>0</v>
      </c>
      <c r="O106" t="n">
        <v>0</v>
      </c>
      <c r="P106" t="n">
        <v>0</v>
      </c>
      <c r="Q106" t="n">
        <v>0</v>
      </c>
      <c r="R106" s="2" t="inlineStr"/>
    </row>
    <row r="107" ht="15" customHeight="1">
      <c r="A107" t="inlineStr">
        <is>
          <t>A 44690-2021</t>
        </is>
      </c>
      <c r="B107" s="1" t="n">
        <v>44438</v>
      </c>
      <c r="C107" s="1" t="n">
        <v>45983</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40804-2021</t>
        </is>
      </c>
      <c r="B108" s="1" t="n">
        <v>44421</v>
      </c>
      <c r="C108" s="1" t="n">
        <v>45983</v>
      </c>
      <c r="D108" t="inlineStr">
        <is>
          <t>UPPSALA LÄN</t>
        </is>
      </c>
      <c r="E108" t="inlineStr">
        <is>
          <t>TIERP</t>
        </is>
      </c>
      <c r="F108" t="inlineStr">
        <is>
          <t>Kyrkan</t>
        </is>
      </c>
      <c r="G108" t="n">
        <v>0.4</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45983</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45983</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48982-2021</t>
        </is>
      </c>
      <c r="B111" s="1" t="n">
        <v>44453</v>
      </c>
      <c r="C111" s="1" t="n">
        <v>45983</v>
      </c>
      <c r="D111" t="inlineStr">
        <is>
          <t>UPPSALA LÄN</t>
        </is>
      </c>
      <c r="E111" t="inlineStr">
        <is>
          <t>TIERP</t>
        </is>
      </c>
      <c r="G111" t="n">
        <v>2.1</v>
      </c>
      <c r="H111" t="n">
        <v>0</v>
      </c>
      <c r="I111" t="n">
        <v>0</v>
      </c>
      <c r="J111" t="n">
        <v>0</v>
      </c>
      <c r="K111" t="n">
        <v>0</v>
      </c>
      <c r="L111" t="n">
        <v>0</v>
      </c>
      <c r="M111" t="n">
        <v>0</v>
      </c>
      <c r="N111" t="n">
        <v>0</v>
      </c>
      <c r="O111" t="n">
        <v>0</v>
      </c>
      <c r="P111" t="n">
        <v>0</v>
      </c>
      <c r="Q111" t="n">
        <v>0</v>
      </c>
      <c r="R111" s="2" t="inlineStr"/>
    </row>
    <row r="112" ht="15" customHeight="1">
      <c r="A112" t="inlineStr">
        <is>
          <t>A 62897-2021</t>
        </is>
      </c>
      <c r="B112" s="1" t="n">
        <v>44504.63344907408</v>
      </c>
      <c r="C112" s="1" t="n">
        <v>45983</v>
      </c>
      <c r="D112" t="inlineStr">
        <is>
          <t>UPPSALA LÄN</t>
        </is>
      </c>
      <c r="E112" t="inlineStr">
        <is>
          <t>TIERP</t>
        </is>
      </c>
      <c r="G112" t="n">
        <v>1.2</v>
      </c>
      <c r="H112" t="n">
        <v>0</v>
      </c>
      <c r="I112" t="n">
        <v>0</v>
      </c>
      <c r="J112" t="n">
        <v>0</v>
      </c>
      <c r="K112" t="n">
        <v>0</v>
      </c>
      <c r="L112" t="n">
        <v>0</v>
      </c>
      <c r="M112" t="n">
        <v>0</v>
      </c>
      <c r="N112" t="n">
        <v>0</v>
      </c>
      <c r="O112" t="n">
        <v>0</v>
      </c>
      <c r="P112" t="n">
        <v>0</v>
      </c>
      <c r="Q112" t="n">
        <v>0</v>
      </c>
      <c r="R112" s="2" t="inlineStr"/>
    </row>
    <row r="113" ht="15" customHeight="1">
      <c r="A113" t="inlineStr">
        <is>
          <t>A 9288-2022</t>
        </is>
      </c>
      <c r="B113" s="1" t="n">
        <v>44616</v>
      </c>
      <c r="C113" s="1" t="n">
        <v>45983</v>
      </c>
      <c r="D113" t="inlineStr">
        <is>
          <t>UPPSALA LÄN</t>
        </is>
      </c>
      <c r="E113" t="inlineStr">
        <is>
          <t>TIERP</t>
        </is>
      </c>
      <c r="G113" t="n">
        <v>7.9</v>
      </c>
      <c r="H113" t="n">
        <v>0</v>
      </c>
      <c r="I113" t="n">
        <v>0</v>
      </c>
      <c r="J113" t="n">
        <v>0</v>
      </c>
      <c r="K113" t="n">
        <v>0</v>
      </c>
      <c r="L113" t="n">
        <v>0</v>
      </c>
      <c r="M113" t="n">
        <v>0</v>
      </c>
      <c r="N113" t="n">
        <v>0</v>
      </c>
      <c r="O113" t="n">
        <v>0</v>
      </c>
      <c r="P113" t="n">
        <v>0</v>
      </c>
      <c r="Q113" t="n">
        <v>0</v>
      </c>
      <c r="R113" s="2" t="inlineStr"/>
    </row>
    <row r="114" ht="15" customHeight="1">
      <c r="A114" t="inlineStr">
        <is>
          <t>A 10777-2022</t>
        </is>
      </c>
      <c r="B114" s="1" t="n">
        <v>44627.46730324074</v>
      </c>
      <c r="C114" s="1" t="n">
        <v>45983</v>
      </c>
      <c r="D114" t="inlineStr">
        <is>
          <t>UPPSALA LÄN</t>
        </is>
      </c>
      <c r="E114" t="inlineStr">
        <is>
          <t>TIERP</t>
        </is>
      </c>
      <c r="G114" t="n">
        <v>0.3</v>
      </c>
      <c r="H114" t="n">
        <v>0</v>
      </c>
      <c r="I114" t="n">
        <v>0</v>
      </c>
      <c r="J114" t="n">
        <v>0</v>
      </c>
      <c r="K114" t="n">
        <v>0</v>
      </c>
      <c r="L114" t="n">
        <v>0</v>
      </c>
      <c r="M114" t="n">
        <v>0</v>
      </c>
      <c r="N114" t="n">
        <v>0</v>
      </c>
      <c r="O114" t="n">
        <v>0</v>
      </c>
      <c r="P114" t="n">
        <v>0</v>
      </c>
      <c r="Q114" t="n">
        <v>0</v>
      </c>
      <c r="R114" s="2" t="inlineStr"/>
    </row>
    <row r="115" ht="15" customHeight="1">
      <c r="A115" t="inlineStr">
        <is>
          <t>A 33890-2022</t>
        </is>
      </c>
      <c r="B115" s="1" t="n">
        <v>44790.60746527778</v>
      </c>
      <c r="C115" s="1" t="n">
        <v>45983</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45983</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2157-2021</t>
        </is>
      </c>
      <c r="B117" s="1" t="n">
        <v>44211</v>
      </c>
      <c r="C117" s="1" t="n">
        <v>45983</v>
      </c>
      <c r="D117" t="inlineStr">
        <is>
          <t>UPPSALA LÄN</t>
        </is>
      </c>
      <c r="E117" t="inlineStr">
        <is>
          <t>TIERP</t>
        </is>
      </c>
      <c r="G117" t="n">
        <v>0.6</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45983</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45983</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45983</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2810-2021</t>
        </is>
      </c>
      <c r="B121" s="1" t="n">
        <v>44215</v>
      </c>
      <c r="C121" s="1" t="n">
        <v>45983</v>
      </c>
      <c r="D121" t="inlineStr">
        <is>
          <t>UPPSALA LÄN</t>
        </is>
      </c>
      <c r="E121" t="inlineStr">
        <is>
          <t>TIERP</t>
        </is>
      </c>
      <c r="G121" t="n">
        <v>2</v>
      </c>
      <c r="H121" t="n">
        <v>0</v>
      </c>
      <c r="I121" t="n">
        <v>0</v>
      </c>
      <c r="J121" t="n">
        <v>0</v>
      </c>
      <c r="K121" t="n">
        <v>0</v>
      </c>
      <c r="L121" t="n">
        <v>0</v>
      </c>
      <c r="M121" t="n">
        <v>0</v>
      </c>
      <c r="N121" t="n">
        <v>0</v>
      </c>
      <c r="O121" t="n">
        <v>0</v>
      </c>
      <c r="P121" t="n">
        <v>0</v>
      </c>
      <c r="Q121" t="n">
        <v>0</v>
      </c>
      <c r="R121" s="2" t="inlineStr"/>
    </row>
    <row r="122" ht="15" customHeight="1">
      <c r="A122" t="inlineStr">
        <is>
          <t>A 26111-2022</t>
        </is>
      </c>
      <c r="B122" s="1" t="n">
        <v>44734</v>
      </c>
      <c r="C122" s="1" t="n">
        <v>45983</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24276-2021</t>
        </is>
      </c>
      <c r="B123" s="1" t="n">
        <v>44337</v>
      </c>
      <c r="C123" s="1" t="n">
        <v>45983</v>
      </c>
      <c r="D123" t="inlineStr">
        <is>
          <t>UPPSALA LÄN</t>
        </is>
      </c>
      <c r="E123" t="inlineStr">
        <is>
          <t>TIERP</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56498-2021</t>
        </is>
      </c>
      <c r="B124" s="1" t="n">
        <v>44480</v>
      </c>
      <c r="C124" s="1" t="n">
        <v>45983</v>
      </c>
      <c r="D124" t="inlineStr">
        <is>
          <t>UPPSALA LÄN</t>
        </is>
      </c>
      <c r="E124" t="inlineStr">
        <is>
          <t>TIERP</t>
        </is>
      </c>
      <c r="G124" t="n">
        <v>1.3</v>
      </c>
      <c r="H124" t="n">
        <v>0</v>
      </c>
      <c r="I124" t="n">
        <v>0</v>
      </c>
      <c r="J124" t="n">
        <v>0</v>
      </c>
      <c r="K124" t="n">
        <v>0</v>
      </c>
      <c r="L124" t="n">
        <v>0</v>
      </c>
      <c r="M124" t="n">
        <v>0</v>
      </c>
      <c r="N124" t="n">
        <v>0</v>
      </c>
      <c r="O124" t="n">
        <v>0</v>
      </c>
      <c r="P124" t="n">
        <v>0</v>
      </c>
      <c r="Q124" t="n">
        <v>0</v>
      </c>
      <c r="R124" s="2" t="inlineStr"/>
    </row>
    <row r="125" ht="15" customHeight="1">
      <c r="A125" t="inlineStr">
        <is>
          <t>A 48575-2022</t>
        </is>
      </c>
      <c r="B125" s="1" t="n">
        <v>44859</v>
      </c>
      <c r="C125" s="1" t="n">
        <v>45983</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47414-2022</t>
        </is>
      </c>
      <c r="B126" s="1" t="n">
        <v>44853.5450462963</v>
      </c>
      <c r="C126" s="1" t="n">
        <v>45983</v>
      </c>
      <c r="D126" t="inlineStr">
        <is>
          <t>UPPSALA LÄN</t>
        </is>
      </c>
      <c r="E126" t="inlineStr">
        <is>
          <t>TIERP</t>
        </is>
      </c>
      <c r="G126" t="n">
        <v>5.3</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45983</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49053-2021</t>
        </is>
      </c>
      <c r="B128" s="1" t="n">
        <v>44453</v>
      </c>
      <c r="C128" s="1" t="n">
        <v>45983</v>
      </c>
      <c r="D128" t="inlineStr">
        <is>
          <t>UPPSALA LÄN</t>
        </is>
      </c>
      <c r="E128" t="inlineStr">
        <is>
          <t>TIERP</t>
        </is>
      </c>
      <c r="G128" t="n">
        <v>1</v>
      </c>
      <c r="H128" t="n">
        <v>0</v>
      </c>
      <c r="I128" t="n">
        <v>0</v>
      </c>
      <c r="J128" t="n">
        <v>0</v>
      </c>
      <c r="K128" t="n">
        <v>0</v>
      </c>
      <c r="L128" t="n">
        <v>0</v>
      </c>
      <c r="M128" t="n">
        <v>0</v>
      </c>
      <c r="N128" t="n">
        <v>0</v>
      </c>
      <c r="O128" t="n">
        <v>0</v>
      </c>
      <c r="P128" t="n">
        <v>0</v>
      </c>
      <c r="Q128" t="n">
        <v>0</v>
      </c>
      <c r="R128" s="2" t="inlineStr"/>
    </row>
    <row r="129" ht="15" customHeight="1">
      <c r="A129" t="inlineStr">
        <is>
          <t>A 2559-2021</t>
        </is>
      </c>
      <c r="B129" s="1" t="n">
        <v>44214</v>
      </c>
      <c r="C129" s="1" t="n">
        <v>45983</v>
      </c>
      <c r="D129" t="inlineStr">
        <is>
          <t>UPPSALA LÄN</t>
        </is>
      </c>
      <c r="E129" t="inlineStr">
        <is>
          <t>TIERP</t>
        </is>
      </c>
      <c r="G129" t="n">
        <v>1.5</v>
      </c>
      <c r="H129" t="n">
        <v>0</v>
      </c>
      <c r="I129" t="n">
        <v>0</v>
      </c>
      <c r="J129" t="n">
        <v>0</v>
      </c>
      <c r="K129" t="n">
        <v>0</v>
      </c>
      <c r="L129" t="n">
        <v>0</v>
      </c>
      <c r="M129" t="n">
        <v>0</v>
      </c>
      <c r="N129" t="n">
        <v>0</v>
      </c>
      <c r="O129" t="n">
        <v>0</v>
      </c>
      <c r="P129" t="n">
        <v>0</v>
      </c>
      <c r="Q129" t="n">
        <v>0</v>
      </c>
      <c r="R129" s="2" t="inlineStr"/>
    </row>
    <row r="130" ht="15" customHeight="1">
      <c r="A130" t="inlineStr">
        <is>
          <t>A 63504-2020</t>
        </is>
      </c>
      <c r="B130" s="1" t="n">
        <v>44165</v>
      </c>
      <c r="C130" s="1" t="n">
        <v>45983</v>
      </c>
      <c r="D130" t="inlineStr">
        <is>
          <t>UPPSALA LÄN</t>
        </is>
      </c>
      <c r="E130" t="inlineStr">
        <is>
          <t>TIERP</t>
        </is>
      </c>
      <c r="F130" t="inlineStr">
        <is>
          <t>Bergvik skog väst AB</t>
        </is>
      </c>
      <c r="G130" t="n">
        <v>50.3</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45983</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45983</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45983</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45983</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45983</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45983</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45983</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45983</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45983</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45983</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45983</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45983</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45983</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45983</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1227-2021</t>
        </is>
      </c>
      <c r="B145" s="1" t="n">
        <v>44208</v>
      </c>
      <c r="C145" s="1" t="n">
        <v>45983</v>
      </c>
      <c r="D145" t="inlineStr">
        <is>
          <t>UPPSALA LÄN</t>
        </is>
      </c>
      <c r="E145" t="inlineStr">
        <is>
          <t>TIERP</t>
        </is>
      </c>
      <c r="G145" t="n">
        <v>7.3</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45983</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45983</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45983</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45983</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45983</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45983</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45983</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45983</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45983</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45983</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45983</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45983</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45983</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45983</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45983</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45983</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45983</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45983</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15587-2021</t>
        </is>
      </c>
      <c r="B164" s="1" t="n">
        <v>44285.6565162037</v>
      </c>
      <c r="C164" s="1" t="n">
        <v>45983</v>
      </c>
      <c r="D164" t="inlineStr">
        <is>
          <t>UPPSALA LÄN</t>
        </is>
      </c>
      <c r="E164" t="inlineStr">
        <is>
          <t>TIERP</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16791-2023</t>
        </is>
      </c>
      <c r="B165" s="1" t="n">
        <v>45033</v>
      </c>
      <c r="C165" s="1" t="n">
        <v>45983</v>
      </c>
      <c r="D165" t="inlineStr">
        <is>
          <t>UPPSALA LÄN</t>
        </is>
      </c>
      <c r="E165" t="inlineStr">
        <is>
          <t>TIERP</t>
        </is>
      </c>
      <c r="G165" t="n">
        <v>1.3</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45983</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45983</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45983</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45983</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45983</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45983</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45983</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45983</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45983</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17642-2025</t>
        </is>
      </c>
      <c r="B175" s="1" t="n">
        <v>45758</v>
      </c>
      <c r="C175" s="1" t="n">
        <v>45983</v>
      </c>
      <c r="D175" t="inlineStr">
        <is>
          <t>UPPSALA LÄN</t>
        </is>
      </c>
      <c r="E175" t="inlineStr">
        <is>
          <t>TIERP</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20180-2025</t>
        </is>
      </c>
      <c r="B176" s="1" t="n">
        <v>45772.58797453704</v>
      </c>
      <c r="C176" s="1" t="n">
        <v>45983</v>
      </c>
      <c r="D176" t="inlineStr">
        <is>
          <t>UPPSALA LÄN</t>
        </is>
      </c>
      <c r="E176" t="inlineStr">
        <is>
          <t>TIERP</t>
        </is>
      </c>
      <c r="G176" t="n">
        <v>4.7</v>
      </c>
      <c r="H176" t="n">
        <v>0</v>
      </c>
      <c r="I176" t="n">
        <v>0</v>
      </c>
      <c r="J176" t="n">
        <v>0</v>
      </c>
      <c r="K176" t="n">
        <v>0</v>
      </c>
      <c r="L176" t="n">
        <v>0</v>
      </c>
      <c r="M176" t="n">
        <v>0</v>
      </c>
      <c r="N176" t="n">
        <v>0</v>
      </c>
      <c r="O176" t="n">
        <v>0</v>
      </c>
      <c r="P176" t="n">
        <v>0</v>
      </c>
      <c r="Q176" t="n">
        <v>0</v>
      </c>
      <c r="R176" s="2" t="inlineStr"/>
    </row>
    <row r="177" ht="15" customHeight="1">
      <c r="A177" t="inlineStr">
        <is>
          <t>A 47419-2022</t>
        </is>
      </c>
      <c r="B177" s="1" t="n">
        <v>44853.56622685185</v>
      </c>
      <c r="C177" s="1" t="n">
        <v>45983</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22083-2025</t>
        </is>
      </c>
      <c r="B178" s="1" t="n">
        <v>45785</v>
      </c>
      <c r="C178" s="1" t="n">
        <v>45983</v>
      </c>
      <c r="D178" t="inlineStr">
        <is>
          <t>UPPSALA LÄN</t>
        </is>
      </c>
      <c r="E178" t="inlineStr">
        <is>
          <t>TIERP</t>
        </is>
      </c>
      <c r="G178" t="n">
        <v>8</v>
      </c>
      <c r="H178" t="n">
        <v>0</v>
      </c>
      <c r="I178" t="n">
        <v>0</v>
      </c>
      <c r="J178" t="n">
        <v>0</v>
      </c>
      <c r="K178" t="n">
        <v>0</v>
      </c>
      <c r="L178" t="n">
        <v>0</v>
      </c>
      <c r="M178" t="n">
        <v>0</v>
      </c>
      <c r="N178" t="n">
        <v>0</v>
      </c>
      <c r="O178" t="n">
        <v>0</v>
      </c>
      <c r="P178" t="n">
        <v>0</v>
      </c>
      <c r="Q178" t="n">
        <v>0</v>
      </c>
      <c r="R178" s="2" t="inlineStr"/>
    </row>
    <row r="179" ht="15" customHeight="1">
      <c r="A179" t="inlineStr">
        <is>
          <t>A 35001-2024</t>
        </is>
      </c>
      <c r="B179" s="1" t="n">
        <v>45527</v>
      </c>
      <c r="C179" s="1" t="n">
        <v>45983</v>
      </c>
      <c r="D179" t="inlineStr">
        <is>
          <t>UPPSALA LÄN</t>
        </is>
      </c>
      <c r="E179" t="inlineStr">
        <is>
          <t>TIERP</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45983</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15662-2025</t>
        </is>
      </c>
      <c r="B181" s="1" t="n">
        <v>45748.4287962963</v>
      </c>
      <c r="C181" s="1" t="n">
        <v>45983</v>
      </c>
      <c r="D181" t="inlineStr">
        <is>
          <t>UPPSALA LÄN</t>
        </is>
      </c>
      <c r="E181" t="inlineStr">
        <is>
          <t>TIERP</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45983</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45983</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12786-2024</t>
        </is>
      </c>
      <c r="B184" s="1" t="n">
        <v>45384.60682870371</v>
      </c>
      <c r="C184" s="1" t="n">
        <v>45983</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45983</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22769-2025</t>
        </is>
      </c>
      <c r="B186" s="1" t="n">
        <v>45789.63409722222</v>
      </c>
      <c r="C186" s="1" t="n">
        <v>45983</v>
      </c>
      <c r="D186" t="inlineStr">
        <is>
          <t>UPPSALA LÄN</t>
        </is>
      </c>
      <c r="E186" t="inlineStr">
        <is>
          <t>TIERP</t>
        </is>
      </c>
      <c r="G186" t="n">
        <v>1.6</v>
      </c>
      <c r="H186" t="n">
        <v>0</v>
      </c>
      <c r="I186" t="n">
        <v>0</v>
      </c>
      <c r="J186" t="n">
        <v>0</v>
      </c>
      <c r="K186" t="n">
        <v>0</v>
      </c>
      <c r="L186" t="n">
        <v>0</v>
      </c>
      <c r="M186" t="n">
        <v>0</v>
      </c>
      <c r="N186" t="n">
        <v>0</v>
      </c>
      <c r="O186" t="n">
        <v>0</v>
      </c>
      <c r="P186" t="n">
        <v>0</v>
      </c>
      <c r="Q186" t="n">
        <v>0</v>
      </c>
      <c r="R186" s="2" t="inlineStr"/>
    </row>
    <row r="187" ht="15" customHeight="1">
      <c r="A187" t="inlineStr">
        <is>
          <t>A 23198-2025</t>
        </is>
      </c>
      <c r="B187" s="1" t="n">
        <v>45791.45799768518</v>
      </c>
      <c r="C187" s="1" t="n">
        <v>45983</v>
      </c>
      <c r="D187" t="inlineStr">
        <is>
          <t>UPPSALA LÄN</t>
        </is>
      </c>
      <c r="E187" t="inlineStr">
        <is>
          <t>TIERP</t>
        </is>
      </c>
      <c r="G187" t="n">
        <v>2.9</v>
      </c>
      <c r="H187" t="n">
        <v>0</v>
      </c>
      <c r="I187" t="n">
        <v>0</v>
      </c>
      <c r="J187" t="n">
        <v>0</v>
      </c>
      <c r="K187" t="n">
        <v>0</v>
      </c>
      <c r="L187" t="n">
        <v>0</v>
      </c>
      <c r="M187" t="n">
        <v>0</v>
      </c>
      <c r="N187" t="n">
        <v>0</v>
      </c>
      <c r="O187" t="n">
        <v>0</v>
      </c>
      <c r="P187" t="n">
        <v>0</v>
      </c>
      <c r="Q187" t="n">
        <v>0</v>
      </c>
      <c r="R187" s="2" t="inlineStr"/>
    </row>
    <row r="188" ht="15" customHeight="1">
      <c r="A188" t="inlineStr">
        <is>
          <t>A 5857-2021</t>
        </is>
      </c>
      <c r="B188" s="1" t="n">
        <v>44231</v>
      </c>
      <c r="C188" s="1" t="n">
        <v>45983</v>
      </c>
      <c r="D188" t="inlineStr">
        <is>
          <t>UPPSALA LÄN</t>
        </is>
      </c>
      <c r="E188" t="inlineStr">
        <is>
          <t>TIERP</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18516-2025</t>
        </is>
      </c>
      <c r="B189" s="1" t="n">
        <v>45763.38787037037</v>
      </c>
      <c r="C189" s="1" t="n">
        <v>45983</v>
      </c>
      <c r="D189" t="inlineStr">
        <is>
          <t>UPPSALA LÄN</t>
        </is>
      </c>
      <c r="E189" t="inlineStr">
        <is>
          <t>TIERP</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18544-2025</t>
        </is>
      </c>
      <c r="B190" s="1" t="n">
        <v>45763.42081018518</v>
      </c>
      <c r="C190" s="1" t="n">
        <v>45983</v>
      </c>
      <c r="D190" t="inlineStr">
        <is>
          <t>UPPSALA LÄN</t>
        </is>
      </c>
      <c r="E190" t="inlineStr">
        <is>
          <t>TIERP</t>
        </is>
      </c>
      <c r="G190" t="n">
        <v>1.2</v>
      </c>
      <c r="H190" t="n">
        <v>0</v>
      </c>
      <c r="I190" t="n">
        <v>0</v>
      </c>
      <c r="J190" t="n">
        <v>0</v>
      </c>
      <c r="K190" t="n">
        <v>0</v>
      </c>
      <c r="L190" t="n">
        <v>0</v>
      </c>
      <c r="M190" t="n">
        <v>0</v>
      </c>
      <c r="N190" t="n">
        <v>0</v>
      </c>
      <c r="O190" t="n">
        <v>0</v>
      </c>
      <c r="P190" t="n">
        <v>0</v>
      </c>
      <c r="Q190" t="n">
        <v>0</v>
      </c>
      <c r="R190" s="2" t="inlineStr"/>
    </row>
    <row r="191" ht="15" customHeight="1">
      <c r="A191" t="inlineStr">
        <is>
          <t>A 43713-2022</t>
        </is>
      </c>
      <c r="B191" s="1" t="n">
        <v>44837.66217592593</v>
      </c>
      <c r="C191" s="1" t="n">
        <v>45983</v>
      </c>
      <c r="D191" t="inlineStr">
        <is>
          <t>UPPSALA LÄN</t>
        </is>
      </c>
      <c r="E191" t="inlineStr">
        <is>
          <t>TIERP</t>
        </is>
      </c>
      <c r="G191" t="n">
        <v>3.4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45983</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39044-2025</t>
        </is>
      </c>
      <c r="B193" s="1" t="n">
        <v>45888.43912037037</v>
      </c>
      <c r="C193" s="1" t="n">
        <v>45983</v>
      </c>
      <c r="D193" t="inlineStr">
        <is>
          <t>UPPSALA LÄN</t>
        </is>
      </c>
      <c r="E193" t="inlineStr">
        <is>
          <t>TIERP</t>
        </is>
      </c>
      <c r="F193" t="inlineStr">
        <is>
          <t>Bergvik skog öst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45983</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38831-2025</t>
        </is>
      </c>
      <c r="B195" s="1" t="n">
        <v>45887.52802083334</v>
      </c>
      <c r="C195" s="1" t="n">
        <v>45983</v>
      </c>
      <c r="D195" t="inlineStr">
        <is>
          <t>UPPSALA LÄN</t>
        </is>
      </c>
      <c r="E195" t="inlineStr">
        <is>
          <t>TIERP</t>
        </is>
      </c>
      <c r="G195" t="n">
        <v>6.8</v>
      </c>
      <c r="H195" t="n">
        <v>0</v>
      </c>
      <c r="I195" t="n">
        <v>0</v>
      </c>
      <c r="J195" t="n">
        <v>0</v>
      </c>
      <c r="K195" t="n">
        <v>0</v>
      </c>
      <c r="L195" t="n">
        <v>0</v>
      </c>
      <c r="M195" t="n">
        <v>0</v>
      </c>
      <c r="N195" t="n">
        <v>0</v>
      </c>
      <c r="O195" t="n">
        <v>0</v>
      </c>
      <c r="P195" t="n">
        <v>0</v>
      </c>
      <c r="Q195" t="n">
        <v>0</v>
      </c>
      <c r="R195" s="2" t="inlineStr"/>
    </row>
    <row r="196" ht="15" customHeight="1">
      <c r="A196" t="inlineStr">
        <is>
          <t>A 38940-2025</t>
        </is>
      </c>
      <c r="B196" s="1" t="n">
        <v>45887.64688657408</v>
      </c>
      <c r="C196" s="1" t="n">
        <v>45983</v>
      </c>
      <c r="D196" t="inlineStr">
        <is>
          <t>UPPSALA LÄN</t>
        </is>
      </c>
      <c r="E196" t="inlineStr">
        <is>
          <t>TIERP</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23204-2025</t>
        </is>
      </c>
      <c r="B197" s="1" t="n">
        <v>45791.46357638889</v>
      </c>
      <c r="C197" s="1" t="n">
        <v>45983</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23201-2025</t>
        </is>
      </c>
      <c r="B198" s="1" t="n">
        <v>45791.4603587963</v>
      </c>
      <c r="C198" s="1" t="n">
        <v>45983</v>
      </c>
      <c r="D198" t="inlineStr">
        <is>
          <t>UPPSALA LÄN</t>
        </is>
      </c>
      <c r="E198" t="inlineStr">
        <is>
          <t>TIERP</t>
        </is>
      </c>
      <c r="G198" t="n">
        <v>0.9</v>
      </c>
      <c r="H198" t="n">
        <v>0</v>
      </c>
      <c r="I198" t="n">
        <v>0</v>
      </c>
      <c r="J198" t="n">
        <v>0</v>
      </c>
      <c r="K198" t="n">
        <v>0</v>
      </c>
      <c r="L198" t="n">
        <v>0</v>
      </c>
      <c r="M198" t="n">
        <v>0</v>
      </c>
      <c r="N198" t="n">
        <v>0</v>
      </c>
      <c r="O198" t="n">
        <v>0</v>
      </c>
      <c r="P198" t="n">
        <v>0</v>
      </c>
      <c r="Q198" t="n">
        <v>0</v>
      </c>
      <c r="R198" s="2" t="inlineStr"/>
    </row>
    <row r="199" ht="15" customHeight="1">
      <c r="A199" t="inlineStr">
        <is>
          <t>A 39092-2025</t>
        </is>
      </c>
      <c r="B199" s="1" t="n">
        <v>45888.49290509259</v>
      </c>
      <c r="C199" s="1" t="n">
        <v>45983</v>
      </c>
      <c r="D199" t="inlineStr">
        <is>
          <t>UPPSALA LÄN</t>
        </is>
      </c>
      <c r="E199" t="inlineStr">
        <is>
          <t>TIERP</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32212-2024</t>
        </is>
      </c>
      <c r="B200" s="1" t="n">
        <v>45511</v>
      </c>
      <c r="C200" s="1" t="n">
        <v>45983</v>
      </c>
      <c r="D200" t="inlineStr">
        <is>
          <t>UPPSALA LÄN</t>
        </is>
      </c>
      <c r="E200" t="inlineStr">
        <is>
          <t>TIERP</t>
        </is>
      </c>
      <c r="G200" t="n">
        <v>3.5</v>
      </c>
      <c r="H200" t="n">
        <v>0</v>
      </c>
      <c r="I200" t="n">
        <v>0</v>
      </c>
      <c r="J200" t="n">
        <v>0</v>
      </c>
      <c r="K200" t="n">
        <v>0</v>
      </c>
      <c r="L200" t="n">
        <v>0</v>
      </c>
      <c r="M200" t="n">
        <v>0</v>
      </c>
      <c r="N200" t="n">
        <v>0</v>
      </c>
      <c r="O200" t="n">
        <v>0</v>
      </c>
      <c r="P200" t="n">
        <v>0</v>
      </c>
      <c r="Q200" t="n">
        <v>0</v>
      </c>
      <c r="R200" s="2" t="inlineStr"/>
    </row>
    <row r="201" ht="15" customHeight="1">
      <c r="A201" t="inlineStr">
        <is>
          <t>A 48403-2022</t>
        </is>
      </c>
      <c r="B201" s="1" t="n">
        <v>44858.61703703704</v>
      </c>
      <c r="C201" s="1" t="n">
        <v>45983</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24124-2025</t>
        </is>
      </c>
      <c r="B202" s="1" t="n">
        <v>45796.6252662037</v>
      </c>
      <c r="C202" s="1" t="n">
        <v>45983</v>
      </c>
      <c r="D202" t="inlineStr">
        <is>
          <t>UPPSALA LÄN</t>
        </is>
      </c>
      <c r="E202" t="inlineStr">
        <is>
          <t>TIERP</t>
        </is>
      </c>
      <c r="F202" t="inlineStr">
        <is>
          <t>Bergvik skog öst AB</t>
        </is>
      </c>
      <c r="G202" t="n">
        <v>2.8</v>
      </c>
      <c r="H202" t="n">
        <v>0</v>
      </c>
      <c r="I202" t="n">
        <v>0</v>
      </c>
      <c r="J202" t="n">
        <v>0</v>
      </c>
      <c r="K202" t="n">
        <v>0</v>
      </c>
      <c r="L202" t="n">
        <v>0</v>
      </c>
      <c r="M202" t="n">
        <v>0</v>
      </c>
      <c r="N202" t="n">
        <v>0</v>
      </c>
      <c r="O202" t="n">
        <v>0</v>
      </c>
      <c r="P202" t="n">
        <v>0</v>
      </c>
      <c r="Q202" t="n">
        <v>0</v>
      </c>
      <c r="R202" s="2" t="inlineStr"/>
    </row>
    <row r="203" ht="15" customHeight="1">
      <c r="A203" t="inlineStr">
        <is>
          <t>A 24150-2025</t>
        </is>
      </c>
      <c r="B203" s="1" t="n">
        <v>45796.65540509259</v>
      </c>
      <c r="C203" s="1" t="n">
        <v>45983</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38951-2025</t>
        </is>
      </c>
      <c r="B204" s="1" t="n">
        <v>45887.66127314815</v>
      </c>
      <c r="C204" s="1" t="n">
        <v>45983</v>
      </c>
      <c r="D204" t="inlineStr">
        <is>
          <t>UPPSALA LÄN</t>
        </is>
      </c>
      <c r="E204" t="inlineStr">
        <is>
          <t>TIERP</t>
        </is>
      </c>
      <c r="F204" t="inlineStr">
        <is>
          <t>Bergvik skog öst AB</t>
        </is>
      </c>
      <c r="G204" t="n">
        <v>4.5</v>
      </c>
      <c r="H204" t="n">
        <v>0</v>
      </c>
      <c r="I204" t="n">
        <v>0</v>
      </c>
      <c r="J204" t="n">
        <v>0</v>
      </c>
      <c r="K204" t="n">
        <v>0</v>
      </c>
      <c r="L204" t="n">
        <v>0</v>
      </c>
      <c r="M204" t="n">
        <v>0</v>
      </c>
      <c r="N204" t="n">
        <v>0</v>
      </c>
      <c r="O204" t="n">
        <v>0</v>
      </c>
      <c r="P204" t="n">
        <v>0</v>
      </c>
      <c r="Q204" t="n">
        <v>0</v>
      </c>
      <c r="R204" s="2" t="inlineStr"/>
    </row>
    <row r="205" ht="15" customHeight="1">
      <c r="A205" t="inlineStr">
        <is>
          <t>A 33677-2023</t>
        </is>
      </c>
      <c r="B205" s="1" t="n">
        <v>45119</v>
      </c>
      <c r="C205" s="1" t="n">
        <v>45983</v>
      </c>
      <c r="D205" t="inlineStr">
        <is>
          <t>UPPSALA LÄN</t>
        </is>
      </c>
      <c r="E205" t="inlineStr">
        <is>
          <t>TIERP</t>
        </is>
      </c>
      <c r="F205" t="inlineStr">
        <is>
          <t>Bergvik skog väst AB</t>
        </is>
      </c>
      <c r="G205" t="n">
        <v>57.7</v>
      </c>
      <c r="H205" t="n">
        <v>0</v>
      </c>
      <c r="I205" t="n">
        <v>0</v>
      </c>
      <c r="J205" t="n">
        <v>0</v>
      </c>
      <c r="K205" t="n">
        <v>0</v>
      </c>
      <c r="L205" t="n">
        <v>0</v>
      </c>
      <c r="M205" t="n">
        <v>0</v>
      </c>
      <c r="N205" t="n">
        <v>0</v>
      </c>
      <c r="O205" t="n">
        <v>0</v>
      </c>
      <c r="P205" t="n">
        <v>0</v>
      </c>
      <c r="Q205" t="n">
        <v>0</v>
      </c>
      <c r="R205" s="2" t="inlineStr"/>
    </row>
    <row r="206" ht="15" customHeight="1">
      <c r="A206" t="inlineStr">
        <is>
          <t>A 39380-2025</t>
        </is>
      </c>
      <c r="B206" s="1" t="n">
        <v>45889.60385416666</v>
      </c>
      <c r="C206" s="1" t="n">
        <v>45983</v>
      </c>
      <c r="D206" t="inlineStr">
        <is>
          <t>UPPSALA LÄN</t>
        </is>
      </c>
      <c r="E206" t="inlineStr">
        <is>
          <t>TIERP</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44382-2024</t>
        </is>
      </c>
      <c r="B207" s="1" t="n">
        <v>45573.66729166666</v>
      </c>
      <c r="C207" s="1" t="n">
        <v>45983</v>
      </c>
      <c r="D207" t="inlineStr">
        <is>
          <t>UPPSALA LÄN</t>
        </is>
      </c>
      <c r="E207" t="inlineStr">
        <is>
          <t>TIERP</t>
        </is>
      </c>
      <c r="G207" t="n">
        <v>4.7</v>
      </c>
      <c r="H207" t="n">
        <v>0</v>
      </c>
      <c r="I207" t="n">
        <v>0</v>
      </c>
      <c r="J207" t="n">
        <v>0</v>
      </c>
      <c r="K207" t="n">
        <v>0</v>
      </c>
      <c r="L207" t="n">
        <v>0</v>
      </c>
      <c r="M207" t="n">
        <v>0</v>
      </c>
      <c r="N207" t="n">
        <v>0</v>
      </c>
      <c r="O207" t="n">
        <v>0</v>
      </c>
      <c r="P207" t="n">
        <v>0</v>
      </c>
      <c r="Q207" t="n">
        <v>0</v>
      </c>
      <c r="R207" s="2" t="inlineStr"/>
    </row>
    <row r="208" ht="15" customHeight="1">
      <c r="A208" t="inlineStr">
        <is>
          <t>A 48736-2023</t>
        </is>
      </c>
      <c r="B208" s="1" t="n">
        <v>45203</v>
      </c>
      <c r="C208" s="1" t="n">
        <v>45983</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8879-2025</t>
        </is>
      </c>
      <c r="B209" s="1" t="n">
        <v>45713</v>
      </c>
      <c r="C209" s="1" t="n">
        <v>45983</v>
      </c>
      <c r="D209" t="inlineStr">
        <is>
          <t>UPPSALA LÄN</t>
        </is>
      </c>
      <c r="E209" t="inlineStr">
        <is>
          <t>TIERP</t>
        </is>
      </c>
      <c r="F209" t="inlineStr">
        <is>
          <t>Bergvik skog öst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18526-2025</t>
        </is>
      </c>
      <c r="B210" s="1" t="n">
        <v>45763.4009375</v>
      </c>
      <c r="C210" s="1" t="n">
        <v>45983</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39383-2025</t>
        </is>
      </c>
      <c r="B211" s="1" t="n">
        <v>45889.61184027778</v>
      </c>
      <c r="C211" s="1" t="n">
        <v>45983</v>
      </c>
      <c r="D211" t="inlineStr">
        <is>
          <t>UPPSALA LÄN</t>
        </is>
      </c>
      <c r="E211" t="inlineStr">
        <is>
          <t>TIERP</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17944-2023</t>
        </is>
      </c>
      <c r="B212" s="1" t="n">
        <v>45040.43703703704</v>
      </c>
      <c r="C212" s="1" t="n">
        <v>45983</v>
      </c>
      <c r="D212" t="inlineStr">
        <is>
          <t>UPPSALA LÄN</t>
        </is>
      </c>
      <c r="E212" t="inlineStr">
        <is>
          <t>TIERP</t>
        </is>
      </c>
      <c r="F212" t="inlineStr">
        <is>
          <t>Bergvik skog väst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23796-2025</t>
        </is>
      </c>
      <c r="B213" s="1" t="n">
        <v>45793.5515162037</v>
      </c>
      <c r="C213" s="1" t="n">
        <v>45983</v>
      </c>
      <c r="D213" t="inlineStr">
        <is>
          <t>UPPSALA LÄN</t>
        </is>
      </c>
      <c r="E213" t="inlineStr">
        <is>
          <t>TIERP</t>
        </is>
      </c>
      <c r="G213" t="n">
        <v>1.2</v>
      </c>
      <c r="H213" t="n">
        <v>0</v>
      </c>
      <c r="I213" t="n">
        <v>0</v>
      </c>
      <c r="J213" t="n">
        <v>0</v>
      </c>
      <c r="K213" t="n">
        <v>0</v>
      </c>
      <c r="L213" t="n">
        <v>0</v>
      </c>
      <c r="M213" t="n">
        <v>0</v>
      </c>
      <c r="N213" t="n">
        <v>0</v>
      </c>
      <c r="O213" t="n">
        <v>0</v>
      </c>
      <c r="P213" t="n">
        <v>0</v>
      </c>
      <c r="Q213" t="n">
        <v>0</v>
      </c>
      <c r="R213" s="2" t="inlineStr"/>
    </row>
    <row r="214" ht="15" customHeight="1">
      <c r="A214" t="inlineStr">
        <is>
          <t>A 39790-2025</t>
        </is>
      </c>
      <c r="B214" s="1" t="n">
        <v>45891.48542824074</v>
      </c>
      <c r="C214" s="1" t="n">
        <v>45983</v>
      </c>
      <c r="D214" t="inlineStr">
        <is>
          <t>UPPSALA LÄN</t>
        </is>
      </c>
      <c r="E214" t="inlineStr">
        <is>
          <t>TIERP</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24160-2025</t>
        </is>
      </c>
      <c r="B215" s="1" t="n">
        <v>45796.66336805555</v>
      </c>
      <c r="C215" s="1" t="n">
        <v>45983</v>
      </c>
      <c r="D215" t="inlineStr">
        <is>
          <t>UPPSALA LÄN</t>
        </is>
      </c>
      <c r="E215" t="inlineStr">
        <is>
          <t>TIERP</t>
        </is>
      </c>
      <c r="F215" t="inlineStr">
        <is>
          <t>Bergvik skog öst AB</t>
        </is>
      </c>
      <c r="G215" t="n">
        <v>6.4</v>
      </c>
      <c r="H215" t="n">
        <v>0</v>
      </c>
      <c r="I215" t="n">
        <v>0</v>
      </c>
      <c r="J215" t="n">
        <v>0</v>
      </c>
      <c r="K215" t="n">
        <v>0</v>
      </c>
      <c r="L215" t="n">
        <v>0</v>
      </c>
      <c r="M215" t="n">
        <v>0</v>
      </c>
      <c r="N215" t="n">
        <v>0</v>
      </c>
      <c r="O215" t="n">
        <v>0</v>
      </c>
      <c r="P215" t="n">
        <v>0</v>
      </c>
      <c r="Q215" t="n">
        <v>0</v>
      </c>
      <c r="R215" s="2" t="inlineStr"/>
    </row>
    <row r="216" ht="15" customHeight="1">
      <c r="A216" t="inlineStr">
        <is>
          <t>A 24278-2021</t>
        </is>
      </c>
      <c r="B216" s="1" t="n">
        <v>44337</v>
      </c>
      <c r="C216" s="1" t="n">
        <v>45983</v>
      </c>
      <c r="D216" t="inlineStr">
        <is>
          <t>UPPSALA LÄN</t>
        </is>
      </c>
      <c r="E216" t="inlineStr">
        <is>
          <t>TIERP</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29056-2025</t>
        </is>
      </c>
      <c r="B217" s="1" t="n">
        <v>45821.47273148148</v>
      </c>
      <c r="C217" s="1" t="n">
        <v>45983</v>
      </c>
      <c r="D217" t="inlineStr">
        <is>
          <t>UPPSALA LÄN</t>
        </is>
      </c>
      <c r="E217" t="inlineStr">
        <is>
          <t>TIERP</t>
        </is>
      </c>
      <c r="F217" t="inlineStr">
        <is>
          <t>Bergvik skog öst AB</t>
        </is>
      </c>
      <c r="G217" t="n">
        <v>8.9</v>
      </c>
      <c r="H217" t="n">
        <v>0</v>
      </c>
      <c r="I217" t="n">
        <v>0</v>
      </c>
      <c r="J217" t="n">
        <v>0</v>
      </c>
      <c r="K217" t="n">
        <v>0</v>
      </c>
      <c r="L217" t="n">
        <v>0</v>
      </c>
      <c r="M217" t="n">
        <v>0</v>
      </c>
      <c r="N217" t="n">
        <v>0</v>
      </c>
      <c r="O217" t="n">
        <v>0</v>
      </c>
      <c r="P217" t="n">
        <v>0</v>
      </c>
      <c r="Q217" t="n">
        <v>0</v>
      </c>
      <c r="R217" s="2" t="inlineStr"/>
    </row>
    <row r="218" ht="15" customHeight="1">
      <c r="A218" t="inlineStr">
        <is>
          <t>A 61640-2023</t>
        </is>
      </c>
      <c r="B218" s="1" t="n">
        <v>45265.56704861111</v>
      </c>
      <c r="C218" s="1" t="n">
        <v>45983</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39842-2025</t>
        </is>
      </c>
      <c r="B219" s="1" t="n">
        <v>45891.57488425926</v>
      </c>
      <c r="C219" s="1" t="n">
        <v>45983</v>
      </c>
      <c r="D219" t="inlineStr">
        <is>
          <t>UPPSALA LÄN</t>
        </is>
      </c>
      <c r="E219" t="inlineStr">
        <is>
          <t>TIERP</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4314-2025</t>
        </is>
      </c>
      <c r="B220" s="1" t="n">
        <v>45685.70260416667</v>
      </c>
      <c r="C220" s="1" t="n">
        <v>45983</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40163-2025</t>
        </is>
      </c>
      <c r="B221" s="1" t="n">
        <v>45894.6178125</v>
      </c>
      <c r="C221" s="1" t="n">
        <v>45983</v>
      </c>
      <c r="D221" t="inlineStr">
        <is>
          <t>UPPSALA LÄN</t>
        </is>
      </c>
      <c r="E221" t="inlineStr">
        <is>
          <t>TIERP</t>
        </is>
      </c>
      <c r="G221" t="n">
        <v>2.1</v>
      </c>
      <c r="H221" t="n">
        <v>0</v>
      </c>
      <c r="I221" t="n">
        <v>0</v>
      </c>
      <c r="J221" t="n">
        <v>0</v>
      </c>
      <c r="K221" t="n">
        <v>0</v>
      </c>
      <c r="L221" t="n">
        <v>0</v>
      </c>
      <c r="M221" t="n">
        <v>0</v>
      </c>
      <c r="N221" t="n">
        <v>0</v>
      </c>
      <c r="O221" t="n">
        <v>0</v>
      </c>
      <c r="P221" t="n">
        <v>0</v>
      </c>
      <c r="Q221" t="n">
        <v>0</v>
      </c>
      <c r="R221" s="2" t="inlineStr"/>
    </row>
    <row r="222" ht="15" customHeight="1">
      <c r="A222" t="inlineStr">
        <is>
          <t>A 40164-2025</t>
        </is>
      </c>
      <c r="B222" s="1" t="n">
        <v>45894.62137731481</v>
      </c>
      <c r="C222" s="1" t="n">
        <v>45983</v>
      </c>
      <c r="D222" t="inlineStr">
        <is>
          <t>UPPSALA LÄN</t>
        </is>
      </c>
      <c r="E222" t="inlineStr">
        <is>
          <t>TIERP</t>
        </is>
      </c>
      <c r="G222" t="n">
        <v>0.5</v>
      </c>
      <c r="H222" t="n">
        <v>0</v>
      </c>
      <c r="I222" t="n">
        <v>0</v>
      </c>
      <c r="J222" t="n">
        <v>0</v>
      </c>
      <c r="K222" t="n">
        <v>0</v>
      </c>
      <c r="L222" t="n">
        <v>0</v>
      </c>
      <c r="M222" t="n">
        <v>0</v>
      </c>
      <c r="N222" t="n">
        <v>0</v>
      </c>
      <c r="O222" t="n">
        <v>0</v>
      </c>
      <c r="P222" t="n">
        <v>0</v>
      </c>
      <c r="Q222" t="n">
        <v>0</v>
      </c>
      <c r="R222" s="2" t="inlineStr"/>
    </row>
    <row r="223" ht="15" customHeight="1">
      <c r="A223" t="inlineStr">
        <is>
          <t>A 39856-2025</t>
        </is>
      </c>
      <c r="B223" s="1" t="n">
        <v>45891.58877314815</v>
      </c>
      <c r="C223" s="1" t="n">
        <v>45983</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40649-2025</t>
        </is>
      </c>
      <c r="B224" s="1" t="n">
        <v>45896.62949074074</v>
      </c>
      <c r="C224" s="1" t="n">
        <v>45983</v>
      </c>
      <c r="D224" t="inlineStr">
        <is>
          <t>UPPSALA LÄN</t>
        </is>
      </c>
      <c r="E224" t="inlineStr">
        <is>
          <t>TIERP</t>
        </is>
      </c>
      <c r="F224" t="inlineStr">
        <is>
          <t>Bergvik skog öst AB</t>
        </is>
      </c>
      <c r="G224" t="n">
        <v>5.3</v>
      </c>
      <c r="H224" t="n">
        <v>0</v>
      </c>
      <c r="I224" t="n">
        <v>0</v>
      </c>
      <c r="J224" t="n">
        <v>0</v>
      </c>
      <c r="K224" t="n">
        <v>0</v>
      </c>
      <c r="L224" t="n">
        <v>0</v>
      </c>
      <c r="M224" t="n">
        <v>0</v>
      </c>
      <c r="N224" t="n">
        <v>0</v>
      </c>
      <c r="O224" t="n">
        <v>0</v>
      </c>
      <c r="P224" t="n">
        <v>0</v>
      </c>
      <c r="Q224" t="n">
        <v>0</v>
      </c>
      <c r="R224" s="2" t="inlineStr"/>
    </row>
    <row r="225" ht="15" customHeight="1">
      <c r="A225" t="inlineStr">
        <is>
          <t>A 47422-2022</t>
        </is>
      </c>
      <c r="B225" s="1" t="n">
        <v>44853.57118055555</v>
      </c>
      <c r="C225" s="1" t="n">
        <v>45983</v>
      </c>
      <c r="D225" t="inlineStr">
        <is>
          <t>UPPSALA LÄN</t>
        </is>
      </c>
      <c r="E225" t="inlineStr">
        <is>
          <t>TIERP</t>
        </is>
      </c>
      <c r="G225" t="n">
        <v>2.5</v>
      </c>
      <c r="H225" t="n">
        <v>0</v>
      </c>
      <c r="I225" t="n">
        <v>0</v>
      </c>
      <c r="J225" t="n">
        <v>0</v>
      </c>
      <c r="K225" t="n">
        <v>0</v>
      </c>
      <c r="L225" t="n">
        <v>0</v>
      </c>
      <c r="M225" t="n">
        <v>0</v>
      </c>
      <c r="N225" t="n">
        <v>0</v>
      </c>
      <c r="O225" t="n">
        <v>0</v>
      </c>
      <c r="P225" t="n">
        <v>0</v>
      </c>
      <c r="Q225" t="n">
        <v>0</v>
      </c>
      <c r="R225" s="2" t="inlineStr"/>
    </row>
    <row r="226" ht="15" customHeight="1">
      <c r="A226" t="inlineStr">
        <is>
          <t>A 24807-2025</t>
        </is>
      </c>
      <c r="B226" s="1" t="n">
        <v>45799.44140046297</v>
      </c>
      <c r="C226" s="1" t="n">
        <v>45983</v>
      </c>
      <c r="D226" t="inlineStr">
        <is>
          <t>UPPSALA LÄN</t>
        </is>
      </c>
      <c r="E226" t="inlineStr">
        <is>
          <t>TIERP</t>
        </is>
      </c>
      <c r="F226" t="inlineStr">
        <is>
          <t>Bergvik skog öst AB</t>
        </is>
      </c>
      <c r="G226" t="n">
        <v>0.3</v>
      </c>
      <c r="H226" t="n">
        <v>0</v>
      </c>
      <c r="I226" t="n">
        <v>0</v>
      </c>
      <c r="J226" t="n">
        <v>0</v>
      </c>
      <c r="K226" t="n">
        <v>0</v>
      </c>
      <c r="L226" t="n">
        <v>0</v>
      </c>
      <c r="M226" t="n">
        <v>0</v>
      </c>
      <c r="N226" t="n">
        <v>0</v>
      </c>
      <c r="O226" t="n">
        <v>0</v>
      </c>
      <c r="P226" t="n">
        <v>0</v>
      </c>
      <c r="Q226" t="n">
        <v>0</v>
      </c>
      <c r="R226" s="2" t="inlineStr"/>
    </row>
    <row r="227" ht="15" customHeight="1">
      <c r="A227" t="inlineStr">
        <is>
          <t>A 40627-2025</t>
        </is>
      </c>
      <c r="B227" s="1" t="n">
        <v>45896.58956018519</v>
      </c>
      <c r="C227" s="1" t="n">
        <v>45983</v>
      </c>
      <c r="D227" t="inlineStr">
        <is>
          <t>UPPSALA LÄN</t>
        </is>
      </c>
      <c r="E227" t="inlineStr">
        <is>
          <t>TIERP</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24975-2025</t>
        </is>
      </c>
      <c r="B228" s="1" t="n">
        <v>45799.59126157407</v>
      </c>
      <c r="C228" s="1" t="n">
        <v>45983</v>
      </c>
      <c r="D228" t="inlineStr">
        <is>
          <t>UPPSALA LÄN</t>
        </is>
      </c>
      <c r="E228" t="inlineStr">
        <is>
          <t>TIERP</t>
        </is>
      </c>
      <c r="G228" t="n">
        <v>5.7</v>
      </c>
      <c r="H228" t="n">
        <v>0</v>
      </c>
      <c r="I228" t="n">
        <v>0</v>
      </c>
      <c r="J228" t="n">
        <v>0</v>
      </c>
      <c r="K228" t="n">
        <v>0</v>
      </c>
      <c r="L228" t="n">
        <v>0</v>
      </c>
      <c r="M228" t="n">
        <v>0</v>
      </c>
      <c r="N228" t="n">
        <v>0</v>
      </c>
      <c r="O228" t="n">
        <v>0</v>
      </c>
      <c r="P228" t="n">
        <v>0</v>
      </c>
      <c r="Q228" t="n">
        <v>0</v>
      </c>
      <c r="R228" s="2" t="inlineStr"/>
    </row>
    <row r="229" ht="15" customHeight="1">
      <c r="A229" t="inlineStr">
        <is>
          <t>A 41268-2025</t>
        </is>
      </c>
      <c r="B229" s="1" t="n">
        <v>45898.61831018519</v>
      </c>
      <c r="C229" s="1" t="n">
        <v>45983</v>
      </c>
      <c r="D229" t="inlineStr">
        <is>
          <t>UPPSALA LÄN</t>
        </is>
      </c>
      <c r="E229" t="inlineStr">
        <is>
          <t>TIERP</t>
        </is>
      </c>
      <c r="G229" t="n">
        <v>0.6</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45983</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61156-2024</t>
        </is>
      </c>
      <c r="B231" s="1" t="n">
        <v>45645.59362268518</v>
      </c>
      <c r="C231" s="1" t="n">
        <v>45983</v>
      </c>
      <c r="D231" t="inlineStr">
        <is>
          <t>UPPSALA LÄN</t>
        </is>
      </c>
      <c r="E231" t="inlineStr">
        <is>
          <t>TIERP</t>
        </is>
      </c>
      <c r="F231" t="inlineStr">
        <is>
          <t>Bergvik skog väst AB</t>
        </is>
      </c>
      <c r="G231" t="n">
        <v>10.6</v>
      </c>
      <c r="H231" t="n">
        <v>0</v>
      </c>
      <c r="I231" t="n">
        <v>0</v>
      </c>
      <c r="J231" t="n">
        <v>0</v>
      </c>
      <c r="K231" t="n">
        <v>0</v>
      </c>
      <c r="L231" t="n">
        <v>0</v>
      </c>
      <c r="M231" t="n">
        <v>0</v>
      </c>
      <c r="N231" t="n">
        <v>0</v>
      </c>
      <c r="O231" t="n">
        <v>0</v>
      </c>
      <c r="P231" t="n">
        <v>0</v>
      </c>
      <c r="Q231" t="n">
        <v>0</v>
      </c>
      <c r="R231" s="2" t="inlineStr"/>
    </row>
    <row r="232" ht="15" customHeight="1">
      <c r="A232" t="inlineStr">
        <is>
          <t>A 34835-2024</t>
        </is>
      </c>
      <c r="B232" s="1" t="n">
        <v>45526</v>
      </c>
      <c r="C232" s="1" t="n">
        <v>45983</v>
      </c>
      <c r="D232" t="inlineStr">
        <is>
          <t>UPPSALA LÄN</t>
        </is>
      </c>
      <c r="E232" t="inlineStr">
        <is>
          <t>TIERP</t>
        </is>
      </c>
      <c r="G232" t="n">
        <v>1.5</v>
      </c>
      <c r="H232" t="n">
        <v>0</v>
      </c>
      <c r="I232" t="n">
        <v>0</v>
      </c>
      <c r="J232" t="n">
        <v>0</v>
      </c>
      <c r="K232" t="n">
        <v>0</v>
      </c>
      <c r="L232" t="n">
        <v>0</v>
      </c>
      <c r="M232" t="n">
        <v>0</v>
      </c>
      <c r="N232" t="n">
        <v>0</v>
      </c>
      <c r="O232" t="n">
        <v>0</v>
      </c>
      <c r="P232" t="n">
        <v>0</v>
      </c>
      <c r="Q232" t="n">
        <v>0</v>
      </c>
      <c r="R232" s="2" t="inlineStr"/>
    </row>
    <row r="233" ht="15" customHeight="1">
      <c r="A233" t="inlineStr">
        <is>
          <t>A 10551-2024</t>
        </is>
      </c>
      <c r="B233" s="1" t="n">
        <v>45366.58351851852</v>
      </c>
      <c r="C233" s="1" t="n">
        <v>45983</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25671-2025</t>
        </is>
      </c>
      <c r="B234" s="1" t="n">
        <v>45803.63006944444</v>
      </c>
      <c r="C234" s="1" t="n">
        <v>45983</v>
      </c>
      <c r="D234" t="inlineStr">
        <is>
          <t>UPPSALA LÄN</t>
        </is>
      </c>
      <c r="E234" t="inlineStr">
        <is>
          <t>TIERP</t>
        </is>
      </c>
      <c r="G234" t="n">
        <v>1.8</v>
      </c>
      <c r="H234" t="n">
        <v>0</v>
      </c>
      <c r="I234" t="n">
        <v>0</v>
      </c>
      <c r="J234" t="n">
        <v>0</v>
      </c>
      <c r="K234" t="n">
        <v>0</v>
      </c>
      <c r="L234" t="n">
        <v>0</v>
      </c>
      <c r="M234" t="n">
        <v>0</v>
      </c>
      <c r="N234" t="n">
        <v>0</v>
      </c>
      <c r="O234" t="n">
        <v>0</v>
      </c>
      <c r="P234" t="n">
        <v>0</v>
      </c>
      <c r="Q234" t="n">
        <v>0</v>
      </c>
      <c r="R234" s="2" t="inlineStr"/>
    </row>
    <row r="235" ht="15" customHeight="1">
      <c r="A235" t="inlineStr">
        <is>
          <t>A 25900-2025</t>
        </is>
      </c>
      <c r="B235" s="1" t="n">
        <v>45804.54819444445</v>
      </c>
      <c r="C235" s="1" t="n">
        <v>45983</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21782-2025</t>
        </is>
      </c>
      <c r="B236" s="1" t="n">
        <v>45783.66872685185</v>
      </c>
      <c r="C236" s="1" t="n">
        <v>45983</v>
      </c>
      <c r="D236" t="inlineStr">
        <is>
          <t>UPPSALA LÄN</t>
        </is>
      </c>
      <c r="E236" t="inlineStr">
        <is>
          <t>TIERP</t>
        </is>
      </c>
      <c r="F236" t="inlineStr">
        <is>
          <t>Bergvik skog öst AB</t>
        </is>
      </c>
      <c r="G236" t="n">
        <v>1.6</v>
      </c>
      <c r="H236" t="n">
        <v>0</v>
      </c>
      <c r="I236" t="n">
        <v>0</v>
      </c>
      <c r="J236" t="n">
        <v>0</v>
      </c>
      <c r="K236" t="n">
        <v>0</v>
      </c>
      <c r="L236" t="n">
        <v>0</v>
      </c>
      <c r="M236" t="n">
        <v>0</v>
      </c>
      <c r="N236" t="n">
        <v>0</v>
      </c>
      <c r="O236" t="n">
        <v>0</v>
      </c>
      <c r="P236" t="n">
        <v>0</v>
      </c>
      <c r="Q236" t="n">
        <v>0</v>
      </c>
      <c r="R236" s="2" t="inlineStr"/>
    </row>
    <row r="237" ht="15" customHeight="1">
      <c r="A237" t="inlineStr">
        <is>
          <t>A 41531-2025</t>
        </is>
      </c>
      <c r="B237" s="1" t="n">
        <v>45901.55740740741</v>
      </c>
      <c r="C237" s="1" t="n">
        <v>45983</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41535-2025</t>
        </is>
      </c>
      <c r="B238" s="1" t="n">
        <v>45901.56009259259</v>
      </c>
      <c r="C238" s="1" t="n">
        <v>45983</v>
      </c>
      <c r="D238" t="inlineStr">
        <is>
          <t>UPPSALA LÄN</t>
        </is>
      </c>
      <c r="E238" t="inlineStr">
        <is>
          <t>TIERP</t>
        </is>
      </c>
      <c r="G238" t="n">
        <v>4.2</v>
      </c>
      <c r="H238" t="n">
        <v>0</v>
      </c>
      <c r="I238" t="n">
        <v>0</v>
      </c>
      <c r="J238" t="n">
        <v>0</v>
      </c>
      <c r="K238" t="n">
        <v>0</v>
      </c>
      <c r="L238" t="n">
        <v>0</v>
      </c>
      <c r="M238" t="n">
        <v>0</v>
      </c>
      <c r="N238" t="n">
        <v>0</v>
      </c>
      <c r="O238" t="n">
        <v>0</v>
      </c>
      <c r="P238" t="n">
        <v>0</v>
      </c>
      <c r="Q238" t="n">
        <v>0</v>
      </c>
      <c r="R238" s="2" t="inlineStr"/>
    </row>
    <row r="239" ht="15" customHeight="1">
      <c r="A239" t="inlineStr">
        <is>
          <t>A 26556-2025</t>
        </is>
      </c>
      <c r="B239" s="1" t="n">
        <v>45807.62752314815</v>
      </c>
      <c r="C239" s="1" t="n">
        <v>45983</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13460-2024</t>
        </is>
      </c>
      <c r="B240" s="1" t="n">
        <v>45387.55097222222</v>
      </c>
      <c r="C240" s="1" t="n">
        <v>45983</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50335-2025</t>
        </is>
      </c>
      <c r="B241" s="1" t="n">
        <v>45944.47350694444</v>
      </c>
      <c r="C241" s="1" t="n">
        <v>45983</v>
      </c>
      <c r="D241" t="inlineStr">
        <is>
          <t>UPPSALA LÄN</t>
        </is>
      </c>
      <c r="E241" t="inlineStr">
        <is>
          <t>TIERP</t>
        </is>
      </c>
      <c r="G241" t="n">
        <v>3.2</v>
      </c>
      <c r="H241" t="n">
        <v>0</v>
      </c>
      <c r="I241" t="n">
        <v>0</v>
      </c>
      <c r="J241" t="n">
        <v>0</v>
      </c>
      <c r="K241" t="n">
        <v>0</v>
      </c>
      <c r="L241" t="n">
        <v>0</v>
      </c>
      <c r="M241" t="n">
        <v>0</v>
      </c>
      <c r="N241" t="n">
        <v>0</v>
      </c>
      <c r="O241" t="n">
        <v>0</v>
      </c>
      <c r="P241" t="n">
        <v>0</v>
      </c>
      <c r="Q241" t="n">
        <v>0</v>
      </c>
      <c r="R241" s="2" t="inlineStr"/>
    </row>
    <row r="242" ht="15" customHeight="1">
      <c r="A242" t="inlineStr">
        <is>
          <t>A 36830-2024</t>
        </is>
      </c>
      <c r="B242" s="1" t="n">
        <v>45538</v>
      </c>
      <c r="C242" s="1" t="n">
        <v>45983</v>
      </c>
      <c r="D242" t="inlineStr">
        <is>
          <t>UPPSALA LÄN</t>
        </is>
      </c>
      <c r="E242" t="inlineStr">
        <is>
          <t>TIERP</t>
        </is>
      </c>
      <c r="G242" t="n">
        <v>1.7</v>
      </c>
      <c r="H242" t="n">
        <v>0</v>
      </c>
      <c r="I242" t="n">
        <v>0</v>
      </c>
      <c r="J242" t="n">
        <v>0</v>
      </c>
      <c r="K242" t="n">
        <v>0</v>
      </c>
      <c r="L242" t="n">
        <v>0</v>
      </c>
      <c r="M242" t="n">
        <v>0</v>
      </c>
      <c r="N242" t="n">
        <v>0</v>
      </c>
      <c r="O242" t="n">
        <v>0</v>
      </c>
      <c r="P242" t="n">
        <v>0</v>
      </c>
      <c r="Q242" t="n">
        <v>0</v>
      </c>
      <c r="R242" s="2" t="inlineStr"/>
    </row>
    <row r="243" ht="15" customHeight="1">
      <c r="A243" t="inlineStr">
        <is>
          <t>A 30509-2024</t>
        </is>
      </c>
      <c r="B243" s="1" t="n">
        <v>45492.45841435185</v>
      </c>
      <c r="C243" s="1" t="n">
        <v>45983</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25953-2025</t>
        </is>
      </c>
      <c r="B244" s="1" t="n">
        <v>45804.60184027778</v>
      </c>
      <c r="C244" s="1" t="n">
        <v>45983</v>
      </c>
      <c r="D244" t="inlineStr">
        <is>
          <t>UPPSALA LÄN</t>
        </is>
      </c>
      <c r="E244" t="inlineStr">
        <is>
          <t>TIERP</t>
        </is>
      </c>
      <c r="F244" t="inlineStr">
        <is>
          <t>Bergvik skog öst AB</t>
        </is>
      </c>
      <c r="G244" t="n">
        <v>4.7</v>
      </c>
      <c r="H244" t="n">
        <v>0</v>
      </c>
      <c r="I244" t="n">
        <v>0</v>
      </c>
      <c r="J244" t="n">
        <v>0</v>
      </c>
      <c r="K244" t="n">
        <v>0</v>
      </c>
      <c r="L244" t="n">
        <v>0</v>
      </c>
      <c r="M244" t="n">
        <v>0</v>
      </c>
      <c r="N244" t="n">
        <v>0</v>
      </c>
      <c r="O244" t="n">
        <v>0</v>
      </c>
      <c r="P244" t="n">
        <v>0</v>
      </c>
      <c r="Q244" t="n">
        <v>0</v>
      </c>
      <c r="R244" s="2" t="inlineStr"/>
    </row>
    <row r="245" ht="15" customHeight="1">
      <c r="A245" t="inlineStr">
        <is>
          <t>A 50117-2025</t>
        </is>
      </c>
      <c r="B245" s="1" t="n">
        <v>45943.54678240741</v>
      </c>
      <c r="C245" s="1" t="n">
        <v>45983</v>
      </c>
      <c r="D245" t="inlineStr">
        <is>
          <t>UPPSALA LÄN</t>
        </is>
      </c>
      <c r="E245" t="inlineStr">
        <is>
          <t>TIERP</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22274-2025</t>
        </is>
      </c>
      <c r="B246" s="1" t="n">
        <v>45786</v>
      </c>
      <c r="C246" s="1" t="n">
        <v>45983</v>
      </c>
      <c r="D246" t="inlineStr">
        <is>
          <t>UPPSALA LÄN</t>
        </is>
      </c>
      <c r="E246" t="inlineStr">
        <is>
          <t>TIERP</t>
        </is>
      </c>
      <c r="G246" t="n">
        <v>3.1</v>
      </c>
      <c r="H246" t="n">
        <v>0</v>
      </c>
      <c r="I246" t="n">
        <v>0</v>
      </c>
      <c r="J246" t="n">
        <v>0</v>
      </c>
      <c r="K246" t="n">
        <v>0</v>
      </c>
      <c r="L246" t="n">
        <v>0</v>
      </c>
      <c r="M246" t="n">
        <v>0</v>
      </c>
      <c r="N246" t="n">
        <v>0</v>
      </c>
      <c r="O246" t="n">
        <v>0</v>
      </c>
      <c r="P246" t="n">
        <v>0</v>
      </c>
      <c r="Q246" t="n">
        <v>0</v>
      </c>
      <c r="R246" s="2" t="inlineStr"/>
    </row>
    <row r="247" ht="15" customHeight="1">
      <c r="A247" t="inlineStr">
        <is>
          <t>A 41719-2025</t>
        </is>
      </c>
      <c r="B247" s="1" t="n">
        <v>45902.44439814815</v>
      </c>
      <c r="C247" s="1" t="n">
        <v>45983</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26559-2025</t>
        </is>
      </c>
      <c r="B248" s="1" t="n">
        <v>45807.63822916667</v>
      </c>
      <c r="C248" s="1" t="n">
        <v>45983</v>
      </c>
      <c r="D248" t="inlineStr">
        <is>
          <t>UPPSALA LÄN</t>
        </is>
      </c>
      <c r="E248" t="inlineStr">
        <is>
          <t>TIERP</t>
        </is>
      </c>
      <c r="G248" t="n">
        <v>5</v>
      </c>
      <c r="H248" t="n">
        <v>0</v>
      </c>
      <c r="I248" t="n">
        <v>0</v>
      </c>
      <c r="J248" t="n">
        <v>0</v>
      </c>
      <c r="K248" t="n">
        <v>0</v>
      </c>
      <c r="L248" t="n">
        <v>0</v>
      </c>
      <c r="M248" t="n">
        <v>0</v>
      </c>
      <c r="N248" t="n">
        <v>0</v>
      </c>
      <c r="O248" t="n">
        <v>0</v>
      </c>
      <c r="P248" t="n">
        <v>0</v>
      </c>
      <c r="Q248" t="n">
        <v>0</v>
      </c>
      <c r="R248" s="2" t="inlineStr"/>
    </row>
    <row r="249" ht="15" customHeight="1">
      <c r="A249" t="inlineStr">
        <is>
          <t>A 41698-2025</t>
        </is>
      </c>
      <c r="B249" s="1" t="n">
        <v>45902.40758101852</v>
      </c>
      <c r="C249" s="1" t="n">
        <v>45983</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41699-2025</t>
        </is>
      </c>
      <c r="B250" s="1" t="n">
        <v>45902.40875</v>
      </c>
      <c r="C250" s="1" t="n">
        <v>45983</v>
      </c>
      <c r="D250" t="inlineStr">
        <is>
          <t>UPPSALA LÄN</t>
        </is>
      </c>
      <c r="E250" t="inlineStr">
        <is>
          <t>TIERP</t>
        </is>
      </c>
      <c r="G250" t="n">
        <v>1</v>
      </c>
      <c r="H250" t="n">
        <v>0</v>
      </c>
      <c r="I250" t="n">
        <v>0</v>
      </c>
      <c r="J250" t="n">
        <v>0</v>
      </c>
      <c r="K250" t="n">
        <v>0</v>
      </c>
      <c r="L250" t="n">
        <v>0</v>
      </c>
      <c r="M250" t="n">
        <v>0</v>
      </c>
      <c r="N250" t="n">
        <v>0</v>
      </c>
      <c r="O250" t="n">
        <v>0</v>
      </c>
      <c r="P250" t="n">
        <v>0</v>
      </c>
      <c r="Q250" t="n">
        <v>0</v>
      </c>
      <c r="R250" s="2" t="inlineStr"/>
    </row>
    <row r="251" ht="15" customHeight="1">
      <c r="A251" t="inlineStr">
        <is>
          <t>A 25927-2025</t>
        </is>
      </c>
      <c r="B251" s="1" t="n">
        <v>45804.57641203704</v>
      </c>
      <c r="C251" s="1" t="n">
        <v>45983</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26040-2025</t>
        </is>
      </c>
      <c r="B252" s="1" t="n">
        <v>45804.69550925926</v>
      </c>
      <c r="C252" s="1" t="n">
        <v>45983</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50110-2025</t>
        </is>
      </c>
      <c r="B253" s="1" t="n">
        <v>45943.54231481482</v>
      </c>
      <c r="C253" s="1" t="n">
        <v>45983</v>
      </c>
      <c r="D253" t="inlineStr">
        <is>
          <t>UPPSALA LÄN</t>
        </is>
      </c>
      <c r="E253" t="inlineStr">
        <is>
          <t>TIERP</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41520-2025</t>
        </is>
      </c>
      <c r="B254" s="1" t="n">
        <v>45901.54918981482</v>
      </c>
      <c r="C254" s="1" t="n">
        <v>45983</v>
      </c>
      <c r="D254" t="inlineStr">
        <is>
          <t>UPPSALA LÄN</t>
        </is>
      </c>
      <c r="E254" t="inlineStr">
        <is>
          <t>TIERP</t>
        </is>
      </c>
      <c r="G254" t="n">
        <v>8.6</v>
      </c>
      <c r="H254" t="n">
        <v>0</v>
      </c>
      <c r="I254" t="n">
        <v>0</v>
      </c>
      <c r="J254" t="n">
        <v>0</v>
      </c>
      <c r="K254" t="n">
        <v>0</v>
      </c>
      <c r="L254" t="n">
        <v>0</v>
      </c>
      <c r="M254" t="n">
        <v>0</v>
      </c>
      <c r="N254" t="n">
        <v>0</v>
      </c>
      <c r="O254" t="n">
        <v>0</v>
      </c>
      <c r="P254" t="n">
        <v>0</v>
      </c>
      <c r="Q254" t="n">
        <v>0</v>
      </c>
      <c r="R254" s="2" t="inlineStr"/>
    </row>
    <row r="255" ht="15" customHeight="1">
      <c r="A255" t="inlineStr">
        <is>
          <t>A 41527-2025</t>
        </is>
      </c>
      <c r="B255" s="1" t="n">
        <v>45901.55429398148</v>
      </c>
      <c r="C255" s="1" t="n">
        <v>45983</v>
      </c>
      <c r="D255" t="inlineStr">
        <is>
          <t>UPPSALA LÄN</t>
        </is>
      </c>
      <c r="E255" t="inlineStr">
        <is>
          <t>TIERP</t>
        </is>
      </c>
      <c r="G255" t="n">
        <v>3.3</v>
      </c>
      <c r="H255" t="n">
        <v>0</v>
      </c>
      <c r="I255" t="n">
        <v>0</v>
      </c>
      <c r="J255" t="n">
        <v>0</v>
      </c>
      <c r="K255" t="n">
        <v>0</v>
      </c>
      <c r="L255" t="n">
        <v>0</v>
      </c>
      <c r="M255" t="n">
        <v>0</v>
      </c>
      <c r="N255" t="n">
        <v>0</v>
      </c>
      <c r="O255" t="n">
        <v>0</v>
      </c>
      <c r="P255" t="n">
        <v>0</v>
      </c>
      <c r="Q255" t="n">
        <v>0</v>
      </c>
      <c r="R255" s="2" t="inlineStr"/>
    </row>
    <row r="256" ht="15" customHeight="1">
      <c r="A256" t="inlineStr">
        <is>
          <t>A 41537-2025</t>
        </is>
      </c>
      <c r="B256" s="1" t="n">
        <v>45901.56194444445</v>
      </c>
      <c r="C256" s="1" t="n">
        <v>45983</v>
      </c>
      <c r="D256" t="inlineStr">
        <is>
          <t>UPPSALA LÄN</t>
        </is>
      </c>
      <c r="E256" t="inlineStr">
        <is>
          <t>TIERP</t>
        </is>
      </c>
      <c r="G256" t="n">
        <v>2</v>
      </c>
      <c r="H256" t="n">
        <v>0</v>
      </c>
      <c r="I256" t="n">
        <v>0</v>
      </c>
      <c r="J256" t="n">
        <v>0</v>
      </c>
      <c r="K256" t="n">
        <v>0</v>
      </c>
      <c r="L256" t="n">
        <v>0</v>
      </c>
      <c r="M256" t="n">
        <v>0</v>
      </c>
      <c r="N256" t="n">
        <v>0</v>
      </c>
      <c r="O256" t="n">
        <v>0</v>
      </c>
      <c r="P256" t="n">
        <v>0</v>
      </c>
      <c r="Q256" t="n">
        <v>0</v>
      </c>
      <c r="R256" s="2" t="inlineStr"/>
    </row>
    <row r="257" ht="15" customHeight="1">
      <c r="A257" t="inlineStr">
        <is>
          <t>A 32184-2025</t>
        </is>
      </c>
      <c r="B257" s="1" t="n">
        <v>45835.56524305556</v>
      </c>
      <c r="C257" s="1" t="n">
        <v>45983</v>
      </c>
      <c r="D257" t="inlineStr">
        <is>
          <t>UPPSALA LÄN</t>
        </is>
      </c>
      <c r="E257" t="inlineStr">
        <is>
          <t>TIERP</t>
        </is>
      </c>
      <c r="F257" t="inlineStr">
        <is>
          <t>Bergvik skog väst AB</t>
        </is>
      </c>
      <c r="G257" t="n">
        <v>3.2</v>
      </c>
      <c r="H257" t="n">
        <v>0</v>
      </c>
      <c r="I257" t="n">
        <v>0</v>
      </c>
      <c r="J257" t="n">
        <v>0</v>
      </c>
      <c r="K257" t="n">
        <v>0</v>
      </c>
      <c r="L257" t="n">
        <v>0</v>
      </c>
      <c r="M257" t="n">
        <v>0</v>
      </c>
      <c r="N257" t="n">
        <v>0</v>
      </c>
      <c r="O257" t="n">
        <v>0</v>
      </c>
      <c r="P257" t="n">
        <v>0</v>
      </c>
      <c r="Q257" t="n">
        <v>0</v>
      </c>
      <c r="R257" s="2" t="inlineStr"/>
    </row>
    <row r="258" ht="15" customHeight="1">
      <c r="A258" t="inlineStr">
        <is>
          <t>A 23312-2025</t>
        </is>
      </c>
      <c r="B258" s="1" t="n">
        <v>45791</v>
      </c>
      <c r="C258" s="1" t="n">
        <v>45983</v>
      </c>
      <c r="D258" t="inlineStr">
        <is>
          <t>UPPSALA LÄN</t>
        </is>
      </c>
      <c r="E258" t="inlineStr">
        <is>
          <t>TIERP</t>
        </is>
      </c>
      <c r="G258" t="n">
        <v>3</v>
      </c>
      <c r="H258" t="n">
        <v>0</v>
      </c>
      <c r="I258" t="n">
        <v>0</v>
      </c>
      <c r="J258" t="n">
        <v>0</v>
      </c>
      <c r="K258" t="n">
        <v>0</v>
      </c>
      <c r="L258" t="n">
        <v>0</v>
      </c>
      <c r="M258" t="n">
        <v>0</v>
      </c>
      <c r="N258" t="n">
        <v>0</v>
      </c>
      <c r="O258" t="n">
        <v>0</v>
      </c>
      <c r="P258" t="n">
        <v>0</v>
      </c>
      <c r="Q258" t="n">
        <v>0</v>
      </c>
      <c r="R258" s="2" t="inlineStr"/>
    </row>
    <row r="259" ht="15" customHeight="1">
      <c r="A259" t="inlineStr">
        <is>
          <t>A 26321-2025</t>
        </is>
      </c>
      <c r="B259" s="1" t="n">
        <v>45805</v>
      </c>
      <c r="C259" s="1" t="n">
        <v>45983</v>
      </c>
      <c r="D259" t="inlineStr">
        <is>
          <t>UPPSALA LÄN</t>
        </is>
      </c>
      <c r="E259" t="inlineStr">
        <is>
          <t>TIERP</t>
        </is>
      </c>
      <c r="G259" t="n">
        <v>3.8</v>
      </c>
      <c r="H259" t="n">
        <v>0</v>
      </c>
      <c r="I259" t="n">
        <v>0</v>
      </c>
      <c r="J259" t="n">
        <v>0</v>
      </c>
      <c r="K259" t="n">
        <v>0</v>
      </c>
      <c r="L259" t="n">
        <v>0</v>
      </c>
      <c r="M259" t="n">
        <v>0</v>
      </c>
      <c r="N259" t="n">
        <v>0</v>
      </c>
      <c r="O259" t="n">
        <v>0</v>
      </c>
      <c r="P259" t="n">
        <v>0</v>
      </c>
      <c r="Q259" t="n">
        <v>0</v>
      </c>
      <c r="R259" s="2" t="inlineStr"/>
    </row>
    <row r="260" ht="15" customHeight="1">
      <c r="A260" t="inlineStr">
        <is>
          <t>A 41517-2025</t>
        </is>
      </c>
      <c r="B260" s="1" t="n">
        <v>45901.54505787037</v>
      </c>
      <c r="C260" s="1" t="n">
        <v>45983</v>
      </c>
      <c r="D260" t="inlineStr">
        <is>
          <t>UPPSALA LÄN</t>
        </is>
      </c>
      <c r="E260" t="inlineStr">
        <is>
          <t>TIERP</t>
        </is>
      </c>
      <c r="G260" t="n">
        <v>5.7</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45983</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45983</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64540-2023</t>
        </is>
      </c>
      <c r="B263" s="1" t="n">
        <v>45281.37799768519</v>
      </c>
      <c r="C263" s="1" t="n">
        <v>45983</v>
      </c>
      <c r="D263" t="inlineStr">
        <is>
          <t>UPPSALA LÄN</t>
        </is>
      </c>
      <c r="E263" t="inlineStr">
        <is>
          <t>TIERP</t>
        </is>
      </c>
      <c r="G263" t="n">
        <v>2.3</v>
      </c>
      <c r="H263" t="n">
        <v>0</v>
      </c>
      <c r="I263" t="n">
        <v>0</v>
      </c>
      <c r="J263" t="n">
        <v>0</v>
      </c>
      <c r="K263" t="n">
        <v>0</v>
      </c>
      <c r="L263" t="n">
        <v>0</v>
      </c>
      <c r="M263" t="n">
        <v>0</v>
      </c>
      <c r="N263" t="n">
        <v>0</v>
      </c>
      <c r="O263" t="n">
        <v>0</v>
      </c>
      <c r="P263" t="n">
        <v>0</v>
      </c>
      <c r="Q263" t="n">
        <v>0</v>
      </c>
      <c r="R263" s="2" t="inlineStr"/>
    </row>
    <row r="264" ht="15" customHeight="1">
      <c r="A264" t="inlineStr">
        <is>
          <t>A 50713-2025</t>
        </is>
      </c>
      <c r="B264" s="1" t="n">
        <v>45946.34517361111</v>
      </c>
      <c r="C264" s="1" t="n">
        <v>45983</v>
      </c>
      <c r="D264" t="inlineStr">
        <is>
          <t>UPPSALA LÄN</t>
        </is>
      </c>
      <c r="E264" t="inlineStr">
        <is>
          <t>TIERP</t>
        </is>
      </c>
      <c r="F264" t="inlineStr">
        <is>
          <t>Bergvik skog öst AB</t>
        </is>
      </c>
      <c r="G264" t="n">
        <v>2.6</v>
      </c>
      <c r="H264" t="n">
        <v>0</v>
      </c>
      <c r="I264" t="n">
        <v>0</v>
      </c>
      <c r="J264" t="n">
        <v>0</v>
      </c>
      <c r="K264" t="n">
        <v>0</v>
      </c>
      <c r="L264" t="n">
        <v>0</v>
      </c>
      <c r="M264" t="n">
        <v>0</v>
      </c>
      <c r="N264" t="n">
        <v>0</v>
      </c>
      <c r="O264" t="n">
        <v>0</v>
      </c>
      <c r="P264" t="n">
        <v>0</v>
      </c>
      <c r="Q264" t="n">
        <v>0</v>
      </c>
      <c r="R264" s="2" t="inlineStr"/>
    </row>
    <row r="265" ht="15" customHeight="1">
      <c r="A265" t="inlineStr">
        <is>
          <t>A 50832-2025</t>
        </is>
      </c>
      <c r="B265" s="1" t="n">
        <v>45946.55498842592</v>
      </c>
      <c r="C265" s="1" t="n">
        <v>45983</v>
      </c>
      <c r="D265" t="inlineStr">
        <is>
          <t>UPPSALA LÄN</t>
        </is>
      </c>
      <c r="E265" t="inlineStr">
        <is>
          <t>TIERP</t>
        </is>
      </c>
      <c r="G265" t="n">
        <v>3.5</v>
      </c>
      <c r="H265" t="n">
        <v>0</v>
      </c>
      <c r="I265" t="n">
        <v>0</v>
      </c>
      <c r="J265" t="n">
        <v>0</v>
      </c>
      <c r="K265" t="n">
        <v>0</v>
      </c>
      <c r="L265" t="n">
        <v>0</v>
      </c>
      <c r="M265" t="n">
        <v>0</v>
      </c>
      <c r="N265" t="n">
        <v>0</v>
      </c>
      <c r="O265" t="n">
        <v>0</v>
      </c>
      <c r="P265" t="n">
        <v>0</v>
      </c>
      <c r="Q265" t="n">
        <v>0</v>
      </c>
      <c r="R265" s="2" t="inlineStr"/>
    </row>
    <row r="266" ht="15" customHeight="1">
      <c r="A266" t="inlineStr">
        <is>
          <t>A 26714-2025</t>
        </is>
      </c>
      <c r="B266" s="1" t="n">
        <v>45810.47152777778</v>
      </c>
      <c r="C266" s="1" t="n">
        <v>45983</v>
      </c>
      <c r="D266" t="inlineStr">
        <is>
          <t>UPPSALA LÄN</t>
        </is>
      </c>
      <c r="E266" t="inlineStr">
        <is>
          <t>TIERP</t>
        </is>
      </c>
      <c r="G266" t="n">
        <v>2.2</v>
      </c>
      <c r="H266" t="n">
        <v>0</v>
      </c>
      <c r="I266" t="n">
        <v>0</v>
      </c>
      <c r="J266" t="n">
        <v>0</v>
      </c>
      <c r="K266" t="n">
        <v>0</v>
      </c>
      <c r="L266" t="n">
        <v>0</v>
      </c>
      <c r="M266" t="n">
        <v>0</v>
      </c>
      <c r="N266" t="n">
        <v>0</v>
      </c>
      <c r="O266" t="n">
        <v>0</v>
      </c>
      <c r="P266" t="n">
        <v>0</v>
      </c>
      <c r="Q266" t="n">
        <v>0</v>
      </c>
      <c r="R266" s="2" t="inlineStr"/>
    </row>
    <row r="267" ht="15" customHeight="1">
      <c r="A267" t="inlineStr">
        <is>
          <t>A 16802-2025</t>
        </is>
      </c>
      <c r="B267" s="1" t="n">
        <v>45754</v>
      </c>
      <c r="C267" s="1" t="n">
        <v>45983</v>
      </c>
      <c r="D267" t="inlineStr">
        <is>
          <t>UPPSALA LÄN</t>
        </is>
      </c>
      <c r="E267" t="inlineStr">
        <is>
          <t>TIERP</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34980-2024</t>
        </is>
      </c>
      <c r="B268" s="1" t="n">
        <v>45527</v>
      </c>
      <c r="C268" s="1" t="n">
        <v>45983</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37053-2024</t>
        </is>
      </c>
      <c r="B269" s="1" t="n">
        <v>45539.43512731481</v>
      </c>
      <c r="C269" s="1" t="n">
        <v>45983</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59534-2022</t>
        </is>
      </c>
      <c r="B270" s="1" t="n">
        <v>44907.56795138889</v>
      </c>
      <c r="C270" s="1" t="n">
        <v>45983</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42106-2025</t>
        </is>
      </c>
      <c r="B271" s="1" t="n">
        <v>45903</v>
      </c>
      <c r="C271" s="1" t="n">
        <v>45983</v>
      </c>
      <c r="D271" t="inlineStr">
        <is>
          <t>UPPSALA LÄN</t>
        </is>
      </c>
      <c r="E271" t="inlineStr">
        <is>
          <t>TIERP</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42102-2025</t>
        </is>
      </c>
      <c r="B272" s="1" t="n">
        <v>45903.81962962963</v>
      </c>
      <c r="C272" s="1" t="n">
        <v>45983</v>
      </c>
      <c r="D272" t="inlineStr">
        <is>
          <t>UPPSALA LÄN</t>
        </is>
      </c>
      <c r="E272" t="inlineStr">
        <is>
          <t>TIERP</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42105-2025</t>
        </is>
      </c>
      <c r="B273" s="1" t="n">
        <v>45903</v>
      </c>
      <c r="C273" s="1" t="n">
        <v>45983</v>
      </c>
      <c r="D273" t="inlineStr">
        <is>
          <t>UPPSALA LÄN</t>
        </is>
      </c>
      <c r="E273" t="inlineStr">
        <is>
          <t>TIERP</t>
        </is>
      </c>
      <c r="F273" t="inlineStr">
        <is>
          <t>Bergvik skog väst AB</t>
        </is>
      </c>
      <c r="G273" t="n">
        <v>1.2</v>
      </c>
      <c r="H273" t="n">
        <v>0</v>
      </c>
      <c r="I273" t="n">
        <v>0</v>
      </c>
      <c r="J273" t="n">
        <v>0</v>
      </c>
      <c r="K273" t="n">
        <v>0</v>
      </c>
      <c r="L273" t="n">
        <v>0</v>
      </c>
      <c r="M273" t="n">
        <v>0</v>
      </c>
      <c r="N273" t="n">
        <v>0</v>
      </c>
      <c r="O273" t="n">
        <v>0</v>
      </c>
      <c r="P273" t="n">
        <v>0</v>
      </c>
      <c r="Q273" t="n">
        <v>0</v>
      </c>
      <c r="R273" s="2" t="inlineStr"/>
    </row>
    <row r="274" ht="15" customHeight="1">
      <c r="A274" t="inlineStr">
        <is>
          <t>A 7065-2024</t>
        </is>
      </c>
      <c r="B274" s="1" t="n">
        <v>45343.66717592593</v>
      </c>
      <c r="C274" s="1" t="n">
        <v>45983</v>
      </c>
      <c r="D274" t="inlineStr">
        <is>
          <t>UPPSALA LÄN</t>
        </is>
      </c>
      <c r="E274" t="inlineStr">
        <is>
          <t>TIERP</t>
        </is>
      </c>
      <c r="G274" t="n">
        <v>1.1</v>
      </c>
      <c r="H274" t="n">
        <v>0</v>
      </c>
      <c r="I274" t="n">
        <v>0</v>
      </c>
      <c r="J274" t="n">
        <v>0</v>
      </c>
      <c r="K274" t="n">
        <v>0</v>
      </c>
      <c r="L274" t="n">
        <v>0</v>
      </c>
      <c r="M274" t="n">
        <v>0</v>
      </c>
      <c r="N274" t="n">
        <v>0</v>
      </c>
      <c r="O274" t="n">
        <v>0</v>
      </c>
      <c r="P274" t="n">
        <v>0</v>
      </c>
      <c r="Q274" t="n">
        <v>0</v>
      </c>
      <c r="R274" s="2" t="inlineStr"/>
    </row>
    <row r="275" ht="15" customHeight="1">
      <c r="A275" t="inlineStr">
        <is>
          <t>A 15793-2025</t>
        </is>
      </c>
      <c r="B275" s="1" t="n">
        <v>45748.6355787037</v>
      </c>
      <c r="C275" s="1" t="n">
        <v>45983</v>
      </c>
      <c r="D275" t="inlineStr">
        <is>
          <t>UPPSALA LÄN</t>
        </is>
      </c>
      <c r="E275" t="inlineStr">
        <is>
          <t>TIERP</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14241-2024</t>
        </is>
      </c>
      <c r="B276" s="1" t="n">
        <v>45393</v>
      </c>
      <c r="C276" s="1" t="n">
        <v>45983</v>
      </c>
      <c r="D276" t="inlineStr">
        <is>
          <t>UPPSALA LÄN</t>
        </is>
      </c>
      <c r="E276" t="inlineStr">
        <is>
          <t>TIERP</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50820-2025</t>
        </is>
      </c>
      <c r="B277" s="1" t="n">
        <v>45946.53392361111</v>
      </c>
      <c r="C277" s="1" t="n">
        <v>45983</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50879-2025</t>
        </is>
      </c>
      <c r="B278" s="1" t="n">
        <v>45946.62524305555</v>
      </c>
      <c r="C278" s="1" t="n">
        <v>45983</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50730-2025</t>
        </is>
      </c>
      <c r="B279" s="1" t="n">
        <v>45946.36325231481</v>
      </c>
      <c r="C279" s="1" t="n">
        <v>45983</v>
      </c>
      <c r="D279" t="inlineStr">
        <is>
          <t>UPPSALA LÄN</t>
        </is>
      </c>
      <c r="E279" t="inlineStr">
        <is>
          <t>TIERP</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34198-2023</t>
        </is>
      </c>
      <c r="B280" s="1" t="n">
        <v>45138</v>
      </c>
      <c r="C280" s="1" t="n">
        <v>45983</v>
      </c>
      <c r="D280" t="inlineStr">
        <is>
          <t>UPPSALA LÄN</t>
        </is>
      </c>
      <c r="E280" t="inlineStr">
        <is>
          <t>TIERP</t>
        </is>
      </c>
      <c r="F280" t="inlineStr">
        <is>
          <t>Bergvik skog öst AB</t>
        </is>
      </c>
      <c r="G280" t="n">
        <v>11.5</v>
      </c>
      <c r="H280" t="n">
        <v>0</v>
      </c>
      <c r="I280" t="n">
        <v>0</v>
      </c>
      <c r="J280" t="n">
        <v>0</v>
      </c>
      <c r="K280" t="n">
        <v>0</v>
      </c>
      <c r="L280" t="n">
        <v>0</v>
      </c>
      <c r="M280" t="n">
        <v>0</v>
      </c>
      <c r="N280" t="n">
        <v>0</v>
      </c>
      <c r="O280" t="n">
        <v>0</v>
      </c>
      <c r="P280" t="n">
        <v>0</v>
      </c>
      <c r="Q280" t="n">
        <v>0</v>
      </c>
      <c r="R280" s="2" t="inlineStr"/>
    </row>
    <row r="281" ht="15" customHeight="1">
      <c r="A281" t="inlineStr">
        <is>
          <t>A 27270-2025</t>
        </is>
      </c>
      <c r="B281" s="1" t="n">
        <v>45812.4972337963</v>
      </c>
      <c r="C281" s="1" t="n">
        <v>45983</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27360-2025</t>
        </is>
      </c>
      <c r="B282" s="1" t="n">
        <v>45812.63758101852</v>
      </c>
      <c r="C282" s="1" t="n">
        <v>45983</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45983</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45983</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51125-2025</t>
        </is>
      </c>
      <c r="B285" s="1" t="n">
        <v>45947.5503587963</v>
      </c>
      <c r="C285" s="1" t="n">
        <v>45983</v>
      </c>
      <c r="D285" t="inlineStr">
        <is>
          <t>UPPSALA LÄN</t>
        </is>
      </c>
      <c r="E285" t="inlineStr">
        <is>
          <t>TIERP</t>
        </is>
      </c>
      <c r="F285" t="inlineStr">
        <is>
          <t>Bergvik skog öst AB</t>
        </is>
      </c>
      <c r="G285" t="n">
        <v>1.1</v>
      </c>
      <c r="H285" t="n">
        <v>0</v>
      </c>
      <c r="I285" t="n">
        <v>0</v>
      </c>
      <c r="J285" t="n">
        <v>0</v>
      </c>
      <c r="K285" t="n">
        <v>0</v>
      </c>
      <c r="L285" t="n">
        <v>0</v>
      </c>
      <c r="M285" t="n">
        <v>0</v>
      </c>
      <c r="N285" t="n">
        <v>0</v>
      </c>
      <c r="O285" t="n">
        <v>0</v>
      </c>
      <c r="P285" t="n">
        <v>0</v>
      </c>
      <c r="Q285" t="n">
        <v>0</v>
      </c>
      <c r="R285" s="2" t="inlineStr"/>
    </row>
    <row r="286" ht="15" customHeight="1">
      <c r="A286" t="inlineStr">
        <is>
          <t>A 51139-2025</t>
        </is>
      </c>
      <c r="B286" s="1" t="n">
        <v>45947.56074074074</v>
      </c>
      <c r="C286" s="1" t="n">
        <v>45983</v>
      </c>
      <c r="D286" t="inlineStr">
        <is>
          <t>UPPSALA LÄN</t>
        </is>
      </c>
      <c r="E286" t="inlineStr">
        <is>
          <t>TIERP</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27629-2025</t>
        </is>
      </c>
      <c r="B287" s="1" t="n">
        <v>45813.55859953703</v>
      </c>
      <c r="C287" s="1" t="n">
        <v>45983</v>
      </c>
      <c r="D287" t="inlineStr">
        <is>
          <t>UPPSALA LÄN</t>
        </is>
      </c>
      <c r="E287" t="inlineStr">
        <is>
          <t>TIERP</t>
        </is>
      </c>
      <c r="F287" t="inlineStr">
        <is>
          <t>Bergvik skog väst AB</t>
        </is>
      </c>
      <c r="G287" t="n">
        <v>24.6</v>
      </c>
      <c r="H287" t="n">
        <v>0</v>
      </c>
      <c r="I287" t="n">
        <v>0</v>
      </c>
      <c r="J287" t="n">
        <v>0</v>
      </c>
      <c r="K287" t="n">
        <v>0</v>
      </c>
      <c r="L287" t="n">
        <v>0</v>
      </c>
      <c r="M287" t="n">
        <v>0</v>
      </c>
      <c r="N287" t="n">
        <v>0</v>
      </c>
      <c r="O287" t="n">
        <v>0</v>
      </c>
      <c r="P287" t="n">
        <v>0</v>
      </c>
      <c r="Q287" t="n">
        <v>0</v>
      </c>
      <c r="R287" s="2" t="inlineStr"/>
    </row>
    <row r="288" ht="15" customHeight="1">
      <c r="A288" t="inlineStr">
        <is>
          <t>A 51116-2025</t>
        </is>
      </c>
      <c r="B288" s="1" t="n">
        <v>45947.52800925926</v>
      </c>
      <c r="C288" s="1" t="n">
        <v>45983</v>
      </c>
      <c r="D288" t="inlineStr">
        <is>
          <t>UPPSALA LÄN</t>
        </is>
      </c>
      <c r="E288" t="inlineStr">
        <is>
          <t>TIERP</t>
        </is>
      </c>
      <c r="G288" t="n">
        <v>2.2</v>
      </c>
      <c r="H288" t="n">
        <v>0</v>
      </c>
      <c r="I288" t="n">
        <v>0</v>
      </c>
      <c r="J288" t="n">
        <v>0</v>
      </c>
      <c r="K288" t="n">
        <v>0</v>
      </c>
      <c r="L288" t="n">
        <v>0</v>
      </c>
      <c r="M288" t="n">
        <v>0</v>
      </c>
      <c r="N288" t="n">
        <v>0</v>
      </c>
      <c r="O288" t="n">
        <v>0</v>
      </c>
      <c r="P288" t="n">
        <v>0</v>
      </c>
      <c r="Q288" t="n">
        <v>0</v>
      </c>
      <c r="R288" s="2" t="inlineStr"/>
    </row>
    <row r="289" ht="15" customHeight="1">
      <c r="A289" t="inlineStr">
        <is>
          <t>A 15193-2024</t>
        </is>
      </c>
      <c r="B289" s="1" t="n">
        <v>45400.41387731482</v>
      </c>
      <c r="C289" s="1" t="n">
        <v>45983</v>
      </c>
      <c r="D289" t="inlineStr">
        <is>
          <t>UPPSALA LÄN</t>
        </is>
      </c>
      <c r="E289" t="inlineStr">
        <is>
          <t>TIERP</t>
        </is>
      </c>
      <c r="G289" t="n">
        <v>1.6</v>
      </c>
      <c r="H289" t="n">
        <v>0</v>
      </c>
      <c r="I289" t="n">
        <v>0</v>
      </c>
      <c r="J289" t="n">
        <v>0</v>
      </c>
      <c r="K289" t="n">
        <v>0</v>
      </c>
      <c r="L289" t="n">
        <v>0</v>
      </c>
      <c r="M289" t="n">
        <v>0</v>
      </c>
      <c r="N289" t="n">
        <v>0</v>
      </c>
      <c r="O289" t="n">
        <v>0</v>
      </c>
      <c r="P289" t="n">
        <v>0</v>
      </c>
      <c r="Q289" t="n">
        <v>0</v>
      </c>
      <c r="R289" s="2" t="inlineStr"/>
    </row>
    <row r="290" ht="15" customHeight="1">
      <c r="A290" t="inlineStr">
        <is>
          <t>A 51331-2025</t>
        </is>
      </c>
      <c r="B290" s="1" t="n">
        <v>45950.41685185185</v>
      </c>
      <c r="C290" s="1" t="n">
        <v>45983</v>
      </c>
      <c r="D290" t="inlineStr">
        <is>
          <t>UPPSALA LÄN</t>
        </is>
      </c>
      <c r="E290" t="inlineStr">
        <is>
          <t>TIERP</t>
        </is>
      </c>
      <c r="G290" t="n">
        <v>8.9</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45983</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51066-2025</t>
        </is>
      </c>
      <c r="B292" s="1" t="n">
        <v>45947.45293981482</v>
      </c>
      <c r="C292" s="1" t="n">
        <v>45983</v>
      </c>
      <c r="D292" t="inlineStr">
        <is>
          <t>UPPSALA LÄN</t>
        </is>
      </c>
      <c r="E292" t="inlineStr">
        <is>
          <t>TIERP</t>
        </is>
      </c>
      <c r="G292" t="n">
        <v>1.5</v>
      </c>
      <c r="H292" t="n">
        <v>0</v>
      </c>
      <c r="I292" t="n">
        <v>0</v>
      </c>
      <c r="J292" t="n">
        <v>0</v>
      </c>
      <c r="K292" t="n">
        <v>0</v>
      </c>
      <c r="L292" t="n">
        <v>0</v>
      </c>
      <c r="M292" t="n">
        <v>0</v>
      </c>
      <c r="N292" t="n">
        <v>0</v>
      </c>
      <c r="O292" t="n">
        <v>0</v>
      </c>
      <c r="P292" t="n">
        <v>0</v>
      </c>
      <c r="Q292" t="n">
        <v>0</v>
      </c>
      <c r="R292" s="2" t="inlineStr"/>
    </row>
    <row r="293" ht="15" customHeight="1">
      <c r="A293" t="inlineStr">
        <is>
          <t>A 51085-2025</t>
        </is>
      </c>
      <c r="B293" s="1" t="n">
        <v>45947.46891203704</v>
      </c>
      <c r="C293" s="1" t="n">
        <v>45983</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42688-2025</t>
        </is>
      </c>
      <c r="B294" s="1" t="n">
        <v>45908.35633101852</v>
      </c>
      <c r="C294" s="1" t="n">
        <v>45983</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51044-2025</t>
        </is>
      </c>
      <c r="B295" s="1" t="n">
        <v>45947.4264699074</v>
      </c>
      <c r="C295" s="1" t="n">
        <v>45983</v>
      </c>
      <c r="D295" t="inlineStr">
        <is>
          <t>UPPSALA LÄN</t>
        </is>
      </c>
      <c r="E295" t="inlineStr">
        <is>
          <t>TIERP</t>
        </is>
      </c>
      <c r="G295" t="n">
        <v>11.7</v>
      </c>
      <c r="H295" t="n">
        <v>0</v>
      </c>
      <c r="I295" t="n">
        <v>0</v>
      </c>
      <c r="J295" t="n">
        <v>0</v>
      </c>
      <c r="K295" t="n">
        <v>0</v>
      </c>
      <c r="L295" t="n">
        <v>0</v>
      </c>
      <c r="M295" t="n">
        <v>0</v>
      </c>
      <c r="N295" t="n">
        <v>0</v>
      </c>
      <c r="O295" t="n">
        <v>0</v>
      </c>
      <c r="P295" t="n">
        <v>0</v>
      </c>
      <c r="Q295" t="n">
        <v>0</v>
      </c>
      <c r="R295" s="2" t="inlineStr"/>
    </row>
    <row r="296" ht="15" customHeight="1">
      <c r="A296" t="inlineStr">
        <is>
          <t>A 51060-2025</t>
        </is>
      </c>
      <c r="B296" s="1" t="n">
        <v>45947.44677083333</v>
      </c>
      <c r="C296" s="1" t="n">
        <v>45983</v>
      </c>
      <c r="D296" t="inlineStr">
        <is>
          <t>UPPSALA LÄN</t>
        </is>
      </c>
      <c r="E296" t="inlineStr">
        <is>
          <t>TIERP</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51057-2025</t>
        </is>
      </c>
      <c r="B297" s="1" t="n">
        <v>45947.44466435185</v>
      </c>
      <c r="C297" s="1" t="n">
        <v>45983</v>
      </c>
      <c r="D297" t="inlineStr">
        <is>
          <t>UPPSALA LÄN</t>
        </is>
      </c>
      <c r="E297" t="inlineStr">
        <is>
          <t>TIERP</t>
        </is>
      </c>
      <c r="F297" t="inlineStr">
        <is>
          <t>Bergvik skog öst AB</t>
        </is>
      </c>
      <c r="G297" t="n">
        <v>5.5</v>
      </c>
      <c r="H297" t="n">
        <v>0</v>
      </c>
      <c r="I297" t="n">
        <v>0</v>
      </c>
      <c r="J297" t="n">
        <v>0</v>
      </c>
      <c r="K297" t="n">
        <v>0</v>
      </c>
      <c r="L297" t="n">
        <v>0</v>
      </c>
      <c r="M297" t="n">
        <v>0</v>
      </c>
      <c r="N297" t="n">
        <v>0</v>
      </c>
      <c r="O297" t="n">
        <v>0</v>
      </c>
      <c r="P297" t="n">
        <v>0</v>
      </c>
      <c r="Q297" t="n">
        <v>0</v>
      </c>
      <c r="R297" s="2" t="inlineStr"/>
    </row>
    <row r="298" ht="15" customHeight="1">
      <c r="A298" t="inlineStr">
        <is>
          <t>A 5967-2023</t>
        </is>
      </c>
      <c r="B298" s="1" t="n">
        <v>44964</v>
      </c>
      <c r="C298" s="1" t="n">
        <v>45983</v>
      </c>
      <c r="D298" t="inlineStr">
        <is>
          <t>UPPSALA LÄN</t>
        </is>
      </c>
      <c r="E298" t="inlineStr">
        <is>
          <t>TIERP</t>
        </is>
      </c>
      <c r="G298" t="n">
        <v>2.1</v>
      </c>
      <c r="H298" t="n">
        <v>0</v>
      </c>
      <c r="I298" t="n">
        <v>0</v>
      </c>
      <c r="J298" t="n">
        <v>0</v>
      </c>
      <c r="K298" t="n">
        <v>0</v>
      </c>
      <c r="L298" t="n">
        <v>0</v>
      </c>
      <c r="M298" t="n">
        <v>0</v>
      </c>
      <c r="N298" t="n">
        <v>0</v>
      </c>
      <c r="O298" t="n">
        <v>0</v>
      </c>
      <c r="P298" t="n">
        <v>0</v>
      </c>
      <c r="Q298" t="n">
        <v>0</v>
      </c>
      <c r="R298" s="2" t="inlineStr"/>
    </row>
    <row r="299" ht="15" customHeight="1">
      <c r="A299" t="inlineStr">
        <is>
          <t>A 5993-2023</t>
        </is>
      </c>
      <c r="B299" s="1" t="n">
        <v>44964</v>
      </c>
      <c r="C299" s="1" t="n">
        <v>45983</v>
      </c>
      <c r="D299" t="inlineStr">
        <is>
          <t>UPPSALA LÄN</t>
        </is>
      </c>
      <c r="E299" t="inlineStr">
        <is>
          <t>TIERP</t>
        </is>
      </c>
      <c r="F299" t="inlineStr">
        <is>
          <t>Bergvik skog öst AB</t>
        </is>
      </c>
      <c r="G299" t="n">
        <v>4.1</v>
      </c>
      <c r="H299" t="n">
        <v>0</v>
      </c>
      <c r="I299" t="n">
        <v>0</v>
      </c>
      <c r="J299" t="n">
        <v>0</v>
      </c>
      <c r="K299" t="n">
        <v>0</v>
      </c>
      <c r="L299" t="n">
        <v>0</v>
      </c>
      <c r="M299" t="n">
        <v>0</v>
      </c>
      <c r="N299" t="n">
        <v>0</v>
      </c>
      <c r="O299" t="n">
        <v>0</v>
      </c>
      <c r="P299" t="n">
        <v>0</v>
      </c>
      <c r="Q299" t="n">
        <v>0</v>
      </c>
      <c r="R299" s="2" t="inlineStr"/>
    </row>
    <row r="300" ht="15" customHeight="1">
      <c r="A300" t="inlineStr">
        <is>
          <t>A 6049-2023</t>
        </is>
      </c>
      <c r="B300" s="1" t="n">
        <v>44964</v>
      </c>
      <c r="C300" s="1" t="n">
        <v>45983</v>
      </c>
      <c r="D300" t="inlineStr">
        <is>
          <t>UPPSALA LÄN</t>
        </is>
      </c>
      <c r="E300" t="inlineStr">
        <is>
          <t>TIERP</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6071-2023</t>
        </is>
      </c>
      <c r="B301" s="1" t="n">
        <v>44964.51579861111</v>
      </c>
      <c r="C301" s="1" t="n">
        <v>45983</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28285-2025</t>
        </is>
      </c>
      <c r="B302" s="1" t="n">
        <v>45818.58984953703</v>
      </c>
      <c r="C302" s="1" t="n">
        <v>45983</v>
      </c>
      <c r="D302" t="inlineStr">
        <is>
          <t>UPPSALA LÄN</t>
        </is>
      </c>
      <c r="E302" t="inlineStr">
        <is>
          <t>TIERP</t>
        </is>
      </c>
      <c r="F302" t="inlineStr">
        <is>
          <t>Bergvik skog öst AB</t>
        </is>
      </c>
      <c r="G302" t="n">
        <v>2</v>
      </c>
      <c r="H302" t="n">
        <v>0</v>
      </c>
      <c r="I302" t="n">
        <v>0</v>
      </c>
      <c r="J302" t="n">
        <v>0</v>
      </c>
      <c r="K302" t="n">
        <v>0</v>
      </c>
      <c r="L302" t="n">
        <v>0</v>
      </c>
      <c r="M302" t="n">
        <v>0</v>
      </c>
      <c r="N302" t="n">
        <v>0</v>
      </c>
      <c r="O302" t="n">
        <v>0</v>
      </c>
      <c r="P302" t="n">
        <v>0</v>
      </c>
      <c r="Q302" t="n">
        <v>0</v>
      </c>
      <c r="R302" s="2" t="inlineStr"/>
    </row>
    <row r="303" ht="15" customHeight="1">
      <c r="A303" t="inlineStr">
        <is>
          <t>A 11529-2022</t>
        </is>
      </c>
      <c r="B303" s="1" t="n">
        <v>44631.38126157408</v>
      </c>
      <c r="C303" s="1" t="n">
        <v>45983</v>
      </c>
      <c r="D303" t="inlineStr">
        <is>
          <t>UPPSALA LÄN</t>
        </is>
      </c>
      <c r="E303" t="inlineStr">
        <is>
          <t>TIERP</t>
        </is>
      </c>
      <c r="G303" t="n">
        <v>2.4</v>
      </c>
      <c r="H303" t="n">
        <v>0</v>
      </c>
      <c r="I303" t="n">
        <v>0</v>
      </c>
      <c r="J303" t="n">
        <v>0</v>
      </c>
      <c r="K303" t="n">
        <v>0</v>
      </c>
      <c r="L303" t="n">
        <v>0</v>
      </c>
      <c r="M303" t="n">
        <v>0</v>
      </c>
      <c r="N303" t="n">
        <v>0</v>
      </c>
      <c r="O303" t="n">
        <v>0</v>
      </c>
      <c r="P303" t="n">
        <v>0</v>
      </c>
      <c r="Q303" t="n">
        <v>0</v>
      </c>
      <c r="R303" s="2" t="inlineStr"/>
    </row>
    <row r="304" ht="15" customHeight="1">
      <c r="A304" t="inlineStr">
        <is>
          <t>A 51094-2025</t>
        </is>
      </c>
      <c r="B304" s="1" t="n">
        <v>45947.47751157408</v>
      </c>
      <c r="C304" s="1" t="n">
        <v>45983</v>
      </c>
      <c r="D304" t="inlineStr">
        <is>
          <t>UPPSALA LÄN</t>
        </is>
      </c>
      <c r="E304" t="inlineStr">
        <is>
          <t>TIERP</t>
        </is>
      </c>
      <c r="F304" t="inlineStr">
        <is>
          <t>Bergvik skog öst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42695-2025</t>
        </is>
      </c>
      <c r="B305" s="1" t="n">
        <v>45908.36148148148</v>
      </c>
      <c r="C305" s="1" t="n">
        <v>45983</v>
      </c>
      <c r="D305" t="inlineStr">
        <is>
          <t>UPPSALA LÄN</t>
        </is>
      </c>
      <c r="E305" t="inlineStr">
        <is>
          <t>TIERP</t>
        </is>
      </c>
      <c r="G305" t="n">
        <v>0.9</v>
      </c>
      <c r="H305" t="n">
        <v>0</v>
      </c>
      <c r="I305" t="n">
        <v>0</v>
      </c>
      <c r="J305" t="n">
        <v>0</v>
      </c>
      <c r="K305" t="n">
        <v>0</v>
      </c>
      <c r="L305" t="n">
        <v>0</v>
      </c>
      <c r="M305" t="n">
        <v>0</v>
      </c>
      <c r="N305" t="n">
        <v>0</v>
      </c>
      <c r="O305" t="n">
        <v>0</v>
      </c>
      <c r="P305" t="n">
        <v>0</v>
      </c>
      <c r="Q305" t="n">
        <v>0</v>
      </c>
      <c r="R305" s="2" t="inlineStr"/>
    </row>
    <row r="306" ht="15" customHeight="1">
      <c r="A306" t="inlineStr">
        <is>
          <t>A 51012-2025</t>
        </is>
      </c>
      <c r="B306" s="1" t="n">
        <v>45947.38002314815</v>
      </c>
      <c r="C306" s="1" t="n">
        <v>45983</v>
      </c>
      <c r="D306" t="inlineStr">
        <is>
          <t>UPPSALA LÄN</t>
        </is>
      </c>
      <c r="E306" t="inlineStr">
        <is>
          <t>TIERP</t>
        </is>
      </c>
      <c r="G306" t="n">
        <v>26.8</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45983</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28252-2025</t>
        </is>
      </c>
      <c r="B308" s="1" t="n">
        <v>45818.54159722223</v>
      </c>
      <c r="C308" s="1" t="n">
        <v>45983</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14527-2025</t>
        </is>
      </c>
      <c r="B309" s="1" t="n">
        <v>45741.65077546296</v>
      </c>
      <c r="C309" s="1" t="n">
        <v>45983</v>
      </c>
      <c r="D309" t="inlineStr">
        <is>
          <t>UPPSALA LÄN</t>
        </is>
      </c>
      <c r="E309" t="inlineStr">
        <is>
          <t>TIERP</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28223-2025</t>
        </is>
      </c>
      <c r="B310" s="1" t="n">
        <v>45818.47733796296</v>
      </c>
      <c r="C310" s="1" t="n">
        <v>45983</v>
      </c>
      <c r="D310" t="inlineStr">
        <is>
          <t>UPPSALA LÄN</t>
        </is>
      </c>
      <c r="E310" t="inlineStr">
        <is>
          <t>TIERP</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4409-2023</t>
        </is>
      </c>
      <c r="B311" s="1" t="n">
        <v>44956.36935185185</v>
      </c>
      <c r="C311" s="1" t="n">
        <v>45983</v>
      </c>
      <c r="D311" t="inlineStr">
        <is>
          <t>UPPSALA LÄN</t>
        </is>
      </c>
      <c r="E311" t="inlineStr">
        <is>
          <t>TIERP</t>
        </is>
      </c>
      <c r="F311" t="inlineStr">
        <is>
          <t>Bergvik skog öst AB</t>
        </is>
      </c>
      <c r="G311" t="n">
        <v>3.7</v>
      </c>
      <c r="H311" t="n">
        <v>0</v>
      </c>
      <c r="I311" t="n">
        <v>0</v>
      </c>
      <c r="J311" t="n">
        <v>0</v>
      </c>
      <c r="K311" t="n">
        <v>0</v>
      </c>
      <c r="L311" t="n">
        <v>0</v>
      </c>
      <c r="M311" t="n">
        <v>0</v>
      </c>
      <c r="N311" t="n">
        <v>0</v>
      </c>
      <c r="O311" t="n">
        <v>0</v>
      </c>
      <c r="P311" t="n">
        <v>0</v>
      </c>
      <c r="Q311" t="n">
        <v>0</v>
      </c>
      <c r="R311" s="2" t="inlineStr"/>
    </row>
    <row r="312" ht="15" customHeight="1">
      <c r="A312" t="inlineStr">
        <is>
          <t>A 43260-2025</t>
        </is>
      </c>
      <c r="B312" s="1" t="n">
        <v>45910.56313657408</v>
      </c>
      <c r="C312" s="1" t="n">
        <v>45983</v>
      </c>
      <c r="D312" t="inlineStr">
        <is>
          <t>UPPSALA LÄN</t>
        </is>
      </c>
      <c r="E312" t="inlineStr">
        <is>
          <t>TIERP</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51646-2025</t>
        </is>
      </c>
      <c r="B313" s="1" t="n">
        <v>45951.44916666667</v>
      </c>
      <c r="C313" s="1" t="n">
        <v>45983</v>
      </c>
      <c r="D313" t="inlineStr">
        <is>
          <t>UPPSALA LÄN</t>
        </is>
      </c>
      <c r="E313" t="inlineStr">
        <is>
          <t>TIERP</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43220-2025</t>
        </is>
      </c>
      <c r="B314" s="1" t="n">
        <v>45910.47623842592</v>
      </c>
      <c r="C314" s="1" t="n">
        <v>45983</v>
      </c>
      <c r="D314" t="inlineStr">
        <is>
          <t>UPPSALA LÄN</t>
        </is>
      </c>
      <c r="E314" t="inlineStr">
        <is>
          <t>TIERP</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43222-2025</t>
        </is>
      </c>
      <c r="B315" s="1" t="n">
        <v>45910.47983796296</v>
      </c>
      <c r="C315" s="1" t="n">
        <v>45983</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43224-2025</t>
        </is>
      </c>
      <c r="B316" s="1" t="n">
        <v>45910.48737268519</v>
      </c>
      <c r="C316" s="1" t="n">
        <v>45983</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7359-2023</t>
        </is>
      </c>
      <c r="B317" s="1" t="n">
        <v>44966</v>
      </c>
      <c r="C317" s="1" t="n">
        <v>45983</v>
      </c>
      <c r="D317" t="inlineStr">
        <is>
          <t>UPPSALA LÄN</t>
        </is>
      </c>
      <c r="E317" t="inlineStr">
        <is>
          <t>TIERP</t>
        </is>
      </c>
      <c r="G317" t="n">
        <v>3.4</v>
      </c>
      <c r="H317" t="n">
        <v>0</v>
      </c>
      <c r="I317" t="n">
        <v>0</v>
      </c>
      <c r="J317" t="n">
        <v>0</v>
      </c>
      <c r="K317" t="n">
        <v>0</v>
      </c>
      <c r="L317" t="n">
        <v>0</v>
      </c>
      <c r="M317" t="n">
        <v>0</v>
      </c>
      <c r="N317" t="n">
        <v>0</v>
      </c>
      <c r="O317" t="n">
        <v>0</v>
      </c>
      <c r="P317" t="n">
        <v>0</v>
      </c>
      <c r="Q317" t="n">
        <v>0</v>
      </c>
      <c r="R317" s="2" t="inlineStr"/>
    </row>
    <row r="318" ht="15" customHeight="1">
      <c r="A318" t="inlineStr">
        <is>
          <t>A 51712-2025</t>
        </is>
      </c>
      <c r="B318" s="1" t="n">
        <v>45951.57142361111</v>
      </c>
      <c r="C318" s="1" t="n">
        <v>45983</v>
      </c>
      <c r="D318" t="inlineStr">
        <is>
          <t>UPPSALA LÄN</t>
        </is>
      </c>
      <c r="E318" t="inlineStr">
        <is>
          <t>TIERP</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18412-2025</t>
        </is>
      </c>
      <c r="B319" s="1" t="n">
        <v>45762.61427083334</v>
      </c>
      <c r="C319" s="1" t="n">
        <v>45983</v>
      </c>
      <c r="D319" t="inlineStr">
        <is>
          <t>UPPSALA LÄN</t>
        </is>
      </c>
      <c r="E319" t="inlineStr">
        <is>
          <t>TIERP</t>
        </is>
      </c>
      <c r="F319" t="inlineStr">
        <is>
          <t>Bergvik skog öst AB</t>
        </is>
      </c>
      <c r="G319" t="n">
        <v>7.3</v>
      </c>
      <c r="H319" t="n">
        <v>0</v>
      </c>
      <c r="I319" t="n">
        <v>0</v>
      </c>
      <c r="J319" t="n">
        <v>0</v>
      </c>
      <c r="K319" t="n">
        <v>0</v>
      </c>
      <c r="L319" t="n">
        <v>0</v>
      </c>
      <c r="M319" t="n">
        <v>0</v>
      </c>
      <c r="N319" t="n">
        <v>0</v>
      </c>
      <c r="O319" t="n">
        <v>0</v>
      </c>
      <c r="P319" t="n">
        <v>0</v>
      </c>
      <c r="Q319" t="n">
        <v>0</v>
      </c>
      <c r="R319" s="2" t="inlineStr"/>
    </row>
    <row r="320" ht="15" customHeight="1">
      <c r="A320" t="inlineStr">
        <is>
          <t>A 5995-2023</t>
        </is>
      </c>
      <c r="B320" s="1" t="n">
        <v>44964</v>
      </c>
      <c r="C320" s="1" t="n">
        <v>45983</v>
      </c>
      <c r="D320" t="inlineStr">
        <is>
          <t>UPPSALA LÄN</t>
        </is>
      </c>
      <c r="E320" t="inlineStr">
        <is>
          <t>TIERP</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29282-2025</t>
        </is>
      </c>
      <c r="B321" s="1" t="n">
        <v>45824.42741898148</v>
      </c>
      <c r="C321" s="1" t="n">
        <v>45983</v>
      </c>
      <c r="D321" t="inlineStr">
        <is>
          <t>UPPSALA LÄN</t>
        </is>
      </c>
      <c r="E321" t="inlineStr">
        <is>
          <t>TIERP</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29382-2025</t>
        </is>
      </c>
      <c r="B322" s="1" t="n">
        <v>45824.59332175926</v>
      </c>
      <c r="C322" s="1" t="n">
        <v>45983</v>
      </c>
      <c r="D322" t="inlineStr">
        <is>
          <t>UPPSALA LÄN</t>
        </is>
      </c>
      <c r="E322" t="inlineStr">
        <is>
          <t>TIERP</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3561-2023</t>
        </is>
      </c>
      <c r="B323" s="1" t="n">
        <v>44950.47427083334</v>
      </c>
      <c r="C323" s="1" t="n">
        <v>45983</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29133-2025</t>
        </is>
      </c>
      <c r="B324" s="1" t="n">
        <v>45821.60461805556</v>
      </c>
      <c r="C324" s="1" t="n">
        <v>45983</v>
      </c>
      <c r="D324" t="inlineStr">
        <is>
          <t>UPPSALA LÄN</t>
        </is>
      </c>
      <c r="E324" t="inlineStr">
        <is>
          <t>TIERP</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12424-2024</t>
        </is>
      </c>
      <c r="B325" s="1" t="n">
        <v>45379.4344212963</v>
      </c>
      <c r="C325" s="1" t="n">
        <v>45983</v>
      </c>
      <c r="D325" t="inlineStr">
        <is>
          <t>UPPSALA LÄN</t>
        </is>
      </c>
      <c r="E325" t="inlineStr">
        <is>
          <t>TIERP</t>
        </is>
      </c>
      <c r="G325" t="n">
        <v>11.6</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45983</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45983</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51716-2023</t>
        </is>
      </c>
      <c r="B328" s="1" t="n">
        <v>45222</v>
      </c>
      <c r="C328" s="1" t="n">
        <v>45983</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43525-2025</t>
        </is>
      </c>
      <c r="B329" s="1" t="n">
        <v>45911.58546296296</v>
      </c>
      <c r="C329" s="1" t="n">
        <v>45983</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52508-2025</t>
        </is>
      </c>
      <c r="B330" s="1" t="n">
        <v>45954.50453703704</v>
      </c>
      <c r="C330" s="1" t="n">
        <v>45983</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44775-2024</t>
        </is>
      </c>
      <c r="B331" s="1" t="n">
        <v>45574</v>
      </c>
      <c r="C331" s="1" t="n">
        <v>45983</v>
      </c>
      <c r="D331" t="inlineStr">
        <is>
          <t>UPPSALA LÄN</t>
        </is>
      </c>
      <c r="E331" t="inlineStr">
        <is>
          <t>TIERP</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54764-2022</t>
        </is>
      </c>
      <c r="B332" s="1" t="n">
        <v>44883</v>
      </c>
      <c r="C332" s="1" t="n">
        <v>45983</v>
      </c>
      <c r="D332" t="inlineStr">
        <is>
          <t>UPPSALA LÄN</t>
        </is>
      </c>
      <c r="E332" t="inlineStr">
        <is>
          <t>TIERP</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2266-2023</t>
        </is>
      </c>
      <c r="B333" s="1" t="n">
        <v>44942.49743055556</v>
      </c>
      <c r="C333" s="1" t="n">
        <v>45983</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60989-2023</t>
        </is>
      </c>
      <c r="B334" s="1" t="n">
        <v>45259</v>
      </c>
      <c r="C334" s="1" t="n">
        <v>45983</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52490-2025</t>
        </is>
      </c>
      <c r="B335" s="1" t="n">
        <v>45954.48096064815</v>
      </c>
      <c r="C335" s="1" t="n">
        <v>45983</v>
      </c>
      <c r="D335" t="inlineStr">
        <is>
          <t>UPPSALA LÄN</t>
        </is>
      </c>
      <c r="E335" t="inlineStr">
        <is>
          <t>TIERP</t>
        </is>
      </c>
      <c r="F335" t="inlineStr">
        <is>
          <t>Bergvik skog väst AB</t>
        </is>
      </c>
      <c r="G335" t="n">
        <v>7</v>
      </c>
      <c r="H335" t="n">
        <v>0</v>
      </c>
      <c r="I335" t="n">
        <v>0</v>
      </c>
      <c r="J335" t="n">
        <v>0</v>
      </c>
      <c r="K335" t="n">
        <v>0</v>
      </c>
      <c r="L335" t="n">
        <v>0</v>
      </c>
      <c r="M335" t="n">
        <v>0</v>
      </c>
      <c r="N335" t="n">
        <v>0</v>
      </c>
      <c r="O335" t="n">
        <v>0</v>
      </c>
      <c r="P335" t="n">
        <v>0</v>
      </c>
      <c r="Q335" t="n">
        <v>0</v>
      </c>
      <c r="R335" s="2" t="inlineStr"/>
    </row>
    <row r="336" ht="15" customHeight="1">
      <c r="A336" t="inlineStr">
        <is>
          <t>A 52502-2025</t>
        </is>
      </c>
      <c r="B336" s="1" t="n">
        <v>45954.4975462963</v>
      </c>
      <c r="C336" s="1" t="n">
        <v>45983</v>
      </c>
      <c r="D336" t="inlineStr">
        <is>
          <t>UPPSALA LÄN</t>
        </is>
      </c>
      <c r="E336" t="inlineStr">
        <is>
          <t>TIERP</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43858-2025</t>
        </is>
      </c>
      <c r="B337" s="1" t="n">
        <v>45912.64945601852</v>
      </c>
      <c r="C337" s="1" t="n">
        <v>45983</v>
      </c>
      <c r="D337" t="inlineStr">
        <is>
          <t>UPPSALA LÄN</t>
        </is>
      </c>
      <c r="E337" t="inlineStr">
        <is>
          <t>TIERP</t>
        </is>
      </c>
      <c r="G337" t="n">
        <v>1.5</v>
      </c>
      <c r="H337" t="n">
        <v>0</v>
      </c>
      <c r="I337" t="n">
        <v>0</v>
      </c>
      <c r="J337" t="n">
        <v>0</v>
      </c>
      <c r="K337" t="n">
        <v>0</v>
      </c>
      <c r="L337" t="n">
        <v>0</v>
      </c>
      <c r="M337" t="n">
        <v>0</v>
      </c>
      <c r="N337" t="n">
        <v>0</v>
      </c>
      <c r="O337" t="n">
        <v>0</v>
      </c>
      <c r="P337" t="n">
        <v>0</v>
      </c>
      <c r="Q337" t="n">
        <v>0</v>
      </c>
      <c r="R337" s="2" t="inlineStr"/>
    </row>
    <row r="338" ht="15" customHeight="1">
      <c r="A338" t="inlineStr">
        <is>
          <t>A 52421-2025</t>
        </is>
      </c>
      <c r="B338" s="1" t="n">
        <v>45954.37163194444</v>
      </c>
      <c r="C338" s="1" t="n">
        <v>45983</v>
      </c>
      <c r="D338" t="inlineStr">
        <is>
          <t>UPPSALA LÄN</t>
        </is>
      </c>
      <c r="E338" t="inlineStr">
        <is>
          <t>TIERP</t>
        </is>
      </c>
      <c r="G338" t="n">
        <v>4.7</v>
      </c>
      <c r="H338" t="n">
        <v>0</v>
      </c>
      <c r="I338" t="n">
        <v>0</v>
      </c>
      <c r="J338" t="n">
        <v>0</v>
      </c>
      <c r="K338" t="n">
        <v>0</v>
      </c>
      <c r="L338" t="n">
        <v>0</v>
      </c>
      <c r="M338" t="n">
        <v>0</v>
      </c>
      <c r="N338" t="n">
        <v>0</v>
      </c>
      <c r="O338" t="n">
        <v>0</v>
      </c>
      <c r="P338" t="n">
        <v>0</v>
      </c>
      <c r="Q338" t="n">
        <v>0</v>
      </c>
      <c r="R338" s="2" t="inlineStr"/>
    </row>
    <row r="339" ht="15" customHeight="1">
      <c r="A339" t="inlineStr">
        <is>
          <t>A 30083-2025</t>
        </is>
      </c>
      <c r="B339" s="1" t="n">
        <v>45826.65520833333</v>
      </c>
      <c r="C339" s="1" t="n">
        <v>45983</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43378-2025</t>
        </is>
      </c>
      <c r="B340" s="1" t="n">
        <v>45911.35693287037</v>
      </c>
      <c r="C340" s="1" t="n">
        <v>45983</v>
      </c>
      <c r="D340" t="inlineStr">
        <is>
          <t>UPPSALA LÄN</t>
        </is>
      </c>
      <c r="E340" t="inlineStr">
        <is>
          <t>TIERP</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33570-2025</t>
        </is>
      </c>
      <c r="B341" s="1" t="n">
        <v>45841</v>
      </c>
      <c r="C341" s="1" t="n">
        <v>45983</v>
      </c>
      <c r="D341" t="inlineStr">
        <is>
          <t>UPPSALA LÄN</t>
        </is>
      </c>
      <c r="E341" t="inlineStr">
        <is>
          <t>TIERP</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35195-2025</t>
        </is>
      </c>
      <c r="B342" s="1" t="n">
        <v>45853.36192129629</v>
      </c>
      <c r="C342" s="1" t="n">
        <v>45983</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45983</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22529-2025</t>
        </is>
      </c>
      <c r="B344" s="1" t="n">
        <v>45786</v>
      </c>
      <c r="C344" s="1" t="n">
        <v>45983</v>
      </c>
      <c r="D344" t="inlineStr">
        <is>
          <t>UPPSALA LÄN</t>
        </is>
      </c>
      <c r="E344" t="inlineStr">
        <is>
          <t>TIERP</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59923-2023</t>
        </is>
      </c>
      <c r="B345" s="1" t="n">
        <v>45257.65261574074</v>
      </c>
      <c r="C345" s="1" t="n">
        <v>45983</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52844-2025</t>
        </is>
      </c>
      <c r="B346" s="1" t="n">
        <v>45957.48424768518</v>
      </c>
      <c r="C346" s="1" t="n">
        <v>45983</v>
      </c>
      <c r="D346" t="inlineStr">
        <is>
          <t>UPPSALA LÄN</t>
        </is>
      </c>
      <c r="E346" t="inlineStr">
        <is>
          <t>TIERP</t>
        </is>
      </c>
      <c r="G346" t="n">
        <v>5.5</v>
      </c>
      <c r="H346" t="n">
        <v>0</v>
      </c>
      <c r="I346" t="n">
        <v>0</v>
      </c>
      <c r="J346" t="n">
        <v>0</v>
      </c>
      <c r="K346" t="n">
        <v>0</v>
      </c>
      <c r="L346" t="n">
        <v>0</v>
      </c>
      <c r="M346" t="n">
        <v>0</v>
      </c>
      <c r="N346" t="n">
        <v>0</v>
      </c>
      <c r="O346" t="n">
        <v>0</v>
      </c>
      <c r="P346" t="n">
        <v>0</v>
      </c>
      <c r="Q346" t="n">
        <v>0</v>
      </c>
      <c r="R346" s="2" t="inlineStr"/>
    </row>
    <row r="347" ht="15" customHeight="1">
      <c r="A347" t="inlineStr">
        <is>
          <t>A 52873-2025</t>
        </is>
      </c>
      <c r="B347" s="1" t="n">
        <v>45957.52932870371</v>
      </c>
      <c r="C347" s="1" t="n">
        <v>45983</v>
      </c>
      <c r="D347" t="inlineStr">
        <is>
          <t>UPPSALA LÄN</t>
        </is>
      </c>
      <c r="E347" t="inlineStr">
        <is>
          <t>TIERP</t>
        </is>
      </c>
      <c r="G347" t="n">
        <v>6.6</v>
      </c>
      <c r="H347" t="n">
        <v>0</v>
      </c>
      <c r="I347" t="n">
        <v>0</v>
      </c>
      <c r="J347" t="n">
        <v>0</v>
      </c>
      <c r="K347" t="n">
        <v>0</v>
      </c>
      <c r="L347" t="n">
        <v>0</v>
      </c>
      <c r="M347" t="n">
        <v>0</v>
      </c>
      <c r="N347" t="n">
        <v>0</v>
      </c>
      <c r="O347" t="n">
        <v>0</v>
      </c>
      <c r="P347" t="n">
        <v>0</v>
      </c>
      <c r="Q347" t="n">
        <v>0</v>
      </c>
      <c r="R347" s="2" t="inlineStr"/>
    </row>
    <row r="348" ht="15" customHeight="1">
      <c r="A348" t="inlineStr">
        <is>
          <t>A 1202-2025</t>
        </is>
      </c>
      <c r="B348" s="1" t="n">
        <v>45667</v>
      </c>
      <c r="C348" s="1" t="n">
        <v>45983</v>
      </c>
      <c r="D348" t="inlineStr">
        <is>
          <t>UPPSALA LÄN</t>
        </is>
      </c>
      <c r="E348" t="inlineStr">
        <is>
          <t>TIERP</t>
        </is>
      </c>
      <c r="G348" t="n">
        <v>3.1</v>
      </c>
      <c r="H348" t="n">
        <v>0</v>
      </c>
      <c r="I348" t="n">
        <v>0</v>
      </c>
      <c r="J348" t="n">
        <v>0</v>
      </c>
      <c r="K348" t="n">
        <v>0</v>
      </c>
      <c r="L348" t="n">
        <v>0</v>
      </c>
      <c r="M348" t="n">
        <v>0</v>
      </c>
      <c r="N348" t="n">
        <v>0</v>
      </c>
      <c r="O348" t="n">
        <v>0</v>
      </c>
      <c r="P348" t="n">
        <v>0</v>
      </c>
      <c r="Q348" t="n">
        <v>0</v>
      </c>
      <c r="R348" s="2" t="inlineStr"/>
    </row>
    <row r="349" ht="15" customHeight="1">
      <c r="A349" t="inlineStr">
        <is>
          <t>A 31083-2025</t>
        </is>
      </c>
      <c r="B349" s="1" t="n">
        <v>45832.58662037037</v>
      </c>
      <c r="C349" s="1" t="n">
        <v>45983</v>
      </c>
      <c r="D349" t="inlineStr">
        <is>
          <t>UPPSALA LÄN</t>
        </is>
      </c>
      <c r="E349" t="inlineStr">
        <is>
          <t>TIERP</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49048-2025</t>
        </is>
      </c>
      <c r="B350" s="1" t="n">
        <v>45937</v>
      </c>
      <c r="C350" s="1" t="n">
        <v>45983</v>
      </c>
      <c r="D350" t="inlineStr">
        <is>
          <t>UPPSALA LÄN</t>
        </is>
      </c>
      <c r="E350" t="inlineStr">
        <is>
          <t>TIERP</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52863-2025</t>
        </is>
      </c>
      <c r="B351" s="1" t="n">
        <v>45957.50965277778</v>
      </c>
      <c r="C351" s="1" t="n">
        <v>45983</v>
      </c>
      <c r="D351" t="inlineStr">
        <is>
          <t>UPPSALA LÄN</t>
        </is>
      </c>
      <c r="E351" t="inlineStr">
        <is>
          <t>TIERP</t>
        </is>
      </c>
      <c r="G351" t="n">
        <v>5.2</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45983</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52869-2025</t>
        </is>
      </c>
      <c r="B353" s="1" t="n">
        <v>45957</v>
      </c>
      <c r="C353" s="1" t="n">
        <v>45983</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34044-2025</t>
        </is>
      </c>
      <c r="B354" s="1" t="n">
        <v>45845.38168981481</v>
      </c>
      <c r="C354" s="1" t="n">
        <v>45983</v>
      </c>
      <c r="D354" t="inlineStr">
        <is>
          <t>UPPSALA LÄN</t>
        </is>
      </c>
      <c r="E354" t="inlineStr">
        <is>
          <t>TIERP</t>
        </is>
      </c>
      <c r="F354" t="inlineStr">
        <is>
          <t>Övriga Aktiebolag</t>
        </is>
      </c>
      <c r="G354" t="n">
        <v>0.4</v>
      </c>
      <c r="H354" t="n">
        <v>0</v>
      </c>
      <c r="I354" t="n">
        <v>0</v>
      </c>
      <c r="J354" t="n">
        <v>0</v>
      </c>
      <c r="K354" t="n">
        <v>0</v>
      </c>
      <c r="L354" t="n">
        <v>0</v>
      </c>
      <c r="M354" t="n">
        <v>0</v>
      </c>
      <c r="N354" t="n">
        <v>0</v>
      </c>
      <c r="O354" t="n">
        <v>0</v>
      </c>
      <c r="P354" t="n">
        <v>0</v>
      </c>
      <c r="Q354" t="n">
        <v>0</v>
      </c>
      <c r="R354" s="2" t="inlineStr"/>
    </row>
    <row r="355" ht="15" customHeight="1">
      <c r="A355" t="inlineStr">
        <is>
          <t>A 57818-2024</t>
        </is>
      </c>
      <c r="B355" s="1" t="n">
        <v>45631.38019675926</v>
      </c>
      <c r="C355" s="1" t="n">
        <v>45983</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53106-2025</t>
        </is>
      </c>
      <c r="B356" s="1" t="n">
        <v>45958.43461805556</v>
      </c>
      <c r="C356" s="1" t="n">
        <v>45983</v>
      </c>
      <c r="D356" t="inlineStr">
        <is>
          <t>UPPSALA LÄN</t>
        </is>
      </c>
      <c r="E356" t="inlineStr">
        <is>
          <t>TIERP</t>
        </is>
      </c>
      <c r="F356" t="inlineStr">
        <is>
          <t>Bergvik skog öst AB</t>
        </is>
      </c>
      <c r="G356" t="n">
        <v>2.4</v>
      </c>
      <c r="H356" t="n">
        <v>0</v>
      </c>
      <c r="I356" t="n">
        <v>0</v>
      </c>
      <c r="J356" t="n">
        <v>0</v>
      </c>
      <c r="K356" t="n">
        <v>0</v>
      </c>
      <c r="L356" t="n">
        <v>0</v>
      </c>
      <c r="M356" t="n">
        <v>0</v>
      </c>
      <c r="N356" t="n">
        <v>0</v>
      </c>
      <c r="O356" t="n">
        <v>0</v>
      </c>
      <c r="P356" t="n">
        <v>0</v>
      </c>
      <c r="Q356" t="n">
        <v>0</v>
      </c>
      <c r="R356" s="2" t="inlineStr"/>
    </row>
    <row r="357" ht="15" customHeight="1">
      <c r="A357" t="inlineStr">
        <is>
          <t>A 73-2023</t>
        </is>
      </c>
      <c r="B357" s="1" t="n">
        <v>44928.45600694444</v>
      </c>
      <c r="C357" s="1" t="n">
        <v>45983</v>
      </c>
      <c r="D357" t="inlineStr">
        <is>
          <t>UPPSALA LÄN</t>
        </is>
      </c>
      <c r="E357" t="inlineStr">
        <is>
          <t>TIERP</t>
        </is>
      </c>
      <c r="G357" t="n">
        <v>2.9</v>
      </c>
      <c r="H357" t="n">
        <v>0</v>
      </c>
      <c r="I357" t="n">
        <v>0</v>
      </c>
      <c r="J357" t="n">
        <v>0</v>
      </c>
      <c r="K357" t="n">
        <v>0</v>
      </c>
      <c r="L357" t="n">
        <v>0</v>
      </c>
      <c r="M357" t="n">
        <v>0</v>
      </c>
      <c r="N357" t="n">
        <v>0</v>
      </c>
      <c r="O357" t="n">
        <v>0</v>
      </c>
      <c r="P357" t="n">
        <v>0</v>
      </c>
      <c r="Q357" t="n">
        <v>0</v>
      </c>
      <c r="R357" s="2" t="inlineStr"/>
    </row>
    <row r="358" ht="15" customHeight="1">
      <c r="A358" t="inlineStr">
        <is>
          <t>A 45769-2022</t>
        </is>
      </c>
      <c r="B358" s="1" t="n">
        <v>44846.38762731481</v>
      </c>
      <c r="C358" s="1" t="n">
        <v>45983</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31199-2025</t>
        </is>
      </c>
      <c r="B359" s="1" t="n">
        <v>45832.69494212963</v>
      </c>
      <c r="C359" s="1" t="n">
        <v>45983</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30867-2025</t>
        </is>
      </c>
      <c r="B360" s="1" t="n">
        <v>45832.32575231481</v>
      </c>
      <c r="C360" s="1" t="n">
        <v>45983</v>
      </c>
      <c r="D360" t="inlineStr">
        <is>
          <t>UPPSALA LÄN</t>
        </is>
      </c>
      <c r="E360" t="inlineStr">
        <is>
          <t>TIERP</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56350-2022</t>
        </is>
      </c>
      <c r="B361" s="1" t="n">
        <v>44890</v>
      </c>
      <c r="C361" s="1" t="n">
        <v>45983</v>
      </c>
      <c r="D361" t="inlineStr">
        <is>
          <t>UPPSALA LÄN</t>
        </is>
      </c>
      <c r="E361" t="inlineStr">
        <is>
          <t>TIERP</t>
        </is>
      </c>
      <c r="G361" t="n">
        <v>3.3</v>
      </c>
      <c r="H361" t="n">
        <v>0</v>
      </c>
      <c r="I361" t="n">
        <v>0</v>
      </c>
      <c r="J361" t="n">
        <v>0</v>
      </c>
      <c r="K361" t="n">
        <v>0</v>
      </c>
      <c r="L361" t="n">
        <v>0</v>
      </c>
      <c r="M361" t="n">
        <v>0</v>
      </c>
      <c r="N361" t="n">
        <v>0</v>
      </c>
      <c r="O361" t="n">
        <v>0</v>
      </c>
      <c r="P361" t="n">
        <v>0</v>
      </c>
      <c r="Q361" t="n">
        <v>0</v>
      </c>
      <c r="R361" s="2" t="inlineStr"/>
    </row>
    <row r="362" ht="15" customHeight="1">
      <c r="A362" t="inlineStr">
        <is>
          <t>A 56947-2022</t>
        </is>
      </c>
      <c r="B362" s="1" t="n">
        <v>44894</v>
      </c>
      <c r="C362" s="1" t="n">
        <v>45983</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4329-2023</t>
        </is>
      </c>
      <c r="B363" s="1" t="n">
        <v>44953</v>
      </c>
      <c r="C363" s="1" t="n">
        <v>45983</v>
      </c>
      <c r="D363" t="inlineStr">
        <is>
          <t>UPPSALA LÄN</t>
        </is>
      </c>
      <c r="E363" t="inlineStr">
        <is>
          <t>TIERP</t>
        </is>
      </c>
      <c r="G363" t="n">
        <v>4.9</v>
      </c>
      <c r="H363" t="n">
        <v>0</v>
      </c>
      <c r="I363" t="n">
        <v>0</v>
      </c>
      <c r="J363" t="n">
        <v>0</v>
      </c>
      <c r="K363" t="n">
        <v>0</v>
      </c>
      <c r="L363" t="n">
        <v>0</v>
      </c>
      <c r="M363" t="n">
        <v>0</v>
      </c>
      <c r="N363" t="n">
        <v>0</v>
      </c>
      <c r="O363" t="n">
        <v>0</v>
      </c>
      <c r="P363" t="n">
        <v>0</v>
      </c>
      <c r="Q363" t="n">
        <v>0</v>
      </c>
      <c r="R363" s="2" t="inlineStr"/>
    </row>
    <row r="364" ht="15" customHeight="1">
      <c r="A364" t="inlineStr">
        <is>
          <t>A 31383-2025</t>
        </is>
      </c>
      <c r="B364" s="1" t="n">
        <v>45833.45049768518</v>
      </c>
      <c r="C364" s="1" t="n">
        <v>45983</v>
      </c>
      <c r="D364" t="inlineStr">
        <is>
          <t>UPPSALA LÄN</t>
        </is>
      </c>
      <c r="E364" t="inlineStr">
        <is>
          <t>TIERP</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31421-2025</t>
        </is>
      </c>
      <c r="B365" s="1" t="n">
        <v>45833.48898148148</v>
      </c>
      <c r="C365" s="1" t="n">
        <v>45983</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45983</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20846-2024</t>
        </is>
      </c>
      <c r="B367" s="1" t="n">
        <v>45439</v>
      </c>
      <c r="C367" s="1" t="n">
        <v>45983</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45983</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55816-2024</t>
        </is>
      </c>
      <c r="B369" s="1" t="n">
        <v>45623.47248842593</v>
      </c>
      <c r="C369" s="1" t="n">
        <v>45983</v>
      </c>
      <c r="D369" t="inlineStr">
        <is>
          <t>UPPSALA LÄN</t>
        </is>
      </c>
      <c r="E369" t="inlineStr">
        <is>
          <t>TIERP</t>
        </is>
      </c>
      <c r="G369" t="n">
        <v>5.2</v>
      </c>
      <c r="H369" t="n">
        <v>0</v>
      </c>
      <c r="I369" t="n">
        <v>0</v>
      </c>
      <c r="J369" t="n">
        <v>0</v>
      </c>
      <c r="K369" t="n">
        <v>0</v>
      </c>
      <c r="L369" t="n">
        <v>0</v>
      </c>
      <c r="M369" t="n">
        <v>0</v>
      </c>
      <c r="N369" t="n">
        <v>0</v>
      </c>
      <c r="O369" t="n">
        <v>0</v>
      </c>
      <c r="P369" t="n">
        <v>0</v>
      </c>
      <c r="Q369" t="n">
        <v>0</v>
      </c>
      <c r="R369" s="2" t="inlineStr"/>
    </row>
    <row r="370" ht="15" customHeight="1">
      <c r="A370" t="inlineStr">
        <is>
          <t>A 36150-2021</t>
        </is>
      </c>
      <c r="B370" s="1" t="n">
        <v>44389</v>
      </c>
      <c r="C370" s="1" t="n">
        <v>45983</v>
      </c>
      <c r="D370" t="inlineStr">
        <is>
          <t>UPPSALA LÄN</t>
        </is>
      </c>
      <c r="E370" t="inlineStr">
        <is>
          <t>TIERP</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52859-2025</t>
        </is>
      </c>
      <c r="B371" s="1" t="n">
        <v>45957.50313657407</v>
      </c>
      <c r="C371" s="1" t="n">
        <v>45983</v>
      </c>
      <c r="D371" t="inlineStr">
        <is>
          <t>UPPSALA LÄN</t>
        </is>
      </c>
      <c r="E371" t="inlineStr">
        <is>
          <t>TIERP</t>
        </is>
      </c>
      <c r="G371" t="n">
        <v>5.7</v>
      </c>
      <c r="H371" t="n">
        <v>0</v>
      </c>
      <c r="I371" t="n">
        <v>0</v>
      </c>
      <c r="J371" t="n">
        <v>0</v>
      </c>
      <c r="K371" t="n">
        <v>0</v>
      </c>
      <c r="L371" t="n">
        <v>0</v>
      </c>
      <c r="M371" t="n">
        <v>0</v>
      </c>
      <c r="N371" t="n">
        <v>0</v>
      </c>
      <c r="O371" t="n">
        <v>0</v>
      </c>
      <c r="P371" t="n">
        <v>0</v>
      </c>
      <c r="Q371" t="n">
        <v>0</v>
      </c>
      <c r="R371" s="2" t="inlineStr"/>
    </row>
    <row r="372" ht="15" customHeight="1">
      <c r="A372" t="inlineStr">
        <is>
          <t>A 30110-2024</t>
        </is>
      </c>
      <c r="B372" s="1" t="n">
        <v>45489</v>
      </c>
      <c r="C372" s="1" t="n">
        <v>45983</v>
      </c>
      <c r="D372" t="inlineStr">
        <is>
          <t>UPPSALA LÄN</t>
        </is>
      </c>
      <c r="E372" t="inlineStr">
        <is>
          <t>TIERP</t>
        </is>
      </c>
      <c r="G372" t="n">
        <v>1.4</v>
      </c>
      <c r="H372" t="n">
        <v>0</v>
      </c>
      <c r="I372" t="n">
        <v>0</v>
      </c>
      <c r="J372" t="n">
        <v>0</v>
      </c>
      <c r="K372" t="n">
        <v>0</v>
      </c>
      <c r="L372" t="n">
        <v>0</v>
      </c>
      <c r="M372" t="n">
        <v>0</v>
      </c>
      <c r="N372" t="n">
        <v>0</v>
      </c>
      <c r="O372" t="n">
        <v>0</v>
      </c>
      <c r="P372" t="n">
        <v>0</v>
      </c>
      <c r="Q372" t="n">
        <v>0</v>
      </c>
      <c r="R372" s="2" t="inlineStr"/>
    </row>
    <row r="373" ht="15" customHeight="1">
      <c r="A373" t="inlineStr">
        <is>
          <t>A 47505-2024</t>
        </is>
      </c>
      <c r="B373" s="1" t="n">
        <v>45587.60459490741</v>
      </c>
      <c r="C373" s="1" t="n">
        <v>45983</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22672-2023</t>
        </is>
      </c>
      <c r="B374" s="1" t="n">
        <v>45071.64012731481</v>
      </c>
      <c r="C374" s="1" t="n">
        <v>45983</v>
      </c>
      <c r="D374" t="inlineStr">
        <is>
          <t>UPPSALA LÄN</t>
        </is>
      </c>
      <c r="E374" t="inlineStr">
        <is>
          <t>TIERP</t>
        </is>
      </c>
      <c r="G374" t="n">
        <v>1.5</v>
      </c>
      <c r="H374" t="n">
        <v>0</v>
      </c>
      <c r="I374" t="n">
        <v>0</v>
      </c>
      <c r="J374" t="n">
        <v>0</v>
      </c>
      <c r="K374" t="n">
        <v>0</v>
      </c>
      <c r="L374" t="n">
        <v>0</v>
      </c>
      <c r="M374" t="n">
        <v>0</v>
      </c>
      <c r="N374" t="n">
        <v>0</v>
      </c>
      <c r="O374" t="n">
        <v>0</v>
      </c>
      <c r="P374" t="n">
        <v>0</v>
      </c>
      <c r="Q374" t="n">
        <v>0</v>
      </c>
      <c r="R374" s="2" t="inlineStr"/>
    </row>
    <row r="375" ht="15" customHeight="1">
      <c r="A375" t="inlineStr">
        <is>
          <t>A 57532-2022</t>
        </is>
      </c>
      <c r="B375" s="1" t="n">
        <v>44896.68234953703</v>
      </c>
      <c r="C375" s="1" t="n">
        <v>45983</v>
      </c>
      <c r="D375" t="inlineStr">
        <is>
          <t>UPPSALA LÄN</t>
        </is>
      </c>
      <c r="E375" t="inlineStr">
        <is>
          <t>TIERP</t>
        </is>
      </c>
      <c r="G375" t="n">
        <v>0.6</v>
      </c>
      <c r="H375" t="n">
        <v>0</v>
      </c>
      <c r="I375" t="n">
        <v>0</v>
      </c>
      <c r="J375" t="n">
        <v>0</v>
      </c>
      <c r="K375" t="n">
        <v>0</v>
      </c>
      <c r="L375" t="n">
        <v>0</v>
      </c>
      <c r="M375" t="n">
        <v>0</v>
      </c>
      <c r="N375" t="n">
        <v>0</v>
      </c>
      <c r="O375" t="n">
        <v>0</v>
      </c>
      <c r="P375" t="n">
        <v>0</v>
      </c>
      <c r="Q375" t="n">
        <v>0</v>
      </c>
      <c r="R375" s="2" t="inlineStr"/>
    </row>
    <row r="376" ht="15" customHeight="1">
      <c r="A376" t="inlineStr">
        <is>
          <t>A 43873-2025</t>
        </is>
      </c>
      <c r="B376" s="1" t="n">
        <v>45912.67254629629</v>
      </c>
      <c r="C376" s="1" t="n">
        <v>45983</v>
      </c>
      <c r="D376" t="inlineStr">
        <is>
          <t>UPPSALA LÄN</t>
        </is>
      </c>
      <c r="E376" t="inlineStr">
        <is>
          <t>TIERP</t>
        </is>
      </c>
      <c r="G376" t="n">
        <v>1.1</v>
      </c>
      <c r="H376" t="n">
        <v>0</v>
      </c>
      <c r="I376" t="n">
        <v>0</v>
      </c>
      <c r="J376" t="n">
        <v>0</v>
      </c>
      <c r="K376" t="n">
        <v>0</v>
      </c>
      <c r="L376" t="n">
        <v>0</v>
      </c>
      <c r="M376" t="n">
        <v>0</v>
      </c>
      <c r="N376" t="n">
        <v>0</v>
      </c>
      <c r="O376" t="n">
        <v>0</v>
      </c>
      <c r="P376" t="n">
        <v>0</v>
      </c>
      <c r="Q376" t="n">
        <v>0</v>
      </c>
      <c r="R376" s="2" t="inlineStr"/>
    </row>
    <row r="377" ht="15" customHeight="1">
      <c r="A377" t="inlineStr">
        <is>
          <t>A 53088-2025</t>
        </is>
      </c>
      <c r="B377" s="1" t="n">
        <v>45958.41660879629</v>
      </c>
      <c r="C377" s="1" t="n">
        <v>45983</v>
      </c>
      <c r="D377" t="inlineStr">
        <is>
          <t>UPPSALA LÄN</t>
        </is>
      </c>
      <c r="E377" t="inlineStr">
        <is>
          <t>TIERP</t>
        </is>
      </c>
      <c r="F377" t="inlineStr">
        <is>
          <t>Bergvik skog öst AB</t>
        </is>
      </c>
      <c r="G377" t="n">
        <v>3</v>
      </c>
      <c r="H377" t="n">
        <v>0</v>
      </c>
      <c r="I377" t="n">
        <v>0</v>
      </c>
      <c r="J377" t="n">
        <v>0</v>
      </c>
      <c r="K377" t="n">
        <v>0</v>
      </c>
      <c r="L377" t="n">
        <v>0</v>
      </c>
      <c r="M377" t="n">
        <v>0</v>
      </c>
      <c r="N377" t="n">
        <v>0</v>
      </c>
      <c r="O377" t="n">
        <v>0</v>
      </c>
      <c r="P377" t="n">
        <v>0</v>
      </c>
      <c r="Q377" t="n">
        <v>0</v>
      </c>
      <c r="R377" s="2" t="inlineStr"/>
    </row>
    <row r="378" ht="15" customHeight="1">
      <c r="A378" t="inlineStr">
        <is>
          <t>A 55780-2024</t>
        </is>
      </c>
      <c r="B378" s="1" t="n">
        <v>45623.41342592592</v>
      </c>
      <c r="C378" s="1" t="n">
        <v>45983</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53094-2025</t>
        </is>
      </c>
      <c r="B379" s="1" t="n">
        <v>45958.42452546296</v>
      </c>
      <c r="C379" s="1" t="n">
        <v>45983</v>
      </c>
      <c r="D379" t="inlineStr">
        <is>
          <t>UPPSALA LÄN</t>
        </is>
      </c>
      <c r="E379" t="inlineStr">
        <is>
          <t>TIERP</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30125-2024</t>
        </is>
      </c>
      <c r="B380" s="1" t="n">
        <v>45489</v>
      </c>
      <c r="C380" s="1" t="n">
        <v>45983</v>
      </c>
      <c r="D380" t="inlineStr">
        <is>
          <t>UPPSALA LÄN</t>
        </is>
      </c>
      <c r="E380" t="inlineStr">
        <is>
          <t>TIERP</t>
        </is>
      </c>
      <c r="G380" t="n">
        <v>0.6</v>
      </c>
      <c r="H380" t="n">
        <v>0</v>
      </c>
      <c r="I380" t="n">
        <v>0</v>
      </c>
      <c r="J380" t="n">
        <v>0</v>
      </c>
      <c r="K380" t="n">
        <v>0</v>
      </c>
      <c r="L380" t="n">
        <v>0</v>
      </c>
      <c r="M380" t="n">
        <v>0</v>
      </c>
      <c r="N380" t="n">
        <v>0</v>
      </c>
      <c r="O380" t="n">
        <v>0</v>
      </c>
      <c r="P380" t="n">
        <v>0</v>
      </c>
      <c r="Q380" t="n">
        <v>0</v>
      </c>
      <c r="R380" s="2" t="inlineStr"/>
    </row>
    <row r="381" ht="15" customHeight="1">
      <c r="A381" t="inlineStr">
        <is>
          <t>A 31616-2025</t>
        </is>
      </c>
      <c r="B381" s="1" t="n">
        <v>45833.816875</v>
      </c>
      <c r="C381" s="1" t="n">
        <v>45983</v>
      </c>
      <c r="D381" t="inlineStr">
        <is>
          <t>UPPSALA LÄN</t>
        </is>
      </c>
      <c r="E381" t="inlineStr">
        <is>
          <t>TIERP</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31523-2025</t>
        </is>
      </c>
      <c r="B382" s="1" t="n">
        <v>45833.60854166667</v>
      </c>
      <c r="C382" s="1" t="n">
        <v>45983</v>
      </c>
      <c r="D382" t="inlineStr">
        <is>
          <t>UPPSALA LÄN</t>
        </is>
      </c>
      <c r="E382" t="inlineStr">
        <is>
          <t>TIERP</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52795-2025</t>
        </is>
      </c>
      <c r="B383" s="1" t="n">
        <v>45957.43520833334</v>
      </c>
      <c r="C383" s="1" t="n">
        <v>45983</v>
      </c>
      <c r="D383" t="inlineStr">
        <is>
          <t>UPPSALA LÄN</t>
        </is>
      </c>
      <c r="E383" t="inlineStr">
        <is>
          <t>TIERP</t>
        </is>
      </c>
      <c r="F383" t="inlineStr">
        <is>
          <t>Bergvik skog öst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2899-2023</t>
        </is>
      </c>
      <c r="B384" s="1" t="n">
        <v>44945</v>
      </c>
      <c r="C384" s="1" t="n">
        <v>45983</v>
      </c>
      <c r="D384" t="inlineStr">
        <is>
          <t>UPPSALA LÄN</t>
        </is>
      </c>
      <c r="E384" t="inlineStr">
        <is>
          <t>TIERP</t>
        </is>
      </c>
      <c r="G384" t="n">
        <v>1.7</v>
      </c>
      <c r="H384" t="n">
        <v>0</v>
      </c>
      <c r="I384" t="n">
        <v>0</v>
      </c>
      <c r="J384" t="n">
        <v>0</v>
      </c>
      <c r="K384" t="n">
        <v>0</v>
      </c>
      <c r="L384" t="n">
        <v>0</v>
      </c>
      <c r="M384" t="n">
        <v>0</v>
      </c>
      <c r="N384" t="n">
        <v>0</v>
      </c>
      <c r="O384" t="n">
        <v>0</v>
      </c>
      <c r="P384" t="n">
        <v>0</v>
      </c>
      <c r="Q384" t="n">
        <v>0</v>
      </c>
      <c r="R384" s="2" t="inlineStr"/>
    </row>
    <row r="385" ht="15" customHeight="1">
      <c r="A385" t="inlineStr">
        <is>
          <t>A 57822-2024</t>
        </is>
      </c>
      <c r="B385" s="1" t="n">
        <v>45631.38398148148</v>
      </c>
      <c r="C385" s="1" t="n">
        <v>45983</v>
      </c>
      <c r="D385" t="inlineStr">
        <is>
          <t>UPPSALA LÄN</t>
        </is>
      </c>
      <c r="E385" t="inlineStr">
        <is>
          <t>TIERP</t>
        </is>
      </c>
      <c r="G385" t="n">
        <v>1.3</v>
      </c>
      <c r="H385" t="n">
        <v>0</v>
      </c>
      <c r="I385" t="n">
        <v>0</v>
      </c>
      <c r="J385" t="n">
        <v>0</v>
      </c>
      <c r="K385" t="n">
        <v>0</v>
      </c>
      <c r="L385" t="n">
        <v>0</v>
      </c>
      <c r="M385" t="n">
        <v>0</v>
      </c>
      <c r="N385" t="n">
        <v>0</v>
      </c>
      <c r="O385" t="n">
        <v>0</v>
      </c>
      <c r="P385" t="n">
        <v>0</v>
      </c>
      <c r="Q385" t="n">
        <v>0</v>
      </c>
      <c r="R385" s="2" t="inlineStr"/>
    </row>
    <row r="386" ht="15" customHeight="1">
      <c r="A386" t="inlineStr">
        <is>
          <t>A 43871-2025</t>
        </is>
      </c>
      <c r="B386" s="1" t="n">
        <v>45912.66787037037</v>
      </c>
      <c r="C386" s="1" t="n">
        <v>45983</v>
      </c>
      <c r="D386" t="inlineStr">
        <is>
          <t>UPPSALA LÄN</t>
        </is>
      </c>
      <c r="E386" t="inlineStr">
        <is>
          <t>TIERP</t>
        </is>
      </c>
      <c r="G386" t="n">
        <v>3.9</v>
      </c>
      <c r="H386" t="n">
        <v>0</v>
      </c>
      <c r="I386" t="n">
        <v>0</v>
      </c>
      <c r="J386" t="n">
        <v>0</v>
      </c>
      <c r="K386" t="n">
        <v>0</v>
      </c>
      <c r="L386" t="n">
        <v>0</v>
      </c>
      <c r="M386" t="n">
        <v>0</v>
      </c>
      <c r="N386" t="n">
        <v>0</v>
      </c>
      <c r="O386" t="n">
        <v>0</v>
      </c>
      <c r="P386" t="n">
        <v>0</v>
      </c>
      <c r="Q386" t="n">
        <v>0</v>
      </c>
      <c r="R386" s="2" t="inlineStr"/>
    </row>
    <row r="387" ht="15" customHeight="1">
      <c r="A387" t="inlineStr">
        <is>
          <t>A 43874-2025</t>
        </is>
      </c>
      <c r="B387" s="1" t="n">
        <v>45912.67517361111</v>
      </c>
      <c r="C387" s="1" t="n">
        <v>45983</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31525-2025</t>
        </is>
      </c>
      <c r="B388" s="1" t="n">
        <v>45833.61322916667</v>
      </c>
      <c r="C388" s="1" t="n">
        <v>45983</v>
      </c>
      <c r="D388" t="inlineStr">
        <is>
          <t>UPPSALA LÄN</t>
        </is>
      </c>
      <c r="E388" t="inlineStr">
        <is>
          <t>TIERP</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31549-2025</t>
        </is>
      </c>
      <c r="B389" s="1" t="n">
        <v>45833.63829861111</v>
      </c>
      <c r="C389" s="1" t="n">
        <v>45983</v>
      </c>
      <c r="D389" t="inlineStr">
        <is>
          <t>UPPSALA LÄN</t>
        </is>
      </c>
      <c r="E389" t="inlineStr">
        <is>
          <t>TIERP</t>
        </is>
      </c>
      <c r="F389" t="inlineStr">
        <is>
          <t>Bergvik skog öst AB</t>
        </is>
      </c>
      <c r="G389" t="n">
        <v>2.4</v>
      </c>
      <c r="H389" t="n">
        <v>0</v>
      </c>
      <c r="I389" t="n">
        <v>0</v>
      </c>
      <c r="J389" t="n">
        <v>0</v>
      </c>
      <c r="K389" t="n">
        <v>0</v>
      </c>
      <c r="L389" t="n">
        <v>0</v>
      </c>
      <c r="M389" t="n">
        <v>0</v>
      </c>
      <c r="N389" t="n">
        <v>0</v>
      </c>
      <c r="O389" t="n">
        <v>0</v>
      </c>
      <c r="P389" t="n">
        <v>0</v>
      </c>
      <c r="Q389" t="n">
        <v>0</v>
      </c>
      <c r="R389" s="2" t="inlineStr"/>
    </row>
    <row r="390" ht="15" customHeight="1">
      <c r="A390" t="inlineStr">
        <is>
          <t>A 31556-2025</t>
        </is>
      </c>
      <c r="B390" s="1" t="n">
        <v>45833.65157407407</v>
      </c>
      <c r="C390" s="1" t="n">
        <v>45983</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31614-2025</t>
        </is>
      </c>
      <c r="B391" s="1" t="n">
        <v>45833.81484953704</v>
      </c>
      <c r="C391" s="1" t="n">
        <v>45983</v>
      </c>
      <c r="D391" t="inlineStr">
        <is>
          <t>UPPSALA LÄN</t>
        </is>
      </c>
      <c r="E391" t="inlineStr">
        <is>
          <t>TIERP</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1056-2025</t>
        </is>
      </c>
      <c r="B392" s="1" t="n">
        <v>45666</v>
      </c>
      <c r="C392" s="1" t="n">
        <v>45983</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55711-2023</t>
        </is>
      </c>
      <c r="B393" s="1" t="n">
        <v>45239.37905092593</v>
      </c>
      <c r="C393" s="1" t="n">
        <v>45983</v>
      </c>
      <c r="D393" t="inlineStr">
        <is>
          <t>UPPSALA LÄN</t>
        </is>
      </c>
      <c r="E393" t="inlineStr">
        <is>
          <t>TIERP</t>
        </is>
      </c>
      <c r="G393" t="n">
        <v>1.6</v>
      </c>
      <c r="H393" t="n">
        <v>0</v>
      </c>
      <c r="I393" t="n">
        <v>0</v>
      </c>
      <c r="J393" t="n">
        <v>0</v>
      </c>
      <c r="K393" t="n">
        <v>0</v>
      </c>
      <c r="L393" t="n">
        <v>0</v>
      </c>
      <c r="M393" t="n">
        <v>0</v>
      </c>
      <c r="N393" t="n">
        <v>0</v>
      </c>
      <c r="O393" t="n">
        <v>0</v>
      </c>
      <c r="P393" t="n">
        <v>0</v>
      </c>
      <c r="Q393" t="n">
        <v>0</v>
      </c>
      <c r="R393" s="2" t="inlineStr"/>
    </row>
    <row r="394" ht="15" customHeight="1">
      <c r="A394" t="inlineStr">
        <is>
          <t>A 22663-2022</t>
        </is>
      </c>
      <c r="B394" s="1" t="n">
        <v>44713</v>
      </c>
      <c r="C394" s="1" t="n">
        <v>45983</v>
      </c>
      <c r="D394" t="inlineStr">
        <is>
          <t>UPPSALA LÄN</t>
        </is>
      </c>
      <c r="E394" t="inlineStr">
        <is>
          <t>TIERP</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34730-2025</t>
        </is>
      </c>
      <c r="B395" s="1" t="n">
        <v>45848.58708333333</v>
      </c>
      <c r="C395" s="1" t="n">
        <v>45983</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34035-2025</t>
        </is>
      </c>
      <c r="B396" s="1" t="n">
        <v>45845.36872685186</v>
      </c>
      <c r="C396" s="1" t="n">
        <v>45983</v>
      </c>
      <c r="D396" t="inlineStr">
        <is>
          <t>UPPSALA LÄN</t>
        </is>
      </c>
      <c r="E396" t="inlineStr">
        <is>
          <t>TIERP</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53121-2025</t>
        </is>
      </c>
      <c r="B397" s="1" t="n">
        <v>45958.45113425926</v>
      </c>
      <c r="C397" s="1" t="n">
        <v>45983</v>
      </c>
      <c r="D397" t="inlineStr">
        <is>
          <t>UPPSALA LÄN</t>
        </is>
      </c>
      <c r="E397" t="inlineStr">
        <is>
          <t>TIERP</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45983</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1572-2023</t>
        </is>
      </c>
      <c r="B399" s="1" t="n">
        <v>44937.61023148148</v>
      </c>
      <c r="C399" s="1" t="n">
        <v>45983</v>
      </c>
      <c r="D399" t="inlineStr">
        <is>
          <t>UPPSALA LÄN</t>
        </is>
      </c>
      <c r="E399" t="inlineStr">
        <is>
          <t>TIERP</t>
        </is>
      </c>
      <c r="G399" t="n">
        <v>7.4</v>
      </c>
      <c r="H399" t="n">
        <v>0</v>
      </c>
      <c r="I399" t="n">
        <v>0</v>
      </c>
      <c r="J399" t="n">
        <v>0</v>
      </c>
      <c r="K399" t="n">
        <v>0</v>
      </c>
      <c r="L399" t="n">
        <v>0</v>
      </c>
      <c r="M399" t="n">
        <v>0</v>
      </c>
      <c r="N399" t="n">
        <v>0</v>
      </c>
      <c r="O399" t="n">
        <v>0</v>
      </c>
      <c r="P399" t="n">
        <v>0</v>
      </c>
      <c r="Q399" t="n">
        <v>0</v>
      </c>
      <c r="R399" s="2" t="inlineStr"/>
    </row>
    <row r="400" ht="15" customHeight="1">
      <c r="A400" t="inlineStr">
        <is>
          <t>A 1384-2023</t>
        </is>
      </c>
      <c r="B400" s="1" t="n">
        <v>44936</v>
      </c>
      <c r="C400" s="1" t="n">
        <v>45983</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57536-2022</t>
        </is>
      </c>
      <c r="B401" s="1" t="n">
        <v>44896.69231481481</v>
      </c>
      <c r="C401" s="1" t="n">
        <v>45983</v>
      </c>
      <c r="D401" t="inlineStr">
        <is>
          <t>UPPSALA LÄN</t>
        </is>
      </c>
      <c r="E401" t="inlineStr">
        <is>
          <t>TIERP</t>
        </is>
      </c>
      <c r="G401" t="n">
        <v>0.6</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45983</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58252-2024</t>
        </is>
      </c>
      <c r="B403" s="1" t="n">
        <v>45632.55709490741</v>
      </c>
      <c r="C403" s="1" t="n">
        <v>45983</v>
      </c>
      <c r="D403" t="inlineStr">
        <is>
          <t>UPPSALA LÄN</t>
        </is>
      </c>
      <c r="E403" t="inlineStr">
        <is>
          <t>TIERP</t>
        </is>
      </c>
      <c r="G403" t="n">
        <v>3.2</v>
      </c>
      <c r="H403" t="n">
        <v>0</v>
      </c>
      <c r="I403" t="n">
        <v>0</v>
      </c>
      <c r="J403" t="n">
        <v>0</v>
      </c>
      <c r="K403" t="n">
        <v>0</v>
      </c>
      <c r="L403" t="n">
        <v>0</v>
      </c>
      <c r="M403" t="n">
        <v>0</v>
      </c>
      <c r="N403" t="n">
        <v>0</v>
      </c>
      <c r="O403" t="n">
        <v>0</v>
      </c>
      <c r="P403" t="n">
        <v>0</v>
      </c>
      <c r="Q403" t="n">
        <v>0</v>
      </c>
      <c r="R403" s="2" t="inlineStr"/>
    </row>
    <row r="404" ht="15" customHeight="1">
      <c r="A404" t="inlineStr">
        <is>
          <t>A 32209-2025</t>
        </is>
      </c>
      <c r="B404" s="1" t="n">
        <v>45835.58365740741</v>
      </c>
      <c r="C404" s="1" t="n">
        <v>45983</v>
      </c>
      <c r="D404" t="inlineStr">
        <is>
          <t>UPPSALA LÄN</t>
        </is>
      </c>
      <c r="E404" t="inlineStr">
        <is>
          <t>TIERP</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32376-2025</t>
        </is>
      </c>
      <c r="B405" s="1" t="n">
        <v>45837.72260416667</v>
      </c>
      <c r="C405" s="1" t="n">
        <v>45983</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44659-2025</t>
        </is>
      </c>
      <c r="B406" s="1" t="n">
        <v>45917.55430555555</v>
      </c>
      <c r="C406" s="1" t="n">
        <v>45983</v>
      </c>
      <c r="D406" t="inlineStr">
        <is>
          <t>UPPSALA LÄN</t>
        </is>
      </c>
      <c r="E406" t="inlineStr">
        <is>
          <t>TIERP</t>
        </is>
      </c>
      <c r="F406" t="inlineStr">
        <is>
          <t>Bergvik skog väst AB</t>
        </is>
      </c>
      <c r="G406" t="n">
        <v>12.2</v>
      </c>
      <c r="H406" t="n">
        <v>0</v>
      </c>
      <c r="I406" t="n">
        <v>0</v>
      </c>
      <c r="J406" t="n">
        <v>0</v>
      </c>
      <c r="K406" t="n">
        <v>0</v>
      </c>
      <c r="L406" t="n">
        <v>0</v>
      </c>
      <c r="M406" t="n">
        <v>0</v>
      </c>
      <c r="N406" t="n">
        <v>0</v>
      </c>
      <c r="O406" t="n">
        <v>0</v>
      </c>
      <c r="P406" t="n">
        <v>0</v>
      </c>
      <c r="Q406" t="n">
        <v>0</v>
      </c>
      <c r="R406" s="2" t="inlineStr"/>
    </row>
    <row r="407" ht="15" customHeight="1">
      <c r="A407" t="inlineStr">
        <is>
          <t>A 53483-2025</t>
        </is>
      </c>
      <c r="B407" s="1" t="n">
        <v>45959.83425925926</v>
      </c>
      <c r="C407" s="1" t="n">
        <v>45983</v>
      </c>
      <c r="D407" t="inlineStr">
        <is>
          <t>UPPSALA LÄN</t>
        </is>
      </c>
      <c r="E407" t="inlineStr">
        <is>
          <t>TIERP</t>
        </is>
      </c>
      <c r="G407" t="n">
        <v>6.7</v>
      </c>
      <c r="H407" t="n">
        <v>0</v>
      </c>
      <c r="I407" t="n">
        <v>0</v>
      </c>
      <c r="J407" t="n">
        <v>0</v>
      </c>
      <c r="K407" t="n">
        <v>0</v>
      </c>
      <c r="L407" t="n">
        <v>0</v>
      </c>
      <c r="M407" t="n">
        <v>0</v>
      </c>
      <c r="N407" t="n">
        <v>0</v>
      </c>
      <c r="O407" t="n">
        <v>0</v>
      </c>
      <c r="P407" t="n">
        <v>0</v>
      </c>
      <c r="Q407" t="n">
        <v>0</v>
      </c>
      <c r="R407" s="2" t="inlineStr"/>
    </row>
    <row r="408" ht="15" customHeight="1">
      <c r="A408" t="inlineStr">
        <is>
          <t>A 53795-2025</t>
        </is>
      </c>
      <c r="B408" s="1" t="n">
        <v>45960.75167824074</v>
      </c>
      <c r="C408" s="1" t="n">
        <v>45983</v>
      </c>
      <c r="D408" t="inlineStr">
        <is>
          <t>UPPSALA LÄN</t>
        </is>
      </c>
      <c r="E408" t="inlineStr">
        <is>
          <t>TIERP</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45983</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44675-2025</t>
        </is>
      </c>
      <c r="B410" s="1" t="n">
        <v>45917.56850694444</v>
      </c>
      <c r="C410" s="1" t="n">
        <v>45983</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32199-2025</t>
        </is>
      </c>
      <c r="B411" s="1" t="n">
        <v>45835.57688657408</v>
      </c>
      <c r="C411" s="1" t="n">
        <v>45983</v>
      </c>
      <c r="D411" t="inlineStr">
        <is>
          <t>UPPSALA LÄN</t>
        </is>
      </c>
      <c r="E411" t="inlineStr">
        <is>
          <t>TIERP</t>
        </is>
      </c>
      <c r="F411" t="inlineStr">
        <is>
          <t>Bergvik skog väst AB</t>
        </is>
      </c>
      <c r="G411" t="n">
        <v>2.9</v>
      </c>
      <c r="H411" t="n">
        <v>0</v>
      </c>
      <c r="I411" t="n">
        <v>0</v>
      </c>
      <c r="J411" t="n">
        <v>0</v>
      </c>
      <c r="K411" t="n">
        <v>0</v>
      </c>
      <c r="L411" t="n">
        <v>0</v>
      </c>
      <c r="M411" t="n">
        <v>0</v>
      </c>
      <c r="N411" t="n">
        <v>0</v>
      </c>
      <c r="O411" t="n">
        <v>0</v>
      </c>
      <c r="P411" t="n">
        <v>0</v>
      </c>
      <c r="Q411" t="n">
        <v>0</v>
      </c>
      <c r="R411" s="2" t="inlineStr"/>
    </row>
    <row r="412" ht="15" customHeight="1">
      <c r="A412" t="inlineStr">
        <is>
          <t>A 31949-2025</t>
        </is>
      </c>
      <c r="B412" s="1" t="n">
        <v>45835.32549768518</v>
      </c>
      <c r="C412" s="1" t="n">
        <v>45983</v>
      </c>
      <c r="D412" t="inlineStr">
        <is>
          <t>UPPSALA LÄN</t>
        </is>
      </c>
      <c r="E412" t="inlineStr">
        <is>
          <t>TIERP</t>
        </is>
      </c>
      <c r="G412" t="n">
        <v>0.8</v>
      </c>
      <c r="H412" t="n">
        <v>0</v>
      </c>
      <c r="I412" t="n">
        <v>0</v>
      </c>
      <c r="J412" t="n">
        <v>0</v>
      </c>
      <c r="K412" t="n">
        <v>0</v>
      </c>
      <c r="L412" t="n">
        <v>0</v>
      </c>
      <c r="M412" t="n">
        <v>0</v>
      </c>
      <c r="N412" t="n">
        <v>0</v>
      </c>
      <c r="O412" t="n">
        <v>0</v>
      </c>
      <c r="P412" t="n">
        <v>0</v>
      </c>
      <c r="Q412" t="n">
        <v>0</v>
      </c>
      <c r="R412" s="2" t="inlineStr"/>
    </row>
    <row r="413" ht="15" customHeight="1">
      <c r="A413" t="inlineStr">
        <is>
          <t>A 21032-2022</t>
        </is>
      </c>
      <c r="B413" s="1" t="n">
        <v>44704</v>
      </c>
      <c r="C413" s="1" t="n">
        <v>45983</v>
      </c>
      <c r="D413" t="inlineStr">
        <is>
          <t>UPPSALA LÄN</t>
        </is>
      </c>
      <c r="E413" t="inlineStr">
        <is>
          <t>TIERP</t>
        </is>
      </c>
      <c r="F413" t="inlineStr">
        <is>
          <t>Bergvik skog öst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18781-2022</t>
        </is>
      </c>
      <c r="B414" s="1" t="n">
        <v>44689</v>
      </c>
      <c r="C414" s="1" t="n">
        <v>45983</v>
      </c>
      <c r="D414" t="inlineStr">
        <is>
          <t>UPPSALA LÄN</t>
        </is>
      </c>
      <c r="E414" t="inlineStr">
        <is>
          <t>TIERP</t>
        </is>
      </c>
      <c r="F414" t="inlineStr">
        <is>
          <t>Kyrkan</t>
        </is>
      </c>
      <c r="G414" t="n">
        <v>8.4</v>
      </c>
      <c r="H414" t="n">
        <v>0</v>
      </c>
      <c r="I414" t="n">
        <v>0</v>
      </c>
      <c r="J414" t="n">
        <v>0</v>
      </c>
      <c r="K414" t="n">
        <v>0</v>
      </c>
      <c r="L414" t="n">
        <v>0</v>
      </c>
      <c r="M414" t="n">
        <v>0</v>
      </c>
      <c r="N414" t="n">
        <v>0</v>
      </c>
      <c r="O414" t="n">
        <v>0</v>
      </c>
      <c r="P414" t="n">
        <v>0</v>
      </c>
      <c r="Q414" t="n">
        <v>0</v>
      </c>
      <c r="R414" s="2" t="inlineStr"/>
    </row>
    <row r="415" ht="15" customHeight="1">
      <c r="A415" t="inlineStr">
        <is>
          <t>A 53764-2025</t>
        </is>
      </c>
      <c r="B415" s="1" t="n">
        <v>45960.67751157407</v>
      </c>
      <c r="C415" s="1" t="n">
        <v>45983</v>
      </c>
      <c r="D415" t="inlineStr">
        <is>
          <t>UPPSALA LÄN</t>
        </is>
      </c>
      <c r="E415" t="inlineStr">
        <is>
          <t>TIERP</t>
        </is>
      </c>
      <c r="G415" t="n">
        <v>5.5</v>
      </c>
      <c r="H415" t="n">
        <v>0</v>
      </c>
      <c r="I415" t="n">
        <v>0</v>
      </c>
      <c r="J415" t="n">
        <v>0</v>
      </c>
      <c r="K415" t="n">
        <v>0</v>
      </c>
      <c r="L415" t="n">
        <v>0</v>
      </c>
      <c r="M415" t="n">
        <v>0</v>
      </c>
      <c r="N415" t="n">
        <v>0</v>
      </c>
      <c r="O415" t="n">
        <v>0</v>
      </c>
      <c r="P415" t="n">
        <v>0</v>
      </c>
      <c r="Q415" t="n">
        <v>0</v>
      </c>
      <c r="R415" s="2" t="inlineStr"/>
    </row>
    <row r="416" ht="15" customHeight="1">
      <c r="A416" t="inlineStr">
        <is>
          <t>A 53784-2025</t>
        </is>
      </c>
      <c r="B416" s="1" t="n">
        <v>45960.71332175926</v>
      </c>
      <c r="C416" s="1" t="n">
        <v>45983</v>
      </c>
      <c r="D416" t="inlineStr">
        <is>
          <t>UPPSALA LÄN</t>
        </is>
      </c>
      <c r="E416" t="inlineStr">
        <is>
          <t>TIERP</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53798-2025</t>
        </is>
      </c>
      <c r="B417" s="1" t="n">
        <v>45960.76657407408</v>
      </c>
      <c r="C417" s="1" t="n">
        <v>45983</v>
      </c>
      <c r="D417" t="inlineStr">
        <is>
          <t>UPPSALA LÄN</t>
        </is>
      </c>
      <c r="E417" t="inlineStr">
        <is>
          <t>TIERP</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45983</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53686-2025</t>
        </is>
      </c>
      <c r="B419" s="1" t="n">
        <v>45960.57493055556</v>
      </c>
      <c r="C419" s="1" t="n">
        <v>45983</v>
      </c>
      <c r="D419" t="inlineStr">
        <is>
          <t>UPPSALA LÄN</t>
        </is>
      </c>
      <c r="E419" t="inlineStr">
        <is>
          <t>TIERP</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53609-2025</t>
        </is>
      </c>
      <c r="B420" s="1" t="n">
        <v>45960.46894675926</v>
      </c>
      <c r="C420" s="1" t="n">
        <v>45983</v>
      </c>
      <c r="D420" t="inlineStr">
        <is>
          <t>UPPSALA LÄN</t>
        </is>
      </c>
      <c r="E420" t="inlineStr">
        <is>
          <t>TIERP</t>
        </is>
      </c>
      <c r="F420" t="inlineStr">
        <is>
          <t>Bergvik skog öst AB</t>
        </is>
      </c>
      <c r="G420" t="n">
        <v>5.6</v>
      </c>
      <c r="H420" t="n">
        <v>0</v>
      </c>
      <c r="I420" t="n">
        <v>0</v>
      </c>
      <c r="J420" t="n">
        <v>0</v>
      </c>
      <c r="K420" t="n">
        <v>0</v>
      </c>
      <c r="L420" t="n">
        <v>0</v>
      </c>
      <c r="M420" t="n">
        <v>0</v>
      </c>
      <c r="N420" t="n">
        <v>0</v>
      </c>
      <c r="O420" t="n">
        <v>0</v>
      </c>
      <c r="P420" t="n">
        <v>0</v>
      </c>
      <c r="Q420" t="n">
        <v>0</v>
      </c>
      <c r="R420" s="2" t="inlineStr"/>
    </row>
    <row r="421" ht="15" customHeight="1">
      <c r="A421" t="inlineStr">
        <is>
          <t>A 53774-2025</t>
        </is>
      </c>
      <c r="B421" s="1" t="n">
        <v>45960.688125</v>
      </c>
      <c r="C421" s="1" t="n">
        <v>45983</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53679-2025</t>
        </is>
      </c>
      <c r="B422" s="1" t="n">
        <v>45960.57180555556</v>
      </c>
      <c r="C422" s="1" t="n">
        <v>45983</v>
      </c>
      <c r="D422" t="inlineStr">
        <is>
          <t>UPPSALA LÄN</t>
        </is>
      </c>
      <c r="E422" t="inlineStr">
        <is>
          <t>TIERP</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53516-2025</t>
        </is>
      </c>
      <c r="B423" s="1" t="n">
        <v>45960.34961805555</v>
      </c>
      <c r="C423" s="1" t="n">
        <v>45983</v>
      </c>
      <c r="D423" t="inlineStr">
        <is>
          <t>UPPSALA LÄN</t>
        </is>
      </c>
      <c r="E423" t="inlineStr">
        <is>
          <t>TIERP</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53486-2025</t>
        </is>
      </c>
      <c r="B424" s="1" t="n">
        <v>45960.01471064815</v>
      </c>
      <c r="C424" s="1" t="n">
        <v>45983</v>
      </c>
      <c r="D424" t="inlineStr">
        <is>
          <t>UPPSALA LÄN</t>
        </is>
      </c>
      <c r="E424" t="inlineStr">
        <is>
          <t>TIERP</t>
        </is>
      </c>
      <c r="G424" t="n">
        <v>1.7</v>
      </c>
      <c r="H424" t="n">
        <v>0</v>
      </c>
      <c r="I424" t="n">
        <v>0</v>
      </c>
      <c r="J424" t="n">
        <v>0</v>
      </c>
      <c r="K424" t="n">
        <v>0</v>
      </c>
      <c r="L424" t="n">
        <v>0</v>
      </c>
      <c r="M424" t="n">
        <v>0</v>
      </c>
      <c r="N424" t="n">
        <v>0</v>
      </c>
      <c r="O424" t="n">
        <v>0</v>
      </c>
      <c r="P424" t="n">
        <v>0</v>
      </c>
      <c r="Q424" t="n">
        <v>0</v>
      </c>
      <c r="R424" s="2" t="inlineStr"/>
      <c r="U424">
        <f>HYPERLINK("https://klasma.github.io/Logging_0360/knärot/A 53486-2025 karta knärot.png", "A 53486-2025")</f>
        <v/>
      </c>
      <c r="V424">
        <f>HYPERLINK("https://klasma.github.io/Logging_0360/klagomål/A 53486-2025 FSC-klagomål.docx", "A 53486-2025")</f>
        <v/>
      </c>
      <c r="W424">
        <f>HYPERLINK("https://klasma.github.io/Logging_0360/klagomålsmail/A 53486-2025 FSC-klagomål mail.docx", "A 53486-2025")</f>
        <v/>
      </c>
      <c r="X424">
        <f>HYPERLINK("https://klasma.github.io/Logging_0360/tillsyn/A 53486-2025 tillsynsbegäran.docx", "A 53486-2025")</f>
        <v/>
      </c>
      <c r="Y424">
        <f>HYPERLINK("https://klasma.github.io/Logging_0360/tillsynsmail/A 53486-2025 tillsynsbegäran mail.docx", "A 53486-2025")</f>
        <v/>
      </c>
    </row>
    <row r="425" ht="15" customHeight="1">
      <c r="A425" t="inlineStr">
        <is>
          <t>A 41389-2024</t>
        </is>
      </c>
      <c r="B425" s="1" t="n">
        <v>45560</v>
      </c>
      <c r="C425" s="1" t="n">
        <v>45983</v>
      </c>
      <c r="D425" t="inlineStr">
        <is>
          <t>UPPSALA LÄN</t>
        </is>
      </c>
      <c r="E425" t="inlineStr">
        <is>
          <t>TIERP</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45915-2024</t>
        </is>
      </c>
      <c r="B426" s="1" t="n">
        <v>45580</v>
      </c>
      <c r="C426" s="1" t="n">
        <v>45983</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45983</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53991-2025</t>
        </is>
      </c>
      <c r="B428" s="1" t="n">
        <v>45961.5821412037</v>
      </c>
      <c r="C428" s="1" t="n">
        <v>45983</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54006-2025</t>
        </is>
      </c>
      <c r="B429" s="1" t="n">
        <v>45961.61335648148</v>
      </c>
      <c r="C429" s="1" t="n">
        <v>45983</v>
      </c>
      <c r="D429" t="inlineStr">
        <is>
          <t>UPPSALA LÄN</t>
        </is>
      </c>
      <c r="E429" t="inlineStr">
        <is>
          <t>TIERP</t>
        </is>
      </c>
      <c r="F429" t="inlineStr">
        <is>
          <t>Bergvik skog öst AB</t>
        </is>
      </c>
      <c r="G429" t="n">
        <v>3.5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45983</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45983</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33954-2025</t>
        </is>
      </c>
      <c r="B432" s="1" t="n">
        <v>45842.67362268519</v>
      </c>
      <c r="C432" s="1" t="n">
        <v>45983</v>
      </c>
      <c r="D432" t="inlineStr">
        <is>
          <t>UPPSALA LÄN</t>
        </is>
      </c>
      <c r="E432" t="inlineStr">
        <is>
          <t>TIERP</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33946-2025</t>
        </is>
      </c>
      <c r="B433" s="1" t="n">
        <v>45842.65422453704</v>
      </c>
      <c r="C433" s="1" t="n">
        <v>45983</v>
      </c>
      <c r="D433" t="inlineStr">
        <is>
          <t>UPPSALA LÄN</t>
        </is>
      </c>
      <c r="E433" t="inlineStr">
        <is>
          <t>TIERP</t>
        </is>
      </c>
      <c r="F433" t="inlineStr">
        <is>
          <t>Bergvik skog öst AB</t>
        </is>
      </c>
      <c r="G433" t="n">
        <v>5.4</v>
      </c>
      <c r="H433" t="n">
        <v>0</v>
      </c>
      <c r="I433" t="n">
        <v>0</v>
      </c>
      <c r="J433" t="n">
        <v>0</v>
      </c>
      <c r="K433" t="n">
        <v>0</v>
      </c>
      <c r="L433" t="n">
        <v>0</v>
      </c>
      <c r="M433" t="n">
        <v>0</v>
      </c>
      <c r="N433" t="n">
        <v>0</v>
      </c>
      <c r="O433" t="n">
        <v>0</v>
      </c>
      <c r="P433" t="n">
        <v>0</v>
      </c>
      <c r="Q433" t="n">
        <v>0</v>
      </c>
      <c r="R433" s="2" t="inlineStr"/>
    </row>
    <row r="434" ht="15" customHeight="1">
      <c r="A434" t="inlineStr">
        <is>
          <t>A 20911-2022</t>
        </is>
      </c>
      <c r="B434" s="1" t="n">
        <v>44701.60350694445</v>
      </c>
      <c r="C434" s="1" t="n">
        <v>45983</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45449-2025</t>
        </is>
      </c>
      <c r="B435" s="1" t="n">
        <v>45922.48269675926</v>
      </c>
      <c r="C435" s="1" t="n">
        <v>45983</v>
      </c>
      <c r="D435" t="inlineStr">
        <is>
          <t>UPPSALA LÄN</t>
        </is>
      </c>
      <c r="E435" t="inlineStr">
        <is>
          <t>TIERP</t>
        </is>
      </c>
      <c r="G435" t="n">
        <v>3.2</v>
      </c>
      <c r="H435" t="n">
        <v>0</v>
      </c>
      <c r="I435" t="n">
        <v>0</v>
      </c>
      <c r="J435" t="n">
        <v>0</v>
      </c>
      <c r="K435" t="n">
        <v>0</v>
      </c>
      <c r="L435" t="n">
        <v>0</v>
      </c>
      <c r="M435" t="n">
        <v>0</v>
      </c>
      <c r="N435" t="n">
        <v>0</v>
      </c>
      <c r="O435" t="n">
        <v>0</v>
      </c>
      <c r="P435" t="n">
        <v>0</v>
      </c>
      <c r="Q435" t="n">
        <v>0</v>
      </c>
      <c r="R435" s="2" t="inlineStr"/>
    </row>
    <row r="436" ht="15" customHeight="1">
      <c r="A436" t="inlineStr">
        <is>
          <t>A 33953-2025</t>
        </is>
      </c>
      <c r="B436" s="1" t="n">
        <v>45842.67251157408</v>
      </c>
      <c r="C436" s="1" t="n">
        <v>45983</v>
      </c>
      <c r="D436" t="inlineStr">
        <is>
          <t>UPPSALA LÄN</t>
        </is>
      </c>
      <c r="E436" t="inlineStr">
        <is>
          <t>TIERP</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45586-2025</t>
        </is>
      </c>
      <c r="B437" s="1" t="n">
        <v>45922.66908564815</v>
      </c>
      <c r="C437" s="1" t="n">
        <v>45983</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34112-2025</t>
        </is>
      </c>
      <c r="B438" s="1" t="n">
        <v>45845.50091435185</v>
      </c>
      <c r="C438" s="1" t="n">
        <v>45983</v>
      </c>
      <c r="D438" t="inlineStr">
        <is>
          <t>UPPSALA LÄN</t>
        </is>
      </c>
      <c r="E438" t="inlineStr">
        <is>
          <t>TIERP</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7036-2021</t>
        </is>
      </c>
      <c r="B439" s="1" t="n">
        <v>44237</v>
      </c>
      <c r="C439" s="1" t="n">
        <v>45983</v>
      </c>
      <c r="D439" t="inlineStr">
        <is>
          <t>UPPSALA LÄN</t>
        </is>
      </c>
      <c r="E439" t="inlineStr">
        <is>
          <t>TIERP</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53856-2025</t>
        </is>
      </c>
      <c r="B440" s="1" t="n">
        <v>45961.37568287037</v>
      </c>
      <c r="C440" s="1" t="n">
        <v>45983</v>
      </c>
      <c r="D440" t="inlineStr">
        <is>
          <t>UPPSALA LÄN</t>
        </is>
      </c>
      <c r="E440" t="inlineStr">
        <is>
          <t>TIERP</t>
        </is>
      </c>
      <c r="G440" t="n">
        <v>2.3</v>
      </c>
      <c r="H440" t="n">
        <v>0</v>
      </c>
      <c r="I440" t="n">
        <v>0</v>
      </c>
      <c r="J440" t="n">
        <v>0</v>
      </c>
      <c r="K440" t="n">
        <v>0</v>
      </c>
      <c r="L440" t="n">
        <v>0</v>
      </c>
      <c r="M440" t="n">
        <v>0</v>
      </c>
      <c r="N440" t="n">
        <v>0</v>
      </c>
      <c r="O440" t="n">
        <v>0</v>
      </c>
      <c r="P440" t="n">
        <v>0</v>
      </c>
      <c r="Q440" t="n">
        <v>0</v>
      </c>
      <c r="R440" s="2" t="inlineStr"/>
    </row>
    <row r="441" ht="15" customHeight="1">
      <c r="A441" t="inlineStr">
        <is>
          <t>A 45308-2025</t>
        </is>
      </c>
      <c r="B441" s="1" t="n">
        <v>45921.71239583333</v>
      </c>
      <c r="C441" s="1" t="n">
        <v>45983</v>
      </c>
      <c r="D441" t="inlineStr">
        <is>
          <t>UPPSALA LÄN</t>
        </is>
      </c>
      <c r="E441" t="inlineStr">
        <is>
          <t>TIERP</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45309-2025</t>
        </is>
      </c>
      <c r="B442" s="1" t="n">
        <v>45921.71451388889</v>
      </c>
      <c r="C442" s="1" t="n">
        <v>45983</v>
      </c>
      <c r="D442" t="inlineStr">
        <is>
          <t>UPPSALA LÄN</t>
        </is>
      </c>
      <c r="E442" t="inlineStr">
        <is>
          <t>TIERP</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45310-2025</t>
        </is>
      </c>
      <c r="B443" s="1" t="n">
        <v>45921.71658564815</v>
      </c>
      <c r="C443" s="1" t="n">
        <v>45983</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45311-2025</t>
        </is>
      </c>
      <c r="B444" s="1" t="n">
        <v>45921.71875</v>
      </c>
      <c r="C444" s="1" t="n">
        <v>45983</v>
      </c>
      <c r="D444" t="inlineStr">
        <is>
          <t>UPPSALA LÄN</t>
        </is>
      </c>
      <c r="E444" t="inlineStr">
        <is>
          <t>TIERP</t>
        </is>
      </c>
      <c r="G444" t="n">
        <v>0.7</v>
      </c>
      <c r="H444" t="n">
        <v>0</v>
      </c>
      <c r="I444" t="n">
        <v>0</v>
      </c>
      <c r="J444" t="n">
        <v>0</v>
      </c>
      <c r="K444" t="n">
        <v>0</v>
      </c>
      <c r="L444" t="n">
        <v>0</v>
      </c>
      <c r="M444" t="n">
        <v>0</v>
      </c>
      <c r="N444" t="n">
        <v>0</v>
      </c>
      <c r="O444" t="n">
        <v>0</v>
      </c>
      <c r="P444" t="n">
        <v>0</v>
      </c>
      <c r="Q444" t="n">
        <v>0</v>
      </c>
      <c r="R444" s="2" t="inlineStr"/>
    </row>
    <row r="445" ht="15" customHeight="1">
      <c r="A445" t="inlineStr">
        <is>
          <t>A 45328-2025</t>
        </is>
      </c>
      <c r="B445" s="1" t="n">
        <v>45922.33063657407</v>
      </c>
      <c r="C445" s="1" t="n">
        <v>45983</v>
      </c>
      <c r="D445" t="inlineStr">
        <is>
          <t>UPPSALA LÄN</t>
        </is>
      </c>
      <c r="E445" t="inlineStr">
        <is>
          <t>TIERP</t>
        </is>
      </c>
      <c r="G445" t="n">
        <v>0.9</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45983</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53164-2025</t>
        </is>
      </c>
      <c r="B447" s="1" t="n">
        <v>45957</v>
      </c>
      <c r="C447" s="1" t="n">
        <v>45983</v>
      </c>
      <c r="D447" t="inlineStr">
        <is>
          <t>UPPSALA LÄN</t>
        </is>
      </c>
      <c r="E447" t="inlineStr">
        <is>
          <t>TIERP</t>
        </is>
      </c>
      <c r="G447" t="n">
        <v>2.2</v>
      </c>
      <c r="H447" t="n">
        <v>0</v>
      </c>
      <c r="I447" t="n">
        <v>0</v>
      </c>
      <c r="J447" t="n">
        <v>0</v>
      </c>
      <c r="K447" t="n">
        <v>0</v>
      </c>
      <c r="L447" t="n">
        <v>0</v>
      </c>
      <c r="M447" t="n">
        <v>0</v>
      </c>
      <c r="N447" t="n">
        <v>0</v>
      </c>
      <c r="O447" t="n">
        <v>0</v>
      </c>
      <c r="P447" t="n">
        <v>0</v>
      </c>
      <c r="Q447" t="n">
        <v>0</v>
      </c>
      <c r="R447" s="2" t="inlineStr"/>
    </row>
    <row r="448" ht="15" customHeight="1">
      <c r="A448" t="inlineStr">
        <is>
          <t>A 54458-2025</t>
        </is>
      </c>
      <c r="B448" s="1" t="n">
        <v>45965.55327546296</v>
      </c>
      <c r="C448" s="1" t="n">
        <v>45983</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54537-2025</t>
        </is>
      </c>
      <c r="B449" s="1" t="n">
        <v>45965.64359953703</v>
      </c>
      <c r="C449" s="1" t="n">
        <v>45983</v>
      </c>
      <c r="D449" t="inlineStr">
        <is>
          <t>UPPSALA LÄN</t>
        </is>
      </c>
      <c r="E449" t="inlineStr">
        <is>
          <t>TIERP</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54835-2025</t>
        </is>
      </c>
      <c r="B450" s="1" t="n">
        <v>45966.67909722222</v>
      </c>
      <c r="C450" s="1" t="n">
        <v>45983</v>
      </c>
      <c r="D450" t="inlineStr">
        <is>
          <t>UPPSALA LÄN</t>
        </is>
      </c>
      <c r="E450" t="inlineStr">
        <is>
          <t>TIERP</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54553-2025</t>
        </is>
      </c>
      <c r="B451" s="1" t="n">
        <v>45965.65832175926</v>
      </c>
      <c r="C451" s="1" t="n">
        <v>45983</v>
      </c>
      <c r="D451" t="inlineStr">
        <is>
          <t>UPPSALA LÄN</t>
        </is>
      </c>
      <c r="E451" t="inlineStr">
        <is>
          <t>TIERP</t>
        </is>
      </c>
      <c r="F451" t="inlineStr">
        <is>
          <t>Bergvik skog väst AB</t>
        </is>
      </c>
      <c r="G451" t="n">
        <v>1.2</v>
      </c>
      <c r="H451" t="n">
        <v>0</v>
      </c>
      <c r="I451" t="n">
        <v>0</v>
      </c>
      <c r="J451" t="n">
        <v>0</v>
      </c>
      <c r="K451" t="n">
        <v>0</v>
      </c>
      <c r="L451" t="n">
        <v>0</v>
      </c>
      <c r="M451" t="n">
        <v>0</v>
      </c>
      <c r="N451" t="n">
        <v>0</v>
      </c>
      <c r="O451" t="n">
        <v>0</v>
      </c>
      <c r="P451" t="n">
        <v>0</v>
      </c>
      <c r="Q451" t="n">
        <v>0</v>
      </c>
      <c r="R451" s="2" t="inlineStr"/>
    </row>
    <row r="452" ht="15" customHeight="1">
      <c r="A452" t="inlineStr">
        <is>
          <t>A 11570-2025</t>
        </is>
      </c>
      <c r="B452" s="1" t="n">
        <v>45727.37976851852</v>
      </c>
      <c r="C452" s="1" t="n">
        <v>45983</v>
      </c>
      <c r="D452" t="inlineStr">
        <is>
          <t>UPPSALA LÄN</t>
        </is>
      </c>
      <c r="E452" t="inlineStr">
        <is>
          <t>TIERP</t>
        </is>
      </c>
      <c r="F452" t="inlineStr">
        <is>
          <t>Bergvik skog öst AB</t>
        </is>
      </c>
      <c r="G452" t="n">
        <v>3.7</v>
      </c>
      <c r="H452" t="n">
        <v>0</v>
      </c>
      <c r="I452" t="n">
        <v>0</v>
      </c>
      <c r="J452" t="n">
        <v>0</v>
      </c>
      <c r="K452" t="n">
        <v>0</v>
      </c>
      <c r="L452" t="n">
        <v>0</v>
      </c>
      <c r="M452" t="n">
        <v>0</v>
      </c>
      <c r="N452" t="n">
        <v>0</v>
      </c>
      <c r="O452" t="n">
        <v>0</v>
      </c>
      <c r="P452" t="n">
        <v>0</v>
      </c>
      <c r="Q452" t="n">
        <v>0</v>
      </c>
      <c r="R452" s="2" t="inlineStr"/>
    </row>
    <row r="453" ht="15" customHeight="1">
      <c r="A453" t="inlineStr">
        <is>
          <t>A 54634-2025</t>
        </is>
      </c>
      <c r="B453" s="1" t="n">
        <v>45966.35315972222</v>
      </c>
      <c r="C453" s="1" t="n">
        <v>45983</v>
      </c>
      <c r="D453" t="inlineStr">
        <is>
          <t>UPPSALA LÄN</t>
        </is>
      </c>
      <c r="E453" t="inlineStr">
        <is>
          <t>TIERP</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54534-2025</t>
        </is>
      </c>
      <c r="B454" s="1" t="n">
        <v>45965.63770833334</v>
      </c>
      <c r="C454" s="1" t="n">
        <v>45983</v>
      </c>
      <c r="D454" t="inlineStr">
        <is>
          <t>UPPSALA LÄN</t>
        </is>
      </c>
      <c r="E454" t="inlineStr">
        <is>
          <t>TIERP</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14086-2023</t>
        </is>
      </c>
      <c r="B455" s="1" t="n">
        <v>45009.33243055556</v>
      </c>
      <c r="C455" s="1" t="n">
        <v>45983</v>
      </c>
      <c r="D455" t="inlineStr">
        <is>
          <t>UPPSALA LÄN</t>
        </is>
      </c>
      <c r="E455" t="inlineStr">
        <is>
          <t>TIERP</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5289-2023</t>
        </is>
      </c>
      <c r="B456" s="1" t="n">
        <v>44959.52206018518</v>
      </c>
      <c r="C456" s="1" t="n">
        <v>45983</v>
      </c>
      <c r="D456" t="inlineStr">
        <is>
          <t>UPPSALA LÄN</t>
        </is>
      </c>
      <c r="E456" t="inlineStr">
        <is>
          <t>TIERP</t>
        </is>
      </c>
      <c r="G456" t="n">
        <v>2</v>
      </c>
      <c r="H456" t="n">
        <v>0</v>
      </c>
      <c r="I456" t="n">
        <v>0</v>
      </c>
      <c r="J456" t="n">
        <v>0</v>
      </c>
      <c r="K456" t="n">
        <v>0</v>
      </c>
      <c r="L456" t="n">
        <v>0</v>
      </c>
      <c r="M456" t="n">
        <v>0</v>
      </c>
      <c r="N456" t="n">
        <v>0</v>
      </c>
      <c r="O456" t="n">
        <v>0</v>
      </c>
      <c r="P456" t="n">
        <v>0</v>
      </c>
      <c r="Q456" t="n">
        <v>0</v>
      </c>
      <c r="R456" s="2" t="inlineStr"/>
    </row>
    <row r="457" ht="15" customHeight="1">
      <c r="A457" t="inlineStr">
        <is>
          <t>A 53036-2025</t>
        </is>
      </c>
      <c r="B457" s="1" t="n">
        <v>45958</v>
      </c>
      <c r="C457" s="1" t="n">
        <v>45983</v>
      </c>
      <c r="D457" t="inlineStr">
        <is>
          <t>UPPSALA LÄN</t>
        </is>
      </c>
      <c r="E457" t="inlineStr">
        <is>
          <t>TIERP</t>
        </is>
      </c>
      <c r="G457" t="n">
        <v>12.3</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45983</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54482-2025</t>
        </is>
      </c>
      <c r="B459" s="1" t="n">
        <v>45965.58917824074</v>
      </c>
      <c r="C459" s="1" t="n">
        <v>45983</v>
      </c>
      <c r="D459" t="inlineStr">
        <is>
          <t>UPPSALA LÄN</t>
        </is>
      </c>
      <c r="E459" t="inlineStr">
        <is>
          <t>TIERP</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54550-2025</t>
        </is>
      </c>
      <c r="B460" s="1" t="n">
        <v>45965.6553125</v>
      </c>
      <c r="C460" s="1" t="n">
        <v>45983</v>
      </c>
      <c r="D460" t="inlineStr">
        <is>
          <t>UPPSALA LÄN</t>
        </is>
      </c>
      <c r="E460" t="inlineStr">
        <is>
          <t>TIERP</t>
        </is>
      </c>
      <c r="F460" t="inlineStr">
        <is>
          <t>Bergvik skog väst AB</t>
        </is>
      </c>
      <c r="G460" t="n">
        <v>5.7</v>
      </c>
      <c r="H460" t="n">
        <v>0</v>
      </c>
      <c r="I460" t="n">
        <v>0</v>
      </c>
      <c r="J460" t="n">
        <v>0</v>
      </c>
      <c r="K460" t="n">
        <v>0</v>
      </c>
      <c r="L460" t="n">
        <v>0</v>
      </c>
      <c r="M460" t="n">
        <v>0</v>
      </c>
      <c r="N460" t="n">
        <v>0</v>
      </c>
      <c r="O460" t="n">
        <v>0</v>
      </c>
      <c r="P460" t="n">
        <v>0</v>
      </c>
      <c r="Q460" t="n">
        <v>0</v>
      </c>
      <c r="R460" s="2" t="inlineStr"/>
    </row>
    <row r="461" ht="15" customHeight="1">
      <c r="A461" t="inlineStr">
        <is>
          <t>A 35012-2025</t>
        </is>
      </c>
      <c r="B461" s="1" t="n">
        <v>45851.55586805556</v>
      </c>
      <c r="C461" s="1" t="n">
        <v>45983</v>
      </c>
      <c r="D461" t="inlineStr">
        <is>
          <t>UPPSALA LÄN</t>
        </is>
      </c>
      <c r="E461" t="inlineStr">
        <is>
          <t>TIERP</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35013-2025</t>
        </is>
      </c>
      <c r="B462" s="1" t="n">
        <v>45851.55748842593</v>
      </c>
      <c r="C462" s="1" t="n">
        <v>45983</v>
      </c>
      <c r="D462" t="inlineStr">
        <is>
          <t>UPPSALA LÄN</t>
        </is>
      </c>
      <c r="E462" t="inlineStr">
        <is>
          <t>TIERP</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53199-2025</t>
        </is>
      </c>
      <c r="B463" s="1" t="n">
        <v>45957</v>
      </c>
      <c r="C463" s="1" t="n">
        <v>45983</v>
      </c>
      <c r="D463" t="inlineStr">
        <is>
          <t>UPPSALA LÄN</t>
        </is>
      </c>
      <c r="E463" t="inlineStr">
        <is>
          <t>TIERP</t>
        </is>
      </c>
      <c r="G463" t="n">
        <v>0.5</v>
      </c>
      <c r="H463" t="n">
        <v>0</v>
      </c>
      <c r="I463" t="n">
        <v>0</v>
      </c>
      <c r="J463" t="n">
        <v>0</v>
      </c>
      <c r="K463" t="n">
        <v>0</v>
      </c>
      <c r="L463" t="n">
        <v>0</v>
      </c>
      <c r="M463" t="n">
        <v>0</v>
      </c>
      <c r="N463" t="n">
        <v>0</v>
      </c>
      <c r="O463" t="n">
        <v>0</v>
      </c>
      <c r="P463" t="n">
        <v>0</v>
      </c>
      <c r="Q463" t="n">
        <v>0</v>
      </c>
      <c r="R463" s="2" t="inlineStr"/>
    </row>
    <row r="464" ht="15" customHeight="1">
      <c r="A464" t="inlineStr">
        <is>
          <t>A 54626-2025</t>
        </is>
      </c>
      <c r="B464" s="1" t="n">
        <v>45966.34560185186</v>
      </c>
      <c r="C464" s="1" t="n">
        <v>45983</v>
      </c>
      <c r="D464" t="inlineStr">
        <is>
          <t>UPPSALA LÄN</t>
        </is>
      </c>
      <c r="E464" t="inlineStr">
        <is>
          <t>TIERP</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45983</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54615-2025</t>
        </is>
      </c>
      <c r="B466" s="1" t="n">
        <v>45966.34025462963</v>
      </c>
      <c r="C466" s="1" t="n">
        <v>45983</v>
      </c>
      <c r="D466" t="inlineStr">
        <is>
          <t>UPPSALA LÄN</t>
        </is>
      </c>
      <c r="E466" t="inlineStr">
        <is>
          <t>TIERP</t>
        </is>
      </c>
      <c r="F466" t="inlineStr">
        <is>
          <t>Bergvik skog väst AB</t>
        </is>
      </c>
      <c r="G466" t="n">
        <v>8.5</v>
      </c>
      <c r="H466" t="n">
        <v>0</v>
      </c>
      <c r="I466" t="n">
        <v>0</v>
      </c>
      <c r="J466" t="n">
        <v>0</v>
      </c>
      <c r="K466" t="n">
        <v>0</v>
      </c>
      <c r="L466" t="n">
        <v>0</v>
      </c>
      <c r="M466" t="n">
        <v>0</v>
      </c>
      <c r="N466" t="n">
        <v>0</v>
      </c>
      <c r="O466" t="n">
        <v>0</v>
      </c>
      <c r="P466" t="n">
        <v>0</v>
      </c>
      <c r="Q466" t="n">
        <v>0</v>
      </c>
      <c r="R466" s="2" t="inlineStr"/>
    </row>
    <row r="467" ht="15" customHeight="1">
      <c r="A467" t="inlineStr">
        <is>
          <t>A 54712-2025</t>
        </is>
      </c>
      <c r="B467" s="1" t="n">
        <v>45966.50311342593</v>
      </c>
      <c r="C467" s="1" t="n">
        <v>45983</v>
      </c>
      <c r="D467" t="inlineStr">
        <is>
          <t>UPPSALA LÄN</t>
        </is>
      </c>
      <c r="E467" t="inlineStr">
        <is>
          <t>TIERP</t>
        </is>
      </c>
      <c r="G467" t="n">
        <v>2</v>
      </c>
      <c r="H467" t="n">
        <v>0</v>
      </c>
      <c r="I467" t="n">
        <v>0</v>
      </c>
      <c r="J467" t="n">
        <v>0</v>
      </c>
      <c r="K467" t="n">
        <v>0</v>
      </c>
      <c r="L467" t="n">
        <v>0</v>
      </c>
      <c r="M467" t="n">
        <v>0</v>
      </c>
      <c r="N467" t="n">
        <v>0</v>
      </c>
      <c r="O467" t="n">
        <v>0</v>
      </c>
      <c r="P467" t="n">
        <v>0</v>
      </c>
      <c r="Q467" t="n">
        <v>0</v>
      </c>
      <c r="R467" s="2" t="inlineStr"/>
    </row>
    <row r="468" ht="15" customHeight="1">
      <c r="A468" t="inlineStr">
        <is>
          <t>A 34922-2025</t>
        </is>
      </c>
      <c r="B468" s="1" t="n">
        <v>45849.55525462963</v>
      </c>
      <c r="C468" s="1" t="n">
        <v>45983</v>
      </c>
      <c r="D468" t="inlineStr">
        <is>
          <t>UPPSALA LÄN</t>
        </is>
      </c>
      <c r="E468" t="inlineStr">
        <is>
          <t>TIERP</t>
        </is>
      </c>
      <c r="G468" t="n">
        <v>4.7</v>
      </c>
      <c r="H468" t="n">
        <v>0</v>
      </c>
      <c r="I468" t="n">
        <v>0</v>
      </c>
      <c r="J468" t="n">
        <v>0</v>
      </c>
      <c r="K468" t="n">
        <v>0</v>
      </c>
      <c r="L468" t="n">
        <v>0</v>
      </c>
      <c r="M468" t="n">
        <v>0</v>
      </c>
      <c r="N468" t="n">
        <v>0</v>
      </c>
      <c r="O468" t="n">
        <v>0</v>
      </c>
      <c r="P468" t="n">
        <v>0</v>
      </c>
      <c r="Q468" t="n">
        <v>0</v>
      </c>
      <c r="R468" s="2" t="inlineStr"/>
    </row>
    <row r="469" ht="15" customHeight="1">
      <c r="A469" t="inlineStr">
        <is>
          <t>A 44774-2024</t>
        </is>
      </c>
      <c r="B469" s="1" t="n">
        <v>45574</v>
      </c>
      <c r="C469" s="1" t="n">
        <v>45983</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35105-2025</t>
        </is>
      </c>
      <c r="B470" s="1" t="n">
        <v>45852.57078703704</v>
      </c>
      <c r="C470" s="1" t="n">
        <v>45983</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2676-2024</t>
        </is>
      </c>
      <c r="B471" s="1" t="n">
        <v>45314.43193287037</v>
      </c>
      <c r="C471" s="1" t="n">
        <v>45983</v>
      </c>
      <c r="D471" t="inlineStr">
        <is>
          <t>UPPSALA LÄN</t>
        </is>
      </c>
      <c r="E471" t="inlineStr">
        <is>
          <t>TIERP</t>
        </is>
      </c>
      <c r="G471" t="n">
        <v>6.3</v>
      </c>
      <c r="H471" t="n">
        <v>0</v>
      </c>
      <c r="I471" t="n">
        <v>0</v>
      </c>
      <c r="J471" t="n">
        <v>0</v>
      </c>
      <c r="K471" t="n">
        <v>0</v>
      </c>
      <c r="L471" t="n">
        <v>0</v>
      </c>
      <c r="M471" t="n">
        <v>0</v>
      </c>
      <c r="N471" t="n">
        <v>0</v>
      </c>
      <c r="O471" t="n">
        <v>0</v>
      </c>
      <c r="P471" t="n">
        <v>0</v>
      </c>
      <c r="Q471" t="n">
        <v>0</v>
      </c>
      <c r="R471" s="2" t="inlineStr"/>
    </row>
    <row r="472" ht="15" customHeight="1">
      <c r="A472" t="inlineStr">
        <is>
          <t>A 61280-2024</t>
        </is>
      </c>
      <c r="B472" s="1" t="n">
        <v>45645</v>
      </c>
      <c r="C472" s="1" t="n">
        <v>45983</v>
      </c>
      <c r="D472" t="inlineStr">
        <is>
          <t>UPPSALA LÄN</t>
        </is>
      </c>
      <c r="E472" t="inlineStr">
        <is>
          <t>TIERP</t>
        </is>
      </c>
      <c r="G472" t="n">
        <v>5.4</v>
      </c>
      <c r="H472" t="n">
        <v>0</v>
      </c>
      <c r="I472" t="n">
        <v>0</v>
      </c>
      <c r="J472" t="n">
        <v>0</v>
      </c>
      <c r="K472" t="n">
        <v>0</v>
      </c>
      <c r="L472" t="n">
        <v>0</v>
      </c>
      <c r="M472" t="n">
        <v>0</v>
      </c>
      <c r="N472" t="n">
        <v>0</v>
      </c>
      <c r="O472" t="n">
        <v>0</v>
      </c>
      <c r="P472" t="n">
        <v>0</v>
      </c>
      <c r="Q472" t="n">
        <v>0</v>
      </c>
      <c r="R472" s="2" t="inlineStr"/>
    </row>
    <row r="473" ht="15" customHeight="1">
      <c r="A473" t="inlineStr">
        <is>
          <t>A 35108-2025</t>
        </is>
      </c>
      <c r="B473" s="1" t="n">
        <v>45852.5746412037</v>
      </c>
      <c r="C473" s="1" t="n">
        <v>45983</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35112-2025</t>
        </is>
      </c>
      <c r="B474" s="1" t="n">
        <v>45852.58104166666</v>
      </c>
      <c r="C474" s="1" t="n">
        <v>45983</v>
      </c>
      <c r="D474" t="inlineStr">
        <is>
          <t>UPPSALA LÄN</t>
        </is>
      </c>
      <c r="E474" t="inlineStr">
        <is>
          <t>TIERP</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27269-2025</t>
        </is>
      </c>
      <c r="B475" s="1" t="n">
        <v>45812.49445601852</v>
      </c>
      <c r="C475" s="1" t="n">
        <v>45983</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45983</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46644-2025</t>
        </is>
      </c>
      <c r="B477" s="1" t="n">
        <v>45926.47443287037</v>
      </c>
      <c r="C477" s="1" t="n">
        <v>45983</v>
      </c>
      <c r="D477" t="inlineStr">
        <is>
          <t>UPPSALA LÄN</t>
        </is>
      </c>
      <c r="E477" t="inlineStr">
        <is>
          <t>TIERP</t>
        </is>
      </c>
      <c r="G477" t="n">
        <v>2.1</v>
      </c>
      <c r="H477" t="n">
        <v>0</v>
      </c>
      <c r="I477" t="n">
        <v>0</v>
      </c>
      <c r="J477" t="n">
        <v>0</v>
      </c>
      <c r="K477" t="n">
        <v>0</v>
      </c>
      <c r="L477" t="n">
        <v>0</v>
      </c>
      <c r="M477" t="n">
        <v>0</v>
      </c>
      <c r="N477" t="n">
        <v>0</v>
      </c>
      <c r="O477" t="n">
        <v>0</v>
      </c>
      <c r="P477" t="n">
        <v>0</v>
      </c>
      <c r="Q477" t="n">
        <v>0</v>
      </c>
      <c r="R477" s="2" t="inlineStr"/>
    </row>
    <row r="478" ht="15" customHeight="1">
      <c r="A478" t="inlineStr">
        <is>
          <t>A 46390-2025</t>
        </is>
      </c>
      <c r="B478" s="1" t="n">
        <v>45925.54199074074</v>
      </c>
      <c r="C478" s="1" t="n">
        <v>45983</v>
      </c>
      <c r="D478" t="inlineStr">
        <is>
          <t>UPPSALA LÄN</t>
        </is>
      </c>
      <c r="E478" t="inlineStr">
        <is>
          <t>TIERP</t>
        </is>
      </c>
      <c r="F478" t="inlineStr">
        <is>
          <t>Bergvik skog öst AB</t>
        </is>
      </c>
      <c r="G478" t="n">
        <v>16.3</v>
      </c>
      <c r="H478" t="n">
        <v>0</v>
      </c>
      <c r="I478" t="n">
        <v>0</v>
      </c>
      <c r="J478" t="n">
        <v>0</v>
      </c>
      <c r="K478" t="n">
        <v>0</v>
      </c>
      <c r="L478" t="n">
        <v>0</v>
      </c>
      <c r="M478" t="n">
        <v>0</v>
      </c>
      <c r="N478" t="n">
        <v>0</v>
      </c>
      <c r="O478" t="n">
        <v>0</v>
      </c>
      <c r="P478" t="n">
        <v>0</v>
      </c>
      <c r="Q478" t="n">
        <v>0</v>
      </c>
      <c r="R478" s="2" t="inlineStr"/>
    </row>
    <row r="479" ht="15" customHeight="1">
      <c r="A479" t="inlineStr">
        <is>
          <t>A 55143-2025</t>
        </is>
      </c>
      <c r="B479" s="1" t="n">
        <v>45968.4377662037</v>
      </c>
      <c r="C479" s="1" t="n">
        <v>45983</v>
      </c>
      <c r="D479" t="inlineStr">
        <is>
          <t>UPPSALA LÄN</t>
        </is>
      </c>
      <c r="E479" t="inlineStr">
        <is>
          <t>TIERP</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35911-2025</t>
        </is>
      </c>
      <c r="B480" s="1" t="n">
        <v>45862.52585648148</v>
      </c>
      <c r="C480" s="1" t="n">
        <v>45983</v>
      </c>
      <c r="D480" t="inlineStr">
        <is>
          <t>UPPSALA LÄN</t>
        </is>
      </c>
      <c r="E480" t="inlineStr">
        <is>
          <t>TIERP</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35921-2025</t>
        </is>
      </c>
      <c r="B481" s="1" t="n">
        <v>45862.56547453703</v>
      </c>
      <c r="C481" s="1" t="n">
        <v>45983</v>
      </c>
      <c r="D481" t="inlineStr">
        <is>
          <t>UPPSALA LÄN</t>
        </is>
      </c>
      <c r="E481" t="inlineStr">
        <is>
          <t>TIERP</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55130-2025</t>
        </is>
      </c>
      <c r="B482" s="1" t="n">
        <v>45968.41636574074</v>
      </c>
      <c r="C482" s="1" t="n">
        <v>45983</v>
      </c>
      <c r="D482" t="inlineStr">
        <is>
          <t>UPPSALA LÄN</t>
        </is>
      </c>
      <c r="E482" t="inlineStr">
        <is>
          <t>TIERP</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23154-2023</t>
        </is>
      </c>
      <c r="B483" s="1" t="n">
        <v>45075</v>
      </c>
      <c r="C483" s="1" t="n">
        <v>45983</v>
      </c>
      <c r="D483" t="inlineStr">
        <is>
          <t>UPPSALA LÄN</t>
        </is>
      </c>
      <c r="E483" t="inlineStr">
        <is>
          <t>TIERP</t>
        </is>
      </c>
      <c r="F483" t="inlineStr">
        <is>
          <t>Kyrkan</t>
        </is>
      </c>
      <c r="G483" t="n">
        <v>3.3</v>
      </c>
      <c r="H483" t="n">
        <v>0</v>
      </c>
      <c r="I483" t="n">
        <v>0</v>
      </c>
      <c r="J483" t="n">
        <v>0</v>
      </c>
      <c r="K483" t="n">
        <v>0</v>
      </c>
      <c r="L483" t="n">
        <v>0</v>
      </c>
      <c r="M483" t="n">
        <v>0</v>
      </c>
      <c r="N483" t="n">
        <v>0</v>
      </c>
      <c r="O483" t="n">
        <v>0</v>
      </c>
      <c r="P483" t="n">
        <v>0</v>
      </c>
      <c r="Q483" t="n">
        <v>0</v>
      </c>
      <c r="R483" s="2" t="inlineStr"/>
    </row>
    <row r="484" ht="15" customHeight="1">
      <c r="A484" t="inlineStr">
        <is>
          <t>A 2549-2025</t>
        </is>
      </c>
      <c r="B484" s="1" t="n">
        <v>45674</v>
      </c>
      <c r="C484" s="1" t="n">
        <v>45983</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35913-2025</t>
        </is>
      </c>
      <c r="B485" s="1" t="n">
        <v>45862.53918981482</v>
      </c>
      <c r="C485" s="1" t="n">
        <v>45983</v>
      </c>
      <c r="D485" t="inlineStr">
        <is>
          <t>UPPSALA LÄN</t>
        </is>
      </c>
      <c r="E485" t="inlineStr">
        <is>
          <t>TIERP</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45983</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22135-2025</t>
        </is>
      </c>
      <c r="B487" s="1" t="n">
        <v>45785.54427083334</v>
      </c>
      <c r="C487" s="1" t="n">
        <v>45983</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45983</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59244-2024</t>
        </is>
      </c>
      <c r="B489" s="1" t="n">
        <v>45637</v>
      </c>
      <c r="C489" s="1" t="n">
        <v>45983</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45983</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45983</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61230-2024</t>
        </is>
      </c>
      <c r="B492" s="1" t="n">
        <v>45645</v>
      </c>
      <c r="C492" s="1" t="n">
        <v>45983</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c r="U492">
        <f>HYPERLINK("https://klasma.github.io/Logging_0360/knärot/A 61230-2024 karta knärot.png", "A 61230-2024")</f>
        <v/>
      </c>
      <c r="V492">
        <f>HYPERLINK("https://klasma.github.io/Logging_0360/klagomål/A 61230-2024 FSC-klagomål.docx", "A 61230-2024")</f>
        <v/>
      </c>
      <c r="W492">
        <f>HYPERLINK("https://klasma.github.io/Logging_0360/klagomålsmail/A 61230-2024 FSC-klagomål mail.docx", "A 61230-2024")</f>
        <v/>
      </c>
      <c r="X492">
        <f>HYPERLINK("https://klasma.github.io/Logging_0360/tillsyn/A 61230-2024 tillsynsbegäran.docx", "A 61230-2024")</f>
        <v/>
      </c>
      <c r="Y492">
        <f>HYPERLINK("https://klasma.github.io/Logging_0360/tillsynsmail/A 61230-2024 tillsynsbegäran mail.docx", "A 61230-2024")</f>
        <v/>
      </c>
    </row>
    <row r="493" ht="15" customHeight="1">
      <c r="A493" t="inlineStr">
        <is>
          <t>A 19840-2022</t>
        </is>
      </c>
      <c r="B493" s="1" t="n">
        <v>44696</v>
      </c>
      <c r="C493" s="1" t="n">
        <v>45983</v>
      </c>
      <c r="D493" t="inlineStr">
        <is>
          <t>UPPSALA LÄN</t>
        </is>
      </c>
      <c r="E493" t="inlineStr">
        <is>
          <t>TIERP</t>
        </is>
      </c>
      <c r="G493" t="n">
        <v>3</v>
      </c>
      <c r="H493" t="n">
        <v>0</v>
      </c>
      <c r="I493" t="n">
        <v>0</v>
      </c>
      <c r="J493" t="n">
        <v>0</v>
      </c>
      <c r="K493" t="n">
        <v>0</v>
      </c>
      <c r="L493" t="n">
        <v>0</v>
      </c>
      <c r="M493" t="n">
        <v>0</v>
      </c>
      <c r="N493" t="n">
        <v>0</v>
      </c>
      <c r="O493" t="n">
        <v>0</v>
      </c>
      <c r="P493" t="n">
        <v>0</v>
      </c>
      <c r="Q493" t="n">
        <v>0</v>
      </c>
      <c r="R493" s="2" t="inlineStr"/>
    </row>
    <row r="494" ht="15" customHeight="1">
      <c r="A494" t="inlineStr">
        <is>
          <t>A 36027-2025</t>
        </is>
      </c>
      <c r="B494" s="1" t="n">
        <v>45864.63327546296</v>
      </c>
      <c r="C494" s="1" t="n">
        <v>45983</v>
      </c>
      <c r="D494" t="inlineStr">
        <is>
          <t>UPPSALA LÄN</t>
        </is>
      </c>
      <c r="E494" t="inlineStr">
        <is>
          <t>TIERP</t>
        </is>
      </c>
      <c r="F494" t="inlineStr">
        <is>
          <t>Bergvik skog väst AB</t>
        </is>
      </c>
      <c r="G494" t="n">
        <v>5.3</v>
      </c>
      <c r="H494" t="n">
        <v>0</v>
      </c>
      <c r="I494" t="n">
        <v>0</v>
      </c>
      <c r="J494" t="n">
        <v>0</v>
      </c>
      <c r="K494" t="n">
        <v>0</v>
      </c>
      <c r="L494" t="n">
        <v>0</v>
      </c>
      <c r="M494" t="n">
        <v>0</v>
      </c>
      <c r="N494" t="n">
        <v>0</v>
      </c>
      <c r="O494" t="n">
        <v>0</v>
      </c>
      <c r="P494" t="n">
        <v>0</v>
      </c>
      <c r="Q494" t="n">
        <v>0</v>
      </c>
      <c r="R494" s="2" t="inlineStr"/>
    </row>
    <row r="495" ht="15" customHeight="1">
      <c r="A495" t="inlineStr">
        <is>
          <t>A 33307-2023</t>
        </is>
      </c>
      <c r="B495" s="1" t="n">
        <v>45127</v>
      </c>
      <c r="C495" s="1" t="n">
        <v>45983</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36030-2025</t>
        </is>
      </c>
      <c r="B496" s="1" t="n">
        <v>45865.44140046297</v>
      </c>
      <c r="C496" s="1" t="n">
        <v>45983</v>
      </c>
      <c r="D496" t="inlineStr">
        <is>
          <t>UPPSALA LÄN</t>
        </is>
      </c>
      <c r="E496" t="inlineStr">
        <is>
          <t>TIERP</t>
        </is>
      </c>
      <c r="F496" t="inlineStr">
        <is>
          <t>Bergvik skog väst AB</t>
        </is>
      </c>
      <c r="G496" t="n">
        <v>4.4</v>
      </c>
      <c r="H496" t="n">
        <v>0</v>
      </c>
      <c r="I496" t="n">
        <v>0</v>
      </c>
      <c r="J496" t="n">
        <v>0</v>
      </c>
      <c r="K496" t="n">
        <v>0</v>
      </c>
      <c r="L496" t="n">
        <v>0</v>
      </c>
      <c r="M496" t="n">
        <v>0</v>
      </c>
      <c r="N496" t="n">
        <v>0</v>
      </c>
      <c r="O496" t="n">
        <v>0</v>
      </c>
      <c r="P496" t="n">
        <v>0</v>
      </c>
      <c r="Q496" t="n">
        <v>0</v>
      </c>
      <c r="R496" s="2" t="inlineStr"/>
    </row>
    <row r="497" ht="15" customHeight="1">
      <c r="A497" t="inlineStr">
        <is>
          <t>A 36189-2025</t>
        </is>
      </c>
      <c r="B497" s="1" t="n">
        <v>45867.42266203704</v>
      </c>
      <c r="C497" s="1" t="n">
        <v>45983</v>
      </c>
      <c r="D497" t="inlineStr">
        <is>
          <t>UPPSALA LÄN</t>
        </is>
      </c>
      <c r="E497" t="inlineStr">
        <is>
          <t>TIERP</t>
        </is>
      </c>
      <c r="G497" t="n">
        <v>2.6</v>
      </c>
      <c r="H497" t="n">
        <v>0</v>
      </c>
      <c r="I497" t="n">
        <v>0</v>
      </c>
      <c r="J497" t="n">
        <v>0</v>
      </c>
      <c r="K497" t="n">
        <v>0</v>
      </c>
      <c r="L497" t="n">
        <v>0</v>
      </c>
      <c r="M497" t="n">
        <v>0</v>
      </c>
      <c r="N497" t="n">
        <v>0</v>
      </c>
      <c r="O497" t="n">
        <v>0</v>
      </c>
      <c r="P497" t="n">
        <v>0</v>
      </c>
      <c r="Q497" t="n">
        <v>0</v>
      </c>
      <c r="R497" s="2" t="inlineStr"/>
    </row>
    <row r="498" ht="15" customHeight="1">
      <c r="A498" t="inlineStr">
        <is>
          <t>A 47445-2025</t>
        </is>
      </c>
      <c r="B498" s="1" t="n">
        <v>45930</v>
      </c>
      <c r="C498" s="1" t="n">
        <v>45983</v>
      </c>
      <c r="D498" t="inlineStr">
        <is>
          <t>UPPSALA LÄN</t>
        </is>
      </c>
      <c r="E498" t="inlineStr">
        <is>
          <t>TIERP</t>
        </is>
      </c>
      <c r="F498" t="inlineStr">
        <is>
          <t>Bergvik skog väst AB</t>
        </is>
      </c>
      <c r="G498" t="n">
        <v>39.6</v>
      </c>
      <c r="H498" t="n">
        <v>0</v>
      </c>
      <c r="I498" t="n">
        <v>0</v>
      </c>
      <c r="J498" t="n">
        <v>0</v>
      </c>
      <c r="K498" t="n">
        <v>0</v>
      </c>
      <c r="L498" t="n">
        <v>0</v>
      </c>
      <c r="M498" t="n">
        <v>0</v>
      </c>
      <c r="N498" t="n">
        <v>0</v>
      </c>
      <c r="O498" t="n">
        <v>0</v>
      </c>
      <c r="P498" t="n">
        <v>0</v>
      </c>
      <c r="Q498" t="n">
        <v>0</v>
      </c>
      <c r="R498" s="2" t="inlineStr"/>
    </row>
    <row r="499" ht="15" customHeight="1">
      <c r="A499" t="inlineStr">
        <is>
          <t>A 5963-2023</t>
        </is>
      </c>
      <c r="B499" s="1" t="n">
        <v>44964</v>
      </c>
      <c r="C499" s="1" t="n">
        <v>45983</v>
      </c>
      <c r="D499" t="inlineStr">
        <is>
          <t>UPPSALA LÄN</t>
        </is>
      </c>
      <c r="E499" t="inlineStr">
        <is>
          <t>TIERP</t>
        </is>
      </c>
      <c r="F499" t="inlineStr">
        <is>
          <t>Bergvik skog öst AB</t>
        </is>
      </c>
      <c r="G499" t="n">
        <v>4.1</v>
      </c>
      <c r="H499" t="n">
        <v>0</v>
      </c>
      <c r="I499" t="n">
        <v>0</v>
      </c>
      <c r="J499" t="n">
        <v>0</v>
      </c>
      <c r="K499" t="n">
        <v>0</v>
      </c>
      <c r="L499" t="n">
        <v>0</v>
      </c>
      <c r="M499" t="n">
        <v>0</v>
      </c>
      <c r="N499" t="n">
        <v>0</v>
      </c>
      <c r="O499" t="n">
        <v>0</v>
      </c>
      <c r="P499" t="n">
        <v>0</v>
      </c>
      <c r="Q499" t="n">
        <v>0</v>
      </c>
      <c r="R499" s="2" t="inlineStr"/>
    </row>
    <row r="500" ht="15" customHeight="1">
      <c r="A500" t="inlineStr">
        <is>
          <t>A 17412-2025</t>
        </is>
      </c>
      <c r="B500" s="1" t="n">
        <v>45757.37369212963</v>
      </c>
      <c r="C500" s="1" t="n">
        <v>45983</v>
      </c>
      <c r="D500" t="inlineStr">
        <is>
          <t>UPPSALA LÄN</t>
        </is>
      </c>
      <c r="E500" t="inlineStr">
        <is>
          <t>TIERP</t>
        </is>
      </c>
      <c r="F500" t="inlineStr">
        <is>
          <t>Bergvik skog öst AB</t>
        </is>
      </c>
      <c r="G500" t="n">
        <v>14.1</v>
      </c>
      <c r="H500" t="n">
        <v>0</v>
      </c>
      <c r="I500" t="n">
        <v>0</v>
      </c>
      <c r="J500" t="n">
        <v>0</v>
      </c>
      <c r="K500" t="n">
        <v>0</v>
      </c>
      <c r="L500" t="n">
        <v>0</v>
      </c>
      <c r="M500" t="n">
        <v>0</v>
      </c>
      <c r="N500" t="n">
        <v>0</v>
      </c>
      <c r="O500" t="n">
        <v>0</v>
      </c>
      <c r="P500" t="n">
        <v>0</v>
      </c>
      <c r="Q500" t="n">
        <v>0</v>
      </c>
      <c r="R500" s="2" t="inlineStr"/>
    </row>
    <row r="501" ht="15" customHeight="1">
      <c r="A501" t="inlineStr">
        <is>
          <t>A 46842-2025</t>
        </is>
      </c>
      <c r="B501" s="1" t="n">
        <v>45928.59989583334</v>
      </c>
      <c r="C501" s="1" t="n">
        <v>45983</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36195-2025</t>
        </is>
      </c>
      <c r="B502" s="1" t="n">
        <v>45867.43064814815</v>
      </c>
      <c r="C502" s="1" t="n">
        <v>45983</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16631-2023</t>
        </is>
      </c>
      <c r="B503" s="1" t="n">
        <v>45030</v>
      </c>
      <c r="C503" s="1" t="n">
        <v>45983</v>
      </c>
      <c r="D503" t="inlineStr">
        <is>
          <t>UPPSALA LÄN</t>
        </is>
      </c>
      <c r="E503" t="inlineStr">
        <is>
          <t>TIERP</t>
        </is>
      </c>
      <c r="F503" t="inlineStr">
        <is>
          <t>Bergvik skog väst AB</t>
        </is>
      </c>
      <c r="G503" t="n">
        <v>0.3</v>
      </c>
      <c r="H503" t="n">
        <v>0</v>
      </c>
      <c r="I503" t="n">
        <v>0</v>
      </c>
      <c r="J503" t="n">
        <v>0</v>
      </c>
      <c r="K503" t="n">
        <v>0</v>
      </c>
      <c r="L503" t="n">
        <v>0</v>
      </c>
      <c r="M503" t="n">
        <v>0</v>
      </c>
      <c r="N503" t="n">
        <v>0</v>
      </c>
      <c r="O503" t="n">
        <v>0</v>
      </c>
      <c r="P503" t="n">
        <v>0</v>
      </c>
      <c r="Q503" t="n">
        <v>0</v>
      </c>
      <c r="R503" s="2" t="inlineStr"/>
    </row>
    <row r="504" ht="15" customHeight="1">
      <c r="A504" t="inlineStr">
        <is>
          <t>A 46952-2025</t>
        </is>
      </c>
      <c r="B504" s="1" t="n">
        <v>45929.471875</v>
      </c>
      <c r="C504" s="1" t="n">
        <v>45983</v>
      </c>
      <c r="D504" t="inlineStr">
        <is>
          <t>UPPSALA LÄN</t>
        </is>
      </c>
      <c r="E504" t="inlineStr">
        <is>
          <t>TIERP</t>
        </is>
      </c>
      <c r="G504" t="n">
        <v>1.1</v>
      </c>
      <c r="H504" t="n">
        <v>0</v>
      </c>
      <c r="I504" t="n">
        <v>0</v>
      </c>
      <c r="J504" t="n">
        <v>0</v>
      </c>
      <c r="K504" t="n">
        <v>0</v>
      </c>
      <c r="L504" t="n">
        <v>0</v>
      </c>
      <c r="M504" t="n">
        <v>0</v>
      </c>
      <c r="N504" t="n">
        <v>0</v>
      </c>
      <c r="O504" t="n">
        <v>0</v>
      </c>
      <c r="P504" t="n">
        <v>0</v>
      </c>
      <c r="Q504" t="n">
        <v>0</v>
      </c>
      <c r="R504" s="2" t="inlineStr"/>
    </row>
    <row r="505" ht="15" customHeight="1">
      <c r="A505" t="inlineStr">
        <is>
          <t>A 36307-2025</t>
        </is>
      </c>
      <c r="B505" s="1" t="n">
        <v>45868.29372685185</v>
      </c>
      <c r="C505" s="1" t="n">
        <v>45983</v>
      </c>
      <c r="D505" t="inlineStr">
        <is>
          <t>UPPSALA LÄN</t>
        </is>
      </c>
      <c r="E505" t="inlineStr">
        <is>
          <t>TIERP</t>
        </is>
      </c>
      <c r="F505" t="inlineStr">
        <is>
          <t>Bergvik skog öst AB</t>
        </is>
      </c>
      <c r="G505" t="n">
        <v>9.1</v>
      </c>
      <c r="H505" t="n">
        <v>0</v>
      </c>
      <c r="I505" t="n">
        <v>0</v>
      </c>
      <c r="J505" t="n">
        <v>0</v>
      </c>
      <c r="K505" t="n">
        <v>0</v>
      </c>
      <c r="L505" t="n">
        <v>0</v>
      </c>
      <c r="M505" t="n">
        <v>0</v>
      </c>
      <c r="N505" t="n">
        <v>0</v>
      </c>
      <c r="O505" t="n">
        <v>0</v>
      </c>
      <c r="P505" t="n">
        <v>0</v>
      </c>
      <c r="Q505" t="n">
        <v>0</v>
      </c>
      <c r="R505" s="2" t="inlineStr"/>
    </row>
    <row r="506" ht="15" customHeight="1">
      <c r="A506" t="inlineStr">
        <is>
          <t>A 55716-2025</t>
        </is>
      </c>
      <c r="B506" s="1" t="n">
        <v>45972</v>
      </c>
      <c r="C506" s="1" t="n">
        <v>45983</v>
      </c>
      <c r="D506" t="inlineStr">
        <is>
          <t>UPPSALA LÄN</t>
        </is>
      </c>
      <c r="E506" t="inlineStr">
        <is>
          <t>TIERP</t>
        </is>
      </c>
      <c r="G506" t="n">
        <v>4.8</v>
      </c>
      <c r="H506" t="n">
        <v>0</v>
      </c>
      <c r="I506" t="n">
        <v>0</v>
      </c>
      <c r="J506" t="n">
        <v>0</v>
      </c>
      <c r="K506" t="n">
        <v>0</v>
      </c>
      <c r="L506" t="n">
        <v>0</v>
      </c>
      <c r="M506" t="n">
        <v>0</v>
      </c>
      <c r="N506" t="n">
        <v>0</v>
      </c>
      <c r="O506" t="n">
        <v>0</v>
      </c>
      <c r="P506" t="n">
        <v>0</v>
      </c>
      <c r="Q506" t="n">
        <v>0</v>
      </c>
      <c r="R506" s="2" t="inlineStr"/>
    </row>
    <row r="507" ht="15" customHeight="1">
      <c r="A507" t="inlineStr">
        <is>
          <t>A 55719-2025</t>
        </is>
      </c>
      <c r="B507" s="1" t="n">
        <v>45972</v>
      </c>
      <c r="C507" s="1" t="n">
        <v>45983</v>
      </c>
      <c r="D507" t="inlineStr">
        <is>
          <t>UPPSALA LÄN</t>
        </is>
      </c>
      <c r="E507" t="inlineStr">
        <is>
          <t>TIERP</t>
        </is>
      </c>
      <c r="G507" t="n">
        <v>1.7</v>
      </c>
      <c r="H507" t="n">
        <v>0</v>
      </c>
      <c r="I507" t="n">
        <v>0</v>
      </c>
      <c r="J507" t="n">
        <v>0</v>
      </c>
      <c r="K507" t="n">
        <v>0</v>
      </c>
      <c r="L507" t="n">
        <v>0</v>
      </c>
      <c r="M507" t="n">
        <v>0</v>
      </c>
      <c r="N507" t="n">
        <v>0</v>
      </c>
      <c r="O507" t="n">
        <v>0</v>
      </c>
      <c r="P507" t="n">
        <v>0</v>
      </c>
      <c r="Q507" t="n">
        <v>0</v>
      </c>
      <c r="R507" s="2" t="inlineStr"/>
    </row>
    <row r="508" ht="15" customHeight="1">
      <c r="A508" t="inlineStr">
        <is>
          <t>A 46843-2025</t>
        </is>
      </c>
      <c r="B508" s="1" t="n">
        <v>45928.60292824074</v>
      </c>
      <c r="C508" s="1" t="n">
        <v>45983</v>
      </c>
      <c r="D508" t="inlineStr">
        <is>
          <t>UPPSALA LÄN</t>
        </is>
      </c>
      <c r="E508" t="inlineStr">
        <is>
          <t>TIERP</t>
        </is>
      </c>
      <c r="G508" t="n">
        <v>1.2</v>
      </c>
      <c r="H508" t="n">
        <v>0</v>
      </c>
      <c r="I508" t="n">
        <v>0</v>
      </c>
      <c r="J508" t="n">
        <v>0</v>
      </c>
      <c r="K508" t="n">
        <v>0</v>
      </c>
      <c r="L508" t="n">
        <v>0</v>
      </c>
      <c r="M508" t="n">
        <v>0</v>
      </c>
      <c r="N508" t="n">
        <v>0</v>
      </c>
      <c r="O508" t="n">
        <v>0</v>
      </c>
      <c r="P508" t="n">
        <v>0</v>
      </c>
      <c r="Q508" t="n">
        <v>0</v>
      </c>
      <c r="R508" s="2" t="inlineStr"/>
    </row>
    <row r="509" ht="15" customHeight="1">
      <c r="A509" t="inlineStr">
        <is>
          <t>A 46844-2025</t>
        </is>
      </c>
      <c r="B509" s="1" t="n">
        <v>45928.60719907407</v>
      </c>
      <c r="C509" s="1" t="n">
        <v>45983</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45983</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31149-2025</t>
        </is>
      </c>
      <c r="B511" s="1" t="n">
        <v>45832.64122685185</v>
      </c>
      <c r="C511" s="1" t="n">
        <v>45983</v>
      </c>
      <c r="D511" t="inlineStr">
        <is>
          <t>UPPSALA LÄN</t>
        </is>
      </c>
      <c r="E511" t="inlineStr">
        <is>
          <t>TIERP</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36419-2025</t>
        </is>
      </c>
      <c r="B512" s="1" t="n">
        <v>45868.83431712963</v>
      </c>
      <c r="C512" s="1" t="n">
        <v>45983</v>
      </c>
      <c r="D512" t="inlineStr">
        <is>
          <t>UPPSALA LÄN</t>
        </is>
      </c>
      <c r="E512" t="inlineStr">
        <is>
          <t>TIERP</t>
        </is>
      </c>
      <c r="G512" t="n">
        <v>2.5</v>
      </c>
      <c r="H512" t="n">
        <v>0</v>
      </c>
      <c r="I512" t="n">
        <v>0</v>
      </c>
      <c r="J512" t="n">
        <v>0</v>
      </c>
      <c r="K512" t="n">
        <v>0</v>
      </c>
      <c r="L512" t="n">
        <v>0</v>
      </c>
      <c r="M512" t="n">
        <v>0</v>
      </c>
      <c r="N512" t="n">
        <v>0</v>
      </c>
      <c r="O512" t="n">
        <v>0</v>
      </c>
      <c r="P512" t="n">
        <v>0</v>
      </c>
      <c r="Q512" t="n">
        <v>0</v>
      </c>
      <c r="R512" s="2" t="inlineStr"/>
    </row>
    <row r="513" ht="15" customHeight="1">
      <c r="A513" t="inlineStr">
        <is>
          <t>A 36422-2025</t>
        </is>
      </c>
      <c r="B513" s="1" t="n">
        <v>45868.85018518518</v>
      </c>
      <c r="C513" s="1" t="n">
        <v>45983</v>
      </c>
      <c r="D513" t="inlineStr">
        <is>
          <t>UPPSALA LÄN</t>
        </is>
      </c>
      <c r="E513" t="inlineStr">
        <is>
          <t>TIERP</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36420-2025</t>
        </is>
      </c>
      <c r="B514" s="1" t="n">
        <v>45868.83913194444</v>
      </c>
      <c r="C514" s="1" t="n">
        <v>45983</v>
      </c>
      <c r="D514" t="inlineStr">
        <is>
          <t>UPPSALA LÄN</t>
        </is>
      </c>
      <c r="E514" t="inlineStr">
        <is>
          <t>TIERP</t>
        </is>
      </c>
      <c r="G514" t="n">
        <v>4.1</v>
      </c>
      <c r="H514" t="n">
        <v>0</v>
      </c>
      <c r="I514" t="n">
        <v>0</v>
      </c>
      <c r="J514" t="n">
        <v>0</v>
      </c>
      <c r="K514" t="n">
        <v>0</v>
      </c>
      <c r="L514" t="n">
        <v>0</v>
      </c>
      <c r="M514" t="n">
        <v>0</v>
      </c>
      <c r="N514" t="n">
        <v>0</v>
      </c>
      <c r="O514" t="n">
        <v>0</v>
      </c>
      <c r="P514" t="n">
        <v>0</v>
      </c>
      <c r="Q514" t="n">
        <v>0</v>
      </c>
      <c r="R514" s="2" t="inlineStr"/>
    </row>
    <row r="515" ht="15" customHeight="1">
      <c r="A515" t="inlineStr">
        <is>
          <t>A 36421-2025</t>
        </is>
      </c>
      <c r="B515" s="1" t="n">
        <v>45868.84859953704</v>
      </c>
      <c r="C515" s="1" t="n">
        <v>45983</v>
      </c>
      <c r="D515" t="inlineStr">
        <is>
          <t>UPPSALA LÄN</t>
        </is>
      </c>
      <c r="E515" t="inlineStr">
        <is>
          <t>TIERP</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36423-2025</t>
        </is>
      </c>
      <c r="B516" s="1" t="n">
        <v>45868.85131944445</v>
      </c>
      <c r="C516" s="1" t="n">
        <v>45983</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55720-2025</t>
        </is>
      </c>
      <c r="B517" s="1" t="n">
        <v>45972</v>
      </c>
      <c r="C517" s="1" t="n">
        <v>45983</v>
      </c>
      <c r="D517" t="inlineStr">
        <is>
          <t>UPPSALA LÄN</t>
        </is>
      </c>
      <c r="E517" t="inlineStr">
        <is>
          <t>TIERP</t>
        </is>
      </c>
      <c r="G517" t="n">
        <v>4.2</v>
      </c>
      <c r="H517" t="n">
        <v>0</v>
      </c>
      <c r="I517" t="n">
        <v>0</v>
      </c>
      <c r="J517" t="n">
        <v>0</v>
      </c>
      <c r="K517" t="n">
        <v>0</v>
      </c>
      <c r="L517" t="n">
        <v>0</v>
      </c>
      <c r="M517" t="n">
        <v>0</v>
      </c>
      <c r="N517" t="n">
        <v>0</v>
      </c>
      <c r="O517" t="n">
        <v>0</v>
      </c>
      <c r="P517" t="n">
        <v>0</v>
      </c>
      <c r="Q517" t="n">
        <v>0</v>
      </c>
      <c r="R517" s="2" t="inlineStr"/>
    </row>
    <row r="518" ht="15" customHeight="1">
      <c r="A518" t="inlineStr">
        <is>
          <t>A 34014-2025</t>
        </is>
      </c>
      <c r="B518" s="1" t="n">
        <v>45845.30168981481</v>
      </c>
      <c r="C518" s="1" t="n">
        <v>45983</v>
      </c>
      <c r="D518" t="inlineStr">
        <is>
          <t>UPPSALA LÄN</t>
        </is>
      </c>
      <c r="E518" t="inlineStr">
        <is>
          <t>TIERP</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35122-2025</t>
        </is>
      </c>
      <c r="B519" s="1" t="n">
        <v>45852.61168981482</v>
      </c>
      <c r="C519" s="1" t="n">
        <v>45983</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13214-2025</t>
        </is>
      </c>
      <c r="B520" s="1" t="n">
        <v>45735.44649305556</v>
      </c>
      <c r="C520" s="1" t="n">
        <v>45983</v>
      </c>
      <c r="D520" t="inlineStr">
        <is>
          <t>UPPSALA LÄN</t>
        </is>
      </c>
      <c r="E520" t="inlineStr">
        <is>
          <t>TIERP</t>
        </is>
      </c>
      <c r="G520" t="n">
        <v>1.9</v>
      </c>
      <c r="H520" t="n">
        <v>0</v>
      </c>
      <c r="I520" t="n">
        <v>0</v>
      </c>
      <c r="J520" t="n">
        <v>0</v>
      </c>
      <c r="K520" t="n">
        <v>0</v>
      </c>
      <c r="L520" t="n">
        <v>0</v>
      </c>
      <c r="M520" t="n">
        <v>0</v>
      </c>
      <c r="N520" t="n">
        <v>0</v>
      </c>
      <c r="O520" t="n">
        <v>0</v>
      </c>
      <c r="P520" t="n">
        <v>0</v>
      </c>
      <c r="Q520" t="n">
        <v>0</v>
      </c>
      <c r="R520" s="2" t="inlineStr"/>
    </row>
    <row r="521" ht="15" customHeight="1">
      <c r="A521" t="inlineStr">
        <is>
          <t>A 23468-2025</t>
        </is>
      </c>
      <c r="B521" s="1" t="n">
        <v>45792.43809027778</v>
      </c>
      <c r="C521" s="1" t="n">
        <v>45983</v>
      </c>
      <c r="D521" t="inlineStr">
        <is>
          <t>UPPSALA LÄN</t>
        </is>
      </c>
      <c r="E521" t="inlineStr">
        <is>
          <t>TIERP</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26380-2023</t>
        </is>
      </c>
      <c r="B522" s="1" t="n">
        <v>45092</v>
      </c>
      <c r="C522" s="1" t="n">
        <v>45983</v>
      </c>
      <c r="D522" t="inlineStr">
        <is>
          <t>UPPSALA LÄN</t>
        </is>
      </c>
      <c r="E522" t="inlineStr">
        <is>
          <t>TIERP</t>
        </is>
      </c>
      <c r="G522" t="n">
        <v>2.2</v>
      </c>
      <c r="H522" t="n">
        <v>0</v>
      </c>
      <c r="I522" t="n">
        <v>0</v>
      </c>
      <c r="J522" t="n">
        <v>0</v>
      </c>
      <c r="K522" t="n">
        <v>0</v>
      </c>
      <c r="L522" t="n">
        <v>0</v>
      </c>
      <c r="M522" t="n">
        <v>0</v>
      </c>
      <c r="N522" t="n">
        <v>0</v>
      </c>
      <c r="O522" t="n">
        <v>0</v>
      </c>
      <c r="P522" t="n">
        <v>0</v>
      </c>
      <c r="Q522" t="n">
        <v>0</v>
      </c>
      <c r="R522" s="2" t="inlineStr"/>
    </row>
    <row r="523" ht="15" customHeight="1">
      <c r="A523" t="inlineStr">
        <is>
          <t>A 34838-2024</t>
        </is>
      </c>
      <c r="B523" s="1" t="n">
        <v>45526</v>
      </c>
      <c r="C523" s="1" t="n">
        <v>45983</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56044-2025</t>
        </is>
      </c>
      <c r="B524" s="1" t="n">
        <v>45973.61974537037</v>
      </c>
      <c r="C524" s="1" t="n">
        <v>45983</v>
      </c>
      <c r="D524" t="inlineStr">
        <is>
          <t>UPPSALA LÄN</t>
        </is>
      </c>
      <c r="E524" t="inlineStr">
        <is>
          <t>TIERP</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56046-2025</t>
        </is>
      </c>
      <c r="B525" s="1" t="n">
        <v>45973.62456018518</v>
      </c>
      <c r="C525" s="1" t="n">
        <v>45983</v>
      </c>
      <c r="D525" t="inlineStr">
        <is>
          <t>UPPSALA LÄN</t>
        </is>
      </c>
      <c r="E525" t="inlineStr">
        <is>
          <t>TIERP</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55872-2025</t>
        </is>
      </c>
      <c r="B526" s="1" t="n">
        <v>45973.35476851852</v>
      </c>
      <c r="C526" s="1" t="n">
        <v>45983</v>
      </c>
      <c r="D526" t="inlineStr">
        <is>
          <t>UPPSALA LÄN</t>
        </is>
      </c>
      <c r="E526" t="inlineStr">
        <is>
          <t>TIERP</t>
        </is>
      </c>
      <c r="G526" t="n">
        <v>1.4</v>
      </c>
      <c r="H526" t="n">
        <v>0</v>
      </c>
      <c r="I526" t="n">
        <v>0</v>
      </c>
      <c r="J526" t="n">
        <v>0</v>
      </c>
      <c r="K526" t="n">
        <v>0</v>
      </c>
      <c r="L526" t="n">
        <v>0</v>
      </c>
      <c r="M526" t="n">
        <v>0</v>
      </c>
      <c r="N526" t="n">
        <v>0</v>
      </c>
      <c r="O526" t="n">
        <v>0</v>
      </c>
      <c r="P526" t="n">
        <v>0</v>
      </c>
      <c r="Q526" t="n">
        <v>0</v>
      </c>
      <c r="R526" s="2" t="inlineStr"/>
    </row>
    <row r="527" ht="15" customHeight="1">
      <c r="A527" t="inlineStr">
        <is>
          <t>A 56059-2025</t>
        </is>
      </c>
      <c r="B527" s="1" t="n">
        <v>45973.63755787037</v>
      </c>
      <c r="C527" s="1" t="n">
        <v>45983</v>
      </c>
      <c r="D527" t="inlineStr">
        <is>
          <t>UPPSALA LÄN</t>
        </is>
      </c>
      <c r="E527" t="inlineStr">
        <is>
          <t>TIERP</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45983</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45983</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60123-2024</t>
        </is>
      </c>
      <c r="B530" s="1" t="n">
        <v>45642.58673611111</v>
      </c>
      <c r="C530" s="1" t="n">
        <v>45983</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45983</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56051-2025</t>
        </is>
      </c>
      <c r="B532" s="1" t="n">
        <v>45973.63171296296</v>
      </c>
      <c r="C532" s="1" t="n">
        <v>45983</v>
      </c>
      <c r="D532" t="inlineStr">
        <is>
          <t>UPPSALA LÄN</t>
        </is>
      </c>
      <c r="E532" t="inlineStr">
        <is>
          <t>TIERP</t>
        </is>
      </c>
      <c r="F532" t="inlineStr">
        <is>
          <t>Bergvik skog väst AB</t>
        </is>
      </c>
      <c r="G532" t="n">
        <v>4.6</v>
      </c>
      <c r="H532" t="n">
        <v>0</v>
      </c>
      <c r="I532" t="n">
        <v>0</v>
      </c>
      <c r="J532" t="n">
        <v>0</v>
      </c>
      <c r="K532" t="n">
        <v>0</v>
      </c>
      <c r="L532" t="n">
        <v>0</v>
      </c>
      <c r="M532" t="n">
        <v>0</v>
      </c>
      <c r="N532" t="n">
        <v>0</v>
      </c>
      <c r="O532" t="n">
        <v>0</v>
      </c>
      <c r="P532" t="n">
        <v>0</v>
      </c>
      <c r="Q532" t="n">
        <v>0</v>
      </c>
      <c r="R532" s="2" t="inlineStr"/>
    </row>
    <row r="533" ht="15" customHeight="1">
      <c r="A533" t="inlineStr">
        <is>
          <t>A 56955-2025</t>
        </is>
      </c>
      <c r="B533" s="1" t="n">
        <v>45978.65361111111</v>
      </c>
      <c r="C533" s="1" t="n">
        <v>45983</v>
      </c>
      <c r="D533" t="inlineStr">
        <is>
          <t>UPPSALA LÄN</t>
        </is>
      </c>
      <c r="E533" t="inlineStr">
        <is>
          <t>TIERP</t>
        </is>
      </c>
      <c r="F533" t="inlineStr">
        <is>
          <t>Bergvik skog öst AB</t>
        </is>
      </c>
      <c r="G533" t="n">
        <v>3.6</v>
      </c>
      <c r="H533" t="n">
        <v>0</v>
      </c>
      <c r="I533" t="n">
        <v>0</v>
      </c>
      <c r="J533" t="n">
        <v>0</v>
      </c>
      <c r="K533" t="n">
        <v>0</v>
      </c>
      <c r="L533" t="n">
        <v>0</v>
      </c>
      <c r="M533" t="n">
        <v>0</v>
      </c>
      <c r="N533" t="n">
        <v>0</v>
      </c>
      <c r="O533" t="n">
        <v>0</v>
      </c>
      <c r="P533" t="n">
        <v>0</v>
      </c>
      <c r="Q533" t="n">
        <v>0</v>
      </c>
      <c r="R533" s="2" t="inlineStr"/>
      <c r="U533">
        <f>HYPERLINK("https://klasma.github.io/Logging_0360/knärot/A 56955-2025 karta knärot.png", "A 56955-2025")</f>
        <v/>
      </c>
      <c r="V533">
        <f>HYPERLINK("https://klasma.github.io/Logging_0360/klagomål/A 56955-2025 FSC-klagomål.docx", "A 56955-2025")</f>
        <v/>
      </c>
      <c r="W533">
        <f>HYPERLINK("https://klasma.github.io/Logging_0360/klagomålsmail/A 56955-2025 FSC-klagomål mail.docx", "A 56955-2025")</f>
        <v/>
      </c>
      <c r="X533">
        <f>HYPERLINK("https://klasma.github.io/Logging_0360/tillsyn/A 56955-2025 tillsynsbegäran.docx", "A 56955-2025")</f>
        <v/>
      </c>
      <c r="Y533">
        <f>HYPERLINK("https://klasma.github.io/Logging_0360/tillsynsmail/A 56955-2025 tillsynsbegäran mail.docx", "A 56955-2025")</f>
        <v/>
      </c>
    </row>
    <row r="534" ht="15" customHeight="1">
      <c r="A534" t="inlineStr">
        <is>
          <t>A 48487-2025</t>
        </is>
      </c>
      <c r="B534" s="1" t="n">
        <v>45936.36195601852</v>
      </c>
      <c r="C534" s="1" t="n">
        <v>45983</v>
      </c>
      <c r="D534" t="inlineStr">
        <is>
          <t>UPPSALA LÄN</t>
        </is>
      </c>
      <c r="E534" t="inlineStr">
        <is>
          <t>TIERP</t>
        </is>
      </c>
      <c r="F534" t="inlineStr">
        <is>
          <t>Bergvik skog väst AB</t>
        </is>
      </c>
      <c r="G534" t="n">
        <v>4.7</v>
      </c>
      <c r="H534" t="n">
        <v>0</v>
      </c>
      <c r="I534" t="n">
        <v>0</v>
      </c>
      <c r="J534" t="n">
        <v>0</v>
      </c>
      <c r="K534" t="n">
        <v>0</v>
      </c>
      <c r="L534" t="n">
        <v>0</v>
      </c>
      <c r="M534" t="n">
        <v>0</v>
      </c>
      <c r="N534" t="n">
        <v>0</v>
      </c>
      <c r="O534" t="n">
        <v>0</v>
      </c>
      <c r="P534" t="n">
        <v>0</v>
      </c>
      <c r="Q534" t="n">
        <v>0</v>
      </c>
      <c r="R534" s="2" t="inlineStr"/>
    </row>
    <row r="535" ht="15" customHeight="1">
      <c r="A535" t="inlineStr">
        <is>
          <t>A 48494-2025</t>
        </is>
      </c>
      <c r="B535" s="1" t="n">
        <v>45936.36921296296</v>
      </c>
      <c r="C535" s="1" t="n">
        <v>45983</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48545-2025</t>
        </is>
      </c>
      <c r="B536" s="1" t="n">
        <v>45936.41964120371</v>
      </c>
      <c r="C536" s="1" t="n">
        <v>45983</v>
      </c>
      <c r="D536" t="inlineStr">
        <is>
          <t>UPPSALA LÄN</t>
        </is>
      </c>
      <c r="E536" t="inlineStr">
        <is>
          <t>TIERP</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48523-2025</t>
        </is>
      </c>
      <c r="B537" s="1" t="n">
        <v>45936.40495370371</v>
      </c>
      <c r="C537" s="1" t="n">
        <v>45983</v>
      </c>
      <c r="D537" t="inlineStr">
        <is>
          <t>UPPSALA LÄN</t>
        </is>
      </c>
      <c r="E537" t="inlineStr">
        <is>
          <t>TIERP</t>
        </is>
      </c>
      <c r="F537" t="inlineStr">
        <is>
          <t>Bergvik skog väst AB</t>
        </is>
      </c>
      <c r="G537" t="n">
        <v>16.4</v>
      </c>
      <c r="H537" t="n">
        <v>0</v>
      </c>
      <c r="I537" t="n">
        <v>0</v>
      </c>
      <c r="J537" t="n">
        <v>0</v>
      </c>
      <c r="K537" t="n">
        <v>0</v>
      </c>
      <c r="L537" t="n">
        <v>0</v>
      </c>
      <c r="M537" t="n">
        <v>0</v>
      </c>
      <c r="N537" t="n">
        <v>0</v>
      </c>
      <c r="O537" t="n">
        <v>0</v>
      </c>
      <c r="P537" t="n">
        <v>0</v>
      </c>
      <c r="Q537" t="n">
        <v>0</v>
      </c>
      <c r="R537" s="2" t="inlineStr"/>
    </row>
    <row r="538" ht="15" customHeight="1">
      <c r="A538" t="inlineStr">
        <is>
          <t>A 62006-2024</t>
        </is>
      </c>
      <c r="B538" s="1" t="n">
        <v>45655</v>
      </c>
      <c r="C538" s="1" t="n">
        <v>45983</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44505-2023</t>
        </is>
      </c>
      <c r="B539" s="1" t="n">
        <v>45184</v>
      </c>
      <c r="C539" s="1" t="n">
        <v>45983</v>
      </c>
      <c r="D539" t="inlineStr">
        <is>
          <t>UPPSALA LÄN</t>
        </is>
      </c>
      <c r="E539" t="inlineStr">
        <is>
          <t>TIERP</t>
        </is>
      </c>
      <c r="G539" t="n">
        <v>1.9</v>
      </c>
      <c r="H539" t="n">
        <v>0</v>
      </c>
      <c r="I539" t="n">
        <v>0</v>
      </c>
      <c r="J539" t="n">
        <v>0</v>
      </c>
      <c r="K539" t="n">
        <v>0</v>
      </c>
      <c r="L539" t="n">
        <v>0</v>
      </c>
      <c r="M539" t="n">
        <v>0</v>
      </c>
      <c r="N539" t="n">
        <v>0</v>
      </c>
      <c r="O539" t="n">
        <v>0</v>
      </c>
      <c r="P539" t="n">
        <v>0</v>
      </c>
      <c r="Q539" t="n">
        <v>0</v>
      </c>
      <c r="R539" s="2" t="inlineStr"/>
    </row>
    <row r="540" ht="15" customHeight="1">
      <c r="A540" t="inlineStr">
        <is>
          <t>A 21876-2025</t>
        </is>
      </c>
      <c r="B540" s="1" t="n">
        <v>45784.39814814815</v>
      </c>
      <c r="C540" s="1" t="n">
        <v>45983</v>
      </c>
      <c r="D540" t="inlineStr">
        <is>
          <t>UPPSALA LÄN</t>
        </is>
      </c>
      <c r="E540" t="inlineStr">
        <is>
          <t>TIERP</t>
        </is>
      </c>
      <c r="F540" t="inlineStr">
        <is>
          <t>Bergvik skog öst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48684-2025</t>
        </is>
      </c>
      <c r="B541" s="1" t="n">
        <v>45936.59858796297</v>
      </c>
      <c r="C541" s="1" t="n">
        <v>45983</v>
      </c>
      <c r="D541" t="inlineStr">
        <is>
          <t>UPPSALA LÄN</t>
        </is>
      </c>
      <c r="E541" t="inlineStr">
        <is>
          <t>TIERP</t>
        </is>
      </c>
      <c r="G541" t="n">
        <v>0.8</v>
      </c>
      <c r="H541" t="n">
        <v>0</v>
      </c>
      <c r="I541" t="n">
        <v>0</v>
      </c>
      <c r="J541" t="n">
        <v>0</v>
      </c>
      <c r="K541" t="n">
        <v>0</v>
      </c>
      <c r="L541" t="n">
        <v>0</v>
      </c>
      <c r="M541" t="n">
        <v>0</v>
      </c>
      <c r="N541" t="n">
        <v>0</v>
      </c>
      <c r="O541" t="n">
        <v>0</v>
      </c>
      <c r="P541" t="n">
        <v>0</v>
      </c>
      <c r="Q541" t="n">
        <v>0</v>
      </c>
      <c r="R541" s="2" t="inlineStr"/>
    </row>
    <row r="542" ht="15" customHeight="1">
      <c r="A542" t="inlineStr">
        <is>
          <t>A 48550-2025</t>
        </is>
      </c>
      <c r="B542" s="1" t="n">
        <v>45936.42704861111</v>
      </c>
      <c r="C542" s="1" t="n">
        <v>45983</v>
      </c>
      <c r="D542" t="inlineStr">
        <is>
          <t>UPPSALA LÄN</t>
        </is>
      </c>
      <c r="E542" t="inlineStr">
        <is>
          <t>TIERP</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37884-2025</t>
        </is>
      </c>
      <c r="B543" s="1" t="n">
        <v>45881.5046412037</v>
      </c>
      <c r="C543" s="1" t="n">
        <v>45983</v>
      </c>
      <c r="D543" t="inlineStr">
        <is>
          <t>UPPSALA LÄN</t>
        </is>
      </c>
      <c r="E543" t="inlineStr">
        <is>
          <t>TIERP</t>
        </is>
      </c>
      <c r="G543" t="n">
        <v>1</v>
      </c>
      <c r="H543" t="n">
        <v>0</v>
      </c>
      <c r="I543" t="n">
        <v>0</v>
      </c>
      <c r="J543" t="n">
        <v>0</v>
      </c>
      <c r="K543" t="n">
        <v>0</v>
      </c>
      <c r="L543" t="n">
        <v>0</v>
      </c>
      <c r="M543" t="n">
        <v>0</v>
      </c>
      <c r="N543" t="n">
        <v>0</v>
      </c>
      <c r="O543" t="n">
        <v>0</v>
      </c>
      <c r="P543" t="n">
        <v>0</v>
      </c>
      <c r="Q543" t="n">
        <v>0</v>
      </c>
      <c r="R543" s="2" t="inlineStr"/>
    </row>
    <row r="544" ht="15" customHeight="1">
      <c r="A544" t="inlineStr">
        <is>
          <t>A 48674-2025</t>
        </is>
      </c>
      <c r="B544" s="1" t="n">
        <v>45936.58931712963</v>
      </c>
      <c r="C544" s="1" t="n">
        <v>45983</v>
      </c>
      <c r="D544" t="inlineStr">
        <is>
          <t>UPPSALA LÄN</t>
        </is>
      </c>
      <c r="E544" t="inlineStr">
        <is>
          <t>TIERP</t>
        </is>
      </c>
      <c r="G544" t="n">
        <v>4.7</v>
      </c>
      <c r="H544" t="n">
        <v>0</v>
      </c>
      <c r="I544" t="n">
        <v>0</v>
      </c>
      <c r="J544" t="n">
        <v>0</v>
      </c>
      <c r="K544" t="n">
        <v>0</v>
      </c>
      <c r="L544" t="n">
        <v>0</v>
      </c>
      <c r="M544" t="n">
        <v>0</v>
      </c>
      <c r="N544" t="n">
        <v>0</v>
      </c>
      <c r="O544" t="n">
        <v>0</v>
      </c>
      <c r="P544" t="n">
        <v>0</v>
      </c>
      <c r="Q544" t="n">
        <v>0</v>
      </c>
      <c r="R544" s="2" t="inlineStr"/>
    </row>
    <row r="545" ht="15" customHeight="1">
      <c r="A545" t="inlineStr">
        <is>
          <t>A 48685-2025</t>
        </is>
      </c>
      <c r="B545" s="1" t="n">
        <v>45936.60018518518</v>
      </c>
      <c r="C545" s="1" t="n">
        <v>45983</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11572-2025</t>
        </is>
      </c>
      <c r="B546" s="1" t="n">
        <v>45727.38053240741</v>
      </c>
      <c r="C546" s="1" t="n">
        <v>45983</v>
      </c>
      <c r="D546" t="inlineStr">
        <is>
          <t>UPPSALA LÄN</t>
        </is>
      </c>
      <c r="E546" t="inlineStr">
        <is>
          <t>TIERP</t>
        </is>
      </c>
      <c r="F546" t="inlineStr">
        <is>
          <t>Bergvik skog öst AB</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437-2023</t>
        </is>
      </c>
      <c r="B547" s="1" t="n">
        <v>44924</v>
      </c>
      <c r="C547" s="1" t="n">
        <v>45983</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4083-2022</t>
        </is>
      </c>
      <c r="B548" s="1" t="n">
        <v>44588</v>
      </c>
      <c r="C548" s="1" t="n">
        <v>45983</v>
      </c>
      <c r="D548" t="inlineStr">
        <is>
          <t>UPPSALA LÄN</t>
        </is>
      </c>
      <c r="E548" t="inlineStr">
        <is>
          <t>TIERP</t>
        </is>
      </c>
      <c r="G548" t="n">
        <v>26.1</v>
      </c>
      <c r="H548" t="n">
        <v>0</v>
      </c>
      <c r="I548" t="n">
        <v>0</v>
      </c>
      <c r="J548" t="n">
        <v>0</v>
      </c>
      <c r="K548" t="n">
        <v>0</v>
      </c>
      <c r="L548" t="n">
        <v>0</v>
      </c>
      <c r="M548" t="n">
        <v>0</v>
      </c>
      <c r="N548" t="n">
        <v>0</v>
      </c>
      <c r="O548" t="n">
        <v>0</v>
      </c>
      <c r="P548" t="n">
        <v>0</v>
      </c>
      <c r="Q548" t="n">
        <v>0</v>
      </c>
      <c r="R548" s="2" t="inlineStr"/>
    </row>
    <row r="549" ht="15" customHeight="1">
      <c r="A549" t="inlineStr">
        <is>
          <t>A 57277-2025</t>
        </is>
      </c>
      <c r="B549" s="1" t="n">
        <v>45979.68946759259</v>
      </c>
      <c r="C549" s="1" t="n">
        <v>45983</v>
      </c>
      <c r="D549" t="inlineStr">
        <is>
          <t>UPPSALA LÄN</t>
        </is>
      </c>
      <c r="E549" t="inlineStr">
        <is>
          <t>TIERP</t>
        </is>
      </c>
      <c r="G549" t="n">
        <v>4</v>
      </c>
      <c r="H549" t="n">
        <v>0</v>
      </c>
      <c r="I549" t="n">
        <v>0</v>
      </c>
      <c r="J549" t="n">
        <v>0</v>
      </c>
      <c r="K549" t="n">
        <v>0</v>
      </c>
      <c r="L549" t="n">
        <v>0</v>
      </c>
      <c r="M549" t="n">
        <v>0</v>
      </c>
      <c r="N549" t="n">
        <v>0</v>
      </c>
      <c r="O549" t="n">
        <v>0</v>
      </c>
      <c r="P549" t="n">
        <v>0</v>
      </c>
      <c r="Q549" t="n">
        <v>0</v>
      </c>
      <c r="R549" s="2" t="inlineStr"/>
    </row>
    <row r="550" ht="15" customHeight="1">
      <c r="A550" t="inlineStr">
        <is>
          <t>A 49191-2025</t>
        </is>
      </c>
      <c r="B550" s="1" t="n">
        <v>45938.40780092592</v>
      </c>
      <c r="C550" s="1" t="n">
        <v>45983</v>
      </c>
      <c r="D550" t="inlineStr">
        <is>
          <t>UPPSALA LÄN</t>
        </is>
      </c>
      <c r="E550" t="inlineStr">
        <is>
          <t>TIERP</t>
        </is>
      </c>
      <c r="F550" t="inlineStr">
        <is>
          <t>Bergvik skog väst AB</t>
        </is>
      </c>
      <c r="G550" t="n">
        <v>38.9</v>
      </c>
      <c r="H550" t="n">
        <v>0</v>
      </c>
      <c r="I550" t="n">
        <v>0</v>
      </c>
      <c r="J550" t="n">
        <v>0</v>
      </c>
      <c r="K550" t="n">
        <v>0</v>
      </c>
      <c r="L550" t="n">
        <v>0</v>
      </c>
      <c r="M550" t="n">
        <v>0</v>
      </c>
      <c r="N550" t="n">
        <v>0</v>
      </c>
      <c r="O550" t="n">
        <v>0</v>
      </c>
      <c r="P550" t="n">
        <v>0</v>
      </c>
      <c r="Q550" t="n">
        <v>0</v>
      </c>
      <c r="R550" s="2" t="inlineStr"/>
    </row>
    <row r="551" ht="15" customHeight="1">
      <c r="A551" t="inlineStr">
        <is>
          <t>A 48596-2025</t>
        </is>
      </c>
      <c r="B551" s="1" t="n">
        <v>45936</v>
      </c>
      <c r="C551" s="1" t="n">
        <v>45983</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48598-2025</t>
        </is>
      </c>
      <c r="B552" s="1" t="n">
        <v>45936</v>
      </c>
      <c r="C552" s="1" t="n">
        <v>45983</v>
      </c>
      <c r="D552" t="inlineStr">
        <is>
          <t>UPPSALA LÄN</t>
        </is>
      </c>
      <c r="E552" t="inlineStr">
        <is>
          <t>TIERP</t>
        </is>
      </c>
      <c r="G552" t="n">
        <v>8.1</v>
      </c>
      <c r="H552" t="n">
        <v>0</v>
      </c>
      <c r="I552" t="n">
        <v>0</v>
      </c>
      <c r="J552" t="n">
        <v>0</v>
      </c>
      <c r="K552" t="n">
        <v>0</v>
      </c>
      <c r="L552" t="n">
        <v>0</v>
      </c>
      <c r="M552" t="n">
        <v>0</v>
      </c>
      <c r="N552" t="n">
        <v>0</v>
      </c>
      <c r="O552" t="n">
        <v>0</v>
      </c>
      <c r="P552" t="n">
        <v>0</v>
      </c>
      <c r="Q552" t="n">
        <v>0</v>
      </c>
      <c r="R552" s="2" t="inlineStr"/>
    </row>
    <row r="553" ht="15" customHeight="1">
      <c r="A553" t="inlineStr">
        <is>
          <t>A 48871-2025</t>
        </is>
      </c>
      <c r="B553" s="1" t="n">
        <v>45937.4534375</v>
      </c>
      <c r="C553" s="1" t="n">
        <v>45983</v>
      </c>
      <c r="D553" t="inlineStr">
        <is>
          <t>UPPSALA LÄN</t>
        </is>
      </c>
      <c r="E553" t="inlineStr">
        <is>
          <t>TIERP</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9238-2023</t>
        </is>
      </c>
      <c r="B554" s="1" t="n">
        <v>44980</v>
      </c>
      <c r="C554" s="1" t="n">
        <v>45983</v>
      </c>
      <c r="D554" t="inlineStr">
        <is>
          <t>UPPSALA LÄN</t>
        </is>
      </c>
      <c r="E554" t="inlineStr">
        <is>
          <t>TIERP</t>
        </is>
      </c>
      <c r="G554" t="n">
        <v>4.8</v>
      </c>
      <c r="H554" t="n">
        <v>0</v>
      </c>
      <c r="I554" t="n">
        <v>0</v>
      </c>
      <c r="J554" t="n">
        <v>0</v>
      </c>
      <c r="K554" t="n">
        <v>0</v>
      </c>
      <c r="L554" t="n">
        <v>0</v>
      </c>
      <c r="M554" t="n">
        <v>0</v>
      </c>
      <c r="N554" t="n">
        <v>0</v>
      </c>
      <c r="O554" t="n">
        <v>0</v>
      </c>
      <c r="P554" t="n">
        <v>0</v>
      </c>
      <c r="Q554" t="n">
        <v>0</v>
      </c>
      <c r="R554" s="2" t="inlineStr"/>
    </row>
    <row r="555" ht="15" customHeight="1">
      <c r="A555" t="inlineStr">
        <is>
          <t>A 57064-2025</t>
        </is>
      </c>
      <c r="B555" s="1" t="n">
        <v>45979.38488425926</v>
      </c>
      <c r="C555" s="1" t="n">
        <v>45983</v>
      </c>
      <c r="D555" t="inlineStr">
        <is>
          <t>UPPSALA LÄN</t>
        </is>
      </c>
      <c r="E555" t="inlineStr">
        <is>
          <t>TIERP</t>
        </is>
      </c>
      <c r="G555" t="n">
        <v>2.6</v>
      </c>
      <c r="H555" t="n">
        <v>0</v>
      </c>
      <c r="I555" t="n">
        <v>0</v>
      </c>
      <c r="J555" t="n">
        <v>0</v>
      </c>
      <c r="K555" t="n">
        <v>0</v>
      </c>
      <c r="L555" t="n">
        <v>0</v>
      </c>
      <c r="M555" t="n">
        <v>0</v>
      </c>
      <c r="N555" t="n">
        <v>0</v>
      </c>
      <c r="O555" t="n">
        <v>0</v>
      </c>
      <c r="P555" t="n">
        <v>0</v>
      </c>
      <c r="Q555" t="n">
        <v>0</v>
      </c>
      <c r="R555" s="2" t="inlineStr"/>
    </row>
    <row r="556" ht="15" customHeight="1">
      <c r="A556" t="inlineStr">
        <is>
          <t>A 49214-2025</t>
        </is>
      </c>
      <c r="B556" s="1" t="n">
        <v>45938</v>
      </c>
      <c r="C556" s="1" t="n">
        <v>45983</v>
      </c>
      <c r="D556" t="inlineStr">
        <is>
          <t>UPPSALA LÄN</t>
        </is>
      </c>
      <c r="E556" t="inlineStr">
        <is>
          <t>TIERP</t>
        </is>
      </c>
      <c r="F556" t="inlineStr">
        <is>
          <t>Bergvik skog väst AB</t>
        </is>
      </c>
      <c r="G556" t="n">
        <v>15.7</v>
      </c>
      <c r="H556" t="n">
        <v>0</v>
      </c>
      <c r="I556" t="n">
        <v>0</v>
      </c>
      <c r="J556" t="n">
        <v>0</v>
      </c>
      <c r="K556" t="n">
        <v>0</v>
      </c>
      <c r="L556" t="n">
        <v>0</v>
      </c>
      <c r="M556" t="n">
        <v>0</v>
      </c>
      <c r="N556" t="n">
        <v>0</v>
      </c>
      <c r="O556" t="n">
        <v>0</v>
      </c>
      <c r="P556" t="n">
        <v>0</v>
      </c>
      <c r="Q556" t="n">
        <v>0</v>
      </c>
      <c r="R556" s="2" t="inlineStr"/>
    </row>
    <row r="557" ht="15" customHeight="1">
      <c r="A557" t="inlineStr">
        <is>
          <t>A 29089-2021</t>
        </is>
      </c>
      <c r="B557" s="1" t="n">
        <v>44358.56138888889</v>
      </c>
      <c r="C557" s="1" t="n">
        <v>45983</v>
      </c>
      <c r="D557" t="inlineStr">
        <is>
          <t>UPPSALA LÄN</t>
        </is>
      </c>
      <c r="E557" t="inlineStr">
        <is>
          <t>TIERP</t>
        </is>
      </c>
      <c r="G557" t="n">
        <v>2.5</v>
      </c>
      <c r="H557" t="n">
        <v>0</v>
      </c>
      <c r="I557" t="n">
        <v>0</v>
      </c>
      <c r="J557" t="n">
        <v>0</v>
      </c>
      <c r="K557" t="n">
        <v>0</v>
      </c>
      <c r="L557" t="n">
        <v>0</v>
      </c>
      <c r="M557" t="n">
        <v>0</v>
      </c>
      <c r="N557" t="n">
        <v>0</v>
      </c>
      <c r="O557" t="n">
        <v>0</v>
      </c>
      <c r="P557" t="n">
        <v>0</v>
      </c>
      <c r="Q557" t="n">
        <v>0</v>
      </c>
      <c r="R557" s="2" t="inlineStr"/>
    </row>
    <row r="558" ht="15" customHeight="1">
      <c r="A558" t="inlineStr">
        <is>
          <t>A 49270-2025</t>
        </is>
      </c>
      <c r="B558" s="1" t="n">
        <v>45938.50260416666</v>
      </c>
      <c r="C558" s="1" t="n">
        <v>45983</v>
      </c>
      <c r="D558" t="inlineStr">
        <is>
          <t>UPPSALA LÄN</t>
        </is>
      </c>
      <c r="E558" t="inlineStr">
        <is>
          <t>TIERP</t>
        </is>
      </c>
      <c r="F558" t="inlineStr">
        <is>
          <t>Bergvik skog väst AB</t>
        </is>
      </c>
      <c r="G558" t="n">
        <v>6.5</v>
      </c>
      <c r="H558" t="n">
        <v>0</v>
      </c>
      <c r="I558" t="n">
        <v>0</v>
      </c>
      <c r="J558" t="n">
        <v>0</v>
      </c>
      <c r="K558" t="n">
        <v>0</v>
      </c>
      <c r="L558" t="n">
        <v>0</v>
      </c>
      <c r="M558" t="n">
        <v>0</v>
      </c>
      <c r="N558" t="n">
        <v>0</v>
      </c>
      <c r="O558" t="n">
        <v>0</v>
      </c>
      <c r="P558" t="n">
        <v>0</v>
      </c>
      <c r="Q558" t="n">
        <v>0</v>
      </c>
      <c r="R558" s="2" t="inlineStr"/>
    </row>
    <row r="559" ht="15" customHeight="1">
      <c r="A559" t="inlineStr">
        <is>
          <t>A 59589-2022</t>
        </is>
      </c>
      <c r="B559" s="1" t="n">
        <v>44907</v>
      </c>
      <c r="C559" s="1" t="n">
        <v>45983</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48808-2025</t>
        </is>
      </c>
      <c r="B560" s="1" t="n">
        <v>45937.35484953703</v>
      </c>
      <c r="C560" s="1" t="n">
        <v>45983</v>
      </c>
      <c r="D560" t="inlineStr">
        <is>
          <t>UPPSALA LÄN</t>
        </is>
      </c>
      <c r="E560" t="inlineStr">
        <is>
          <t>TIERP</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57075-2025</t>
        </is>
      </c>
      <c r="B561" s="1" t="n">
        <v>45979.39712962963</v>
      </c>
      <c r="C561" s="1" t="n">
        <v>45983</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18423-2025</t>
        </is>
      </c>
      <c r="B562" s="1" t="n">
        <v>45762.62068287037</v>
      </c>
      <c r="C562" s="1" t="n">
        <v>45983</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34648-2021</t>
        </is>
      </c>
      <c r="B563" s="1" t="n">
        <v>44382</v>
      </c>
      <c r="C563" s="1" t="n">
        <v>45983</v>
      </c>
      <c r="D563" t="inlineStr">
        <is>
          <t>UPPSALA LÄN</t>
        </is>
      </c>
      <c r="E563" t="inlineStr">
        <is>
          <t>TIERP</t>
        </is>
      </c>
      <c r="F563" t="inlineStr">
        <is>
          <t>Bergvik skog väst AB</t>
        </is>
      </c>
      <c r="G563" t="n">
        <v>0.3</v>
      </c>
      <c r="H563" t="n">
        <v>0</v>
      </c>
      <c r="I563" t="n">
        <v>0</v>
      </c>
      <c r="J563" t="n">
        <v>0</v>
      </c>
      <c r="K563" t="n">
        <v>0</v>
      </c>
      <c r="L563" t="n">
        <v>0</v>
      </c>
      <c r="M563" t="n">
        <v>0</v>
      </c>
      <c r="N563" t="n">
        <v>0</v>
      </c>
      <c r="O563" t="n">
        <v>0</v>
      </c>
      <c r="P563" t="n">
        <v>0</v>
      </c>
      <c r="Q563" t="n">
        <v>0</v>
      </c>
      <c r="R563" s="2" t="inlineStr"/>
    </row>
    <row r="564" ht="15" customHeight="1">
      <c r="A564" t="inlineStr">
        <is>
          <t>A 40864-2023</t>
        </is>
      </c>
      <c r="B564" s="1" t="n">
        <v>45173.3516087963</v>
      </c>
      <c r="C564" s="1" t="n">
        <v>45983</v>
      </c>
      <c r="D564" t="inlineStr">
        <is>
          <t>UPPSALA LÄN</t>
        </is>
      </c>
      <c r="E564" t="inlineStr">
        <is>
          <t>TIERP</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57422-2025</t>
        </is>
      </c>
      <c r="B565" s="1" t="n">
        <v>45980.45951388889</v>
      </c>
      <c r="C565" s="1" t="n">
        <v>45983</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25363-2022</t>
        </is>
      </c>
      <c r="B566" s="1" t="n">
        <v>44732.35172453704</v>
      </c>
      <c r="C566" s="1" t="n">
        <v>45983</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49647-2022</t>
        </is>
      </c>
      <c r="B567" s="1" t="n">
        <v>44862</v>
      </c>
      <c r="C567" s="1" t="n">
        <v>45983</v>
      </c>
      <c r="D567" t="inlineStr">
        <is>
          <t>UPPSALA LÄN</t>
        </is>
      </c>
      <c r="E567" t="inlineStr">
        <is>
          <t>TIERP</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57811-2025</t>
        </is>
      </c>
      <c r="B568" s="1" t="n">
        <v>45981.5921875</v>
      </c>
      <c r="C568" s="1" t="n">
        <v>45983</v>
      </c>
      <c r="D568" t="inlineStr">
        <is>
          <t>UPPSALA LÄN</t>
        </is>
      </c>
      <c r="E568" t="inlineStr">
        <is>
          <t>TIERP</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57657-2025</t>
        </is>
      </c>
      <c r="B569" s="1" t="n">
        <v>45981.40962962963</v>
      </c>
      <c r="C569" s="1" t="n">
        <v>45983</v>
      </c>
      <c r="D569" t="inlineStr">
        <is>
          <t>UPPSALA LÄN</t>
        </is>
      </c>
      <c r="E569" t="inlineStr">
        <is>
          <t>TIERP</t>
        </is>
      </c>
      <c r="F569" t="inlineStr">
        <is>
          <t>Bergvik skog väst AB</t>
        </is>
      </c>
      <c r="G569" t="n">
        <v>1.6</v>
      </c>
      <c r="H569" t="n">
        <v>0</v>
      </c>
      <c r="I569" t="n">
        <v>0</v>
      </c>
      <c r="J569" t="n">
        <v>0</v>
      </c>
      <c r="K569" t="n">
        <v>0</v>
      </c>
      <c r="L569" t="n">
        <v>0</v>
      </c>
      <c r="M569" t="n">
        <v>0</v>
      </c>
      <c r="N569" t="n">
        <v>0</v>
      </c>
      <c r="O569" t="n">
        <v>0</v>
      </c>
      <c r="P569" t="n">
        <v>0</v>
      </c>
      <c r="Q569" t="n">
        <v>0</v>
      </c>
      <c r="R569" s="2" t="inlineStr"/>
    </row>
    <row r="570" ht="15" customHeight="1">
      <c r="A570" t="inlineStr">
        <is>
          <t>A 49777-2025</t>
        </is>
      </c>
      <c r="B570" s="1" t="n">
        <v>45940.38178240741</v>
      </c>
      <c r="C570" s="1" t="n">
        <v>45983</v>
      </c>
      <c r="D570" t="inlineStr">
        <is>
          <t>UPPSALA LÄN</t>
        </is>
      </c>
      <c r="E570" t="inlineStr">
        <is>
          <t>TIERP</t>
        </is>
      </c>
      <c r="F570" t="inlineStr">
        <is>
          <t>Bergvik skog öst AB</t>
        </is>
      </c>
      <c r="G570" t="n">
        <v>0.8</v>
      </c>
      <c r="H570" t="n">
        <v>0</v>
      </c>
      <c r="I570" t="n">
        <v>0</v>
      </c>
      <c r="J570" t="n">
        <v>0</v>
      </c>
      <c r="K570" t="n">
        <v>0</v>
      </c>
      <c r="L570" t="n">
        <v>0</v>
      </c>
      <c r="M570" t="n">
        <v>0</v>
      </c>
      <c r="N570" t="n">
        <v>0</v>
      </c>
      <c r="O570" t="n">
        <v>0</v>
      </c>
      <c r="P570" t="n">
        <v>0</v>
      </c>
      <c r="Q570" t="n">
        <v>0</v>
      </c>
      <c r="R570" s="2" t="inlineStr"/>
    </row>
    <row r="571" ht="15" customHeight="1">
      <c r="A571" t="inlineStr">
        <is>
          <t>A 57944-2025</t>
        </is>
      </c>
      <c r="B571" s="1" t="n">
        <v>45982.32059027778</v>
      </c>
      <c r="C571" s="1" t="n">
        <v>45983</v>
      </c>
      <c r="D571" t="inlineStr">
        <is>
          <t>UPPSALA LÄN</t>
        </is>
      </c>
      <c r="E571" t="inlineStr">
        <is>
          <t>TIERP</t>
        </is>
      </c>
      <c r="F571" t="inlineStr">
        <is>
          <t>Övriga Aktiebolag</t>
        </is>
      </c>
      <c r="G571" t="n">
        <v>6.2</v>
      </c>
      <c r="H571" t="n">
        <v>0</v>
      </c>
      <c r="I571" t="n">
        <v>0</v>
      </c>
      <c r="J571" t="n">
        <v>0</v>
      </c>
      <c r="K571" t="n">
        <v>0</v>
      </c>
      <c r="L571" t="n">
        <v>0</v>
      </c>
      <c r="M571" t="n">
        <v>0</v>
      </c>
      <c r="N571" t="n">
        <v>0</v>
      </c>
      <c r="O571" t="n">
        <v>0</v>
      </c>
      <c r="P571" t="n">
        <v>0</v>
      </c>
      <c r="Q571" t="n">
        <v>0</v>
      </c>
      <c r="R571" s="2" t="inlineStr"/>
    </row>
    <row r="572" ht="15" customHeight="1">
      <c r="A572" t="inlineStr">
        <is>
          <t>A 57945-2025</t>
        </is>
      </c>
      <c r="B572" s="1" t="n">
        <v>45982.32641203704</v>
      </c>
      <c r="C572" s="1" t="n">
        <v>45983</v>
      </c>
      <c r="D572" t="inlineStr">
        <is>
          <t>UPPSALA LÄN</t>
        </is>
      </c>
      <c r="E572" t="inlineStr">
        <is>
          <t>TIERP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57966-2025</t>
        </is>
      </c>
      <c r="B573" s="1" t="n">
        <v>45982.38324074074</v>
      </c>
      <c r="C573" s="1" t="n">
        <v>45983</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58134-2025</t>
        </is>
      </c>
      <c r="B574" s="1" t="n">
        <v>45982.61978009259</v>
      </c>
      <c r="C574" s="1" t="n">
        <v>45983</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57692-2025</t>
        </is>
      </c>
      <c r="B575" s="1" t="n">
        <v>45981.4483912037</v>
      </c>
      <c r="C575" s="1" t="n">
        <v>45983</v>
      </c>
      <c r="D575" t="inlineStr">
        <is>
          <t>UPPSALA LÄN</t>
        </is>
      </c>
      <c r="E575" t="inlineStr">
        <is>
          <t>TIERP</t>
        </is>
      </c>
      <c r="G575" t="n">
        <v>2.5</v>
      </c>
      <c r="H575" t="n">
        <v>0</v>
      </c>
      <c r="I575" t="n">
        <v>0</v>
      </c>
      <c r="J575" t="n">
        <v>0</v>
      </c>
      <c r="K575" t="n">
        <v>0</v>
      </c>
      <c r="L575" t="n">
        <v>0</v>
      </c>
      <c r="M575" t="n">
        <v>0</v>
      </c>
      <c r="N575" t="n">
        <v>0</v>
      </c>
      <c r="O575" t="n">
        <v>0</v>
      </c>
      <c r="P575" t="n">
        <v>0</v>
      </c>
      <c r="Q575" t="n">
        <v>0</v>
      </c>
      <c r="R575" s="2" t="inlineStr"/>
    </row>
    <row r="576" ht="15" customHeight="1">
      <c r="A576" t="inlineStr">
        <is>
          <t>A 19172-2023</t>
        </is>
      </c>
      <c r="B576" s="1" t="n">
        <v>45046</v>
      </c>
      <c r="C576" s="1" t="n">
        <v>45983</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57878-2025</t>
        </is>
      </c>
      <c r="B577" s="1" t="n">
        <v>45981.65857638889</v>
      </c>
      <c r="C577" s="1" t="n">
        <v>45983</v>
      </c>
      <c r="D577" t="inlineStr">
        <is>
          <t>UPPSALA LÄN</t>
        </is>
      </c>
      <c r="E577" t="inlineStr">
        <is>
          <t>TIERP</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40793-2021</t>
        </is>
      </c>
      <c r="B578" s="1" t="n">
        <v>44421</v>
      </c>
      <c r="C578" s="1" t="n">
        <v>45983</v>
      </c>
      <c r="D578" t="inlineStr">
        <is>
          <t>UPPSALA LÄN</t>
        </is>
      </c>
      <c r="E578" t="inlineStr">
        <is>
          <t>TIERP</t>
        </is>
      </c>
      <c r="F578" t="inlineStr">
        <is>
          <t>Kyrkan</t>
        </is>
      </c>
      <c r="G578" t="n">
        <v>3.4</v>
      </c>
      <c r="H578" t="n">
        <v>0</v>
      </c>
      <c r="I578" t="n">
        <v>0</v>
      </c>
      <c r="J578" t="n">
        <v>0</v>
      </c>
      <c r="K578" t="n">
        <v>0</v>
      </c>
      <c r="L578" t="n">
        <v>0</v>
      </c>
      <c r="M578" t="n">
        <v>0</v>
      </c>
      <c r="N578" t="n">
        <v>0</v>
      </c>
      <c r="O578" t="n">
        <v>0</v>
      </c>
      <c r="P578" t="n">
        <v>0</v>
      </c>
      <c r="Q578" t="n">
        <v>0</v>
      </c>
      <c r="R578" s="2" t="inlineStr"/>
    </row>
    <row r="579" ht="15" customHeight="1">
      <c r="A579" t="inlineStr">
        <is>
          <t>A 54737-2023</t>
        </is>
      </c>
      <c r="B579" s="1" t="n">
        <v>45229</v>
      </c>
      <c r="C579" s="1" t="n">
        <v>45983</v>
      </c>
      <c r="D579" t="inlineStr">
        <is>
          <t>UPPSALA LÄN</t>
        </is>
      </c>
      <c r="E579" t="inlineStr">
        <is>
          <t>TIERP</t>
        </is>
      </c>
      <c r="F579" t="inlineStr">
        <is>
          <t>Bergvik skog väst AB</t>
        </is>
      </c>
      <c r="G579" t="n">
        <v>2</v>
      </c>
      <c r="H579" t="n">
        <v>0</v>
      </c>
      <c r="I579" t="n">
        <v>0</v>
      </c>
      <c r="J579" t="n">
        <v>0</v>
      </c>
      <c r="K579" t="n">
        <v>0</v>
      </c>
      <c r="L579" t="n">
        <v>0</v>
      </c>
      <c r="M579" t="n">
        <v>0</v>
      </c>
      <c r="N579" t="n">
        <v>0</v>
      </c>
      <c r="O579" t="n">
        <v>0</v>
      </c>
      <c r="P579" t="n">
        <v>0</v>
      </c>
      <c r="Q579" t="n">
        <v>0</v>
      </c>
      <c r="R579" s="2" t="inlineStr"/>
    </row>
    <row r="580" ht="15" customHeight="1">
      <c r="A580" t="inlineStr">
        <is>
          <t>A 49305-2025</t>
        </is>
      </c>
      <c r="B580" s="1" t="n">
        <v>45938.55978009259</v>
      </c>
      <c r="C580" s="1" t="n">
        <v>45983</v>
      </c>
      <c r="D580" t="inlineStr">
        <is>
          <t>UPPSALA LÄN</t>
        </is>
      </c>
      <c r="E580" t="inlineStr">
        <is>
          <t>TIERP</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49524-2025</t>
        </is>
      </c>
      <c r="B581" s="1" t="n">
        <v>45939.39984953704</v>
      </c>
      <c r="C581" s="1" t="n">
        <v>45983</v>
      </c>
      <c r="D581" t="inlineStr">
        <is>
          <t>UPPSALA LÄN</t>
        </is>
      </c>
      <c r="E581" t="inlineStr">
        <is>
          <t>TIERP</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49538-2025</t>
        </is>
      </c>
      <c r="B582" s="1" t="n">
        <v>45939.42364583333</v>
      </c>
      <c r="C582" s="1" t="n">
        <v>45983</v>
      </c>
      <c r="D582" t="inlineStr">
        <is>
          <t>UPPSALA LÄN</t>
        </is>
      </c>
      <c r="E582" t="inlineStr">
        <is>
          <t>TIERP</t>
        </is>
      </c>
      <c r="F582" t="inlineStr">
        <is>
          <t>Bergvik skog väst AB</t>
        </is>
      </c>
      <c r="G582" t="n">
        <v>20.3</v>
      </c>
      <c r="H582" t="n">
        <v>0</v>
      </c>
      <c r="I582" t="n">
        <v>0</v>
      </c>
      <c r="J582" t="n">
        <v>0</v>
      </c>
      <c r="K582" t="n">
        <v>0</v>
      </c>
      <c r="L582" t="n">
        <v>0</v>
      </c>
      <c r="M582" t="n">
        <v>0</v>
      </c>
      <c r="N582" t="n">
        <v>0</v>
      </c>
      <c r="O582" t="n">
        <v>0</v>
      </c>
      <c r="P582" t="n">
        <v>0</v>
      </c>
      <c r="Q582" t="n">
        <v>0</v>
      </c>
      <c r="R582" s="2" t="inlineStr"/>
    </row>
    <row r="583" ht="15" customHeight="1">
      <c r="A583" t="inlineStr">
        <is>
          <t>A 49558-2025</t>
        </is>
      </c>
      <c r="B583" s="1" t="n">
        <v>45939.45197916667</v>
      </c>
      <c r="C583" s="1" t="n">
        <v>45983</v>
      </c>
      <c r="D583" t="inlineStr">
        <is>
          <t>UPPSALA LÄN</t>
        </is>
      </c>
      <c r="E583" t="inlineStr">
        <is>
          <t>TIERP</t>
        </is>
      </c>
      <c r="F583" t="inlineStr">
        <is>
          <t>Bergvik skog väst AB</t>
        </is>
      </c>
      <c r="G583" t="n">
        <v>2.1</v>
      </c>
      <c r="H583" t="n">
        <v>0</v>
      </c>
      <c r="I583" t="n">
        <v>0</v>
      </c>
      <c r="J583" t="n">
        <v>0</v>
      </c>
      <c r="K583" t="n">
        <v>0</v>
      </c>
      <c r="L583" t="n">
        <v>0</v>
      </c>
      <c r="M583" t="n">
        <v>0</v>
      </c>
      <c r="N583" t="n">
        <v>0</v>
      </c>
      <c r="O583" t="n">
        <v>0</v>
      </c>
      <c r="P583" t="n">
        <v>0</v>
      </c>
      <c r="Q583" t="n">
        <v>0</v>
      </c>
      <c r="R583" s="2" t="inlineStr"/>
    </row>
    <row r="584" ht="15" customHeight="1">
      <c r="A584" t="inlineStr">
        <is>
          <t>A 60151-2022</t>
        </is>
      </c>
      <c r="B584" s="1" t="n">
        <v>44909.71309027778</v>
      </c>
      <c r="C584" s="1" t="n">
        <v>45983</v>
      </c>
      <c r="D584" t="inlineStr">
        <is>
          <t>UPPSALA LÄN</t>
        </is>
      </c>
      <c r="E584" t="inlineStr">
        <is>
          <t>TIERP</t>
        </is>
      </c>
      <c r="G584" t="n">
        <v>4.1</v>
      </c>
      <c r="H584" t="n">
        <v>0</v>
      </c>
      <c r="I584" t="n">
        <v>0</v>
      </c>
      <c r="J584" t="n">
        <v>0</v>
      </c>
      <c r="K584" t="n">
        <v>0</v>
      </c>
      <c r="L584" t="n">
        <v>0</v>
      </c>
      <c r="M584" t="n">
        <v>0</v>
      </c>
      <c r="N584" t="n">
        <v>0</v>
      </c>
      <c r="O584" t="n">
        <v>0</v>
      </c>
      <c r="P584" t="n">
        <v>0</v>
      </c>
      <c r="Q584" t="n">
        <v>0</v>
      </c>
      <c r="R584" s="2" t="inlineStr"/>
    </row>
    <row r="585" ht="15" customHeight="1">
      <c r="A585" t="inlineStr">
        <is>
          <t>A 57699-2025</t>
        </is>
      </c>
      <c r="B585" s="1" t="n">
        <v>45981.45741898148</v>
      </c>
      <c r="C585" s="1" t="n">
        <v>45983</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34082-2023</t>
        </is>
      </c>
      <c r="B586" s="1" t="n">
        <v>45135</v>
      </c>
      <c r="C586" s="1" t="n">
        <v>45983</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61615-2022</t>
        </is>
      </c>
      <c r="B587" s="1" t="n">
        <v>44916.66769675926</v>
      </c>
      <c r="C587" s="1" t="n">
        <v>45983</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26161-2022</t>
        </is>
      </c>
      <c r="B588" s="1" t="n">
        <v>44735</v>
      </c>
      <c r="C588" s="1" t="n">
        <v>45983</v>
      </c>
      <c r="D588" t="inlineStr">
        <is>
          <t>UPPSALA LÄN</t>
        </is>
      </c>
      <c r="E588" t="inlineStr">
        <is>
          <t>TIERP</t>
        </is>
      </c>
      <c r="G588" t="n">
        <v>5</v>
      </c>
      <c r="H588" t="n">
        <v>0</v>
      </c>
      <c r="I588" t="n">
        <v>0</v>
      </c>
      <c r="J588" t="n">
        <v>0</v>
      </c>
      <c r="K588" t="n">
        <v>0</v>
      </c>
      <c r="L588" t="n">
        <v>0</v>
      </c>
      <c r="M588" t="n">
        <v>0</v>
      </c>
      <c r="N588" t="n">
        <v>0</v>
      </c>
      <c r="O588" t="n">
        <v>0</v>
      </c>
      <c r="P588" t="n">
        <v>0</v>
      </c>
      <c r="Q588" t="n">
        <v>0</v>
      </c>
      <c r="R588" s="2" t="inlineStr"/>
    </row>
    <row r="589" ht="15" customHeight="1">
      <c r="A589" t="inlineStr">
        <is>
          <t>A 55818-2023</t>
        </is>
      </c>
      <c r="B589" s="1" t="n">
        <v>45239.58409722222</v>
      </c>
      <c r="C589" s="1" t="n">
        <v>45983</v>
      </c>
      <c r="D589" t="inlineStr">
        <is>
          <t>UPPSALA LÄN</t>
        </is>
      </c>
      <c r="E589" t="inlineStr">
        <is>
          <t>TIERP</t>
        </is>
      </c>
      <c r="G589" t="n">
        <v>0.4</v>
      </c>
      <c r="H589" t="n">
        <v>0</v>
      </c>
      <c r="I589" t="n">
        <v>0</v>
      </c>
      <c r="J589" t="n">
        <v>0</v>
      </c>
      <c r="K589" t="n">
        <v>0</v>
      </c>
      <c r="L589" t="n">
        <v>0</v>
      </c>
      <c r="M589" t="n">
        <v>0</v>
      </c>
      <c r="N589" t="n">
        <v>0</v>
      </c>
      <c r="O589" t="n">
        <v>0</v>
      </c>
      <c r="P589" t="n">
        <v>0</v>
      </c>
      <c r="Q589" t="n">
        <v>0</v>
      </c>
      <c r="R589" s="2" t="inlineStr"/>
    </row>
    <row r="590" ht="15" customHeight="1">
      <c r="A590" t="inlineStr">
        <is>
          <t>A 33797-2023</t>
        </is>
      </c>
      <c r="B590" s="1" t="n">
        <v>45133</v>
      </c>
      <c r="C590" s="1" t="n">
        <v>45983</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c r="U590">
        <f>HYPERLINK("https://klasma.github.io/Logging_0360/knärot/A 33797-2023 karta knärot.png", "A 33797-2023")</f>
        <v/>
      </c>
      <c r="V590">
        <f>HYPERLINK("https://klasma.github.io/Logging_0360/klagomål/A 33797-2023 FSC-klagomål.docx", "A 33797-2023")</f>
        <v/>
      </c>
      <c r="W590">
        <f>HYPERLINK("https://klasma.github.io/Logging_0360/klagomålsmail/A 33797-2023 FSC-klagomål mail.docx", "A 33797-2023")</f>
        <v/>
      </c>
      <c r="X590">
        <f>HYPERLINK("https://klasma.github.io/Logging_0360/tillsyn/A 33797-2023 tillsynsbegäran.docx", "A 33797-2023")</f>
        <v/>
      </c>
      <c r="Y590">
        <f>HYPERLINK("https://klasma.github.io/Logging_0360/tillsynsmail/A 33797-2023 tillsynsbegäran mail.docx", "A 33797-2023")</f>
        <v/>
      </c>
    </row>
    <row r="591" ht="15" customHeight="1">
      <c r="A591" t="inlineStr">
        <is>
          <t>A 13456-2025</t>
        </is>
      </c>
      <c r="B591" s="1" t="n">
        <v>45736.38332175926</v>
      </c>
      <c r="C591" s="1" t="n">
        <v>45983</v>
      </c>
      <c r="D591" t="inlineStr">
        <is>
          <t>UPPSALA LÄN</t>
        </is>
      </c>
      <c r="E591" t="inlineStr">
        <is>
          <t>TIERP</t>
        </is>
      </c>
      <c r="G591" t="n">
        <v>5.7</v>
      </c>
      <c r="H591" t="n">
        <v>0</v>
      </c>
      <c r="I591" t="n">
        <v>0</v>
      </c>
      <c r="J591" t="n">
        <v>0</v>
      </c>
      <c r="K591" t="n">
        <v>0</v>
      </c>
      <c r="L591" t="n">
        <v>0</v>
      </c>
      <c r="M591" t="n">
        <v>0</v>
      </c>
      <c r="N591" t="n">
        <v>0</v>
      </c>
      <c r="O591" t="n">
        <v>0</v>
      </c>
      <c r="P591" t="n">
        <v>0</v>
      </c>
      <c r="Q591" t="n">
        <v>0</v>
      </c>
      <c r="R591" s="2" t="inlineStr"/>
    </row>
    <row r="592" ht="15" customHeight="1">
      <c r="A592" t="inlineStr">
        <is>
          <t>A 9893-2022</t>
        </is>
      </c>
      <c r="B592" s="1" t="n">
        <v>44620.62225694444</v>
      </c>
      <c r="C592" s="1" t="n">
        <v>45983</v>
      </c>
      <c r="D592" t="inlineStr">
        <is>
          <t>UPPSALA LÄN</t>
        </is>
      </c>
      <c r="E592" t="inlineStr">
        <is>
          <t>TIERP</t>
        </is>
      </c>
      <c r="G592" t="n">
        <v>3.1</v>
      </c>
      <c r="H592" t="n">
        <v>0</v>
      </c>
      <c r="I592" t="n">
        <v>0</v>
      </c>
      <c r="J592" t="n">
        <v>0</v>
      </c>
      <c r="K592" t="n">
        <v>0</v>
      </c>
      <c r="L592" t="n">
        <v>0</v>
      </c>
      <c r="M592" t="n">
        <v>0</v>
      </c>
      <c r="N592" t="n">
        <v>0</v>
      </c>
      <c r="O592" t="n">
        <v>0</v>
      </c>
      <c r="P592" t="n">
        <v>0</v>
      </c>
      <c r="Q592" t="n">
        <v>0</v>
      </c>
      <c r="R592" s="2" t="inlineStr"/>
    </row>
    <row r="593" ht="15" customHeight="1">
      <c r="A593" t="inlineStr">
        <is>
          <t>A 45146-2021</t>
        </is>
      </c>
      <c r="B593" s="1" t="n">
        <v>44439.46604166667</v>
      </c>
      <c r="C593" s="1" t="n">
        <v>45983</v>
      </c>
      <c r="D593" t="inlineStr">
        <is>
          <t>UPPSALA LÄN</t>
        </is>
      </c>
      <c r="E593" t="inlineStr">
        <is>
          <t>TIERP</t>
        </is>
      </c>
      <c r="G593" t="n">
        <v>1.8</v>
      </c>
      <c r="H593" t="n">
        <v>0</v>
      </c>
      <c r="I593" t="n">
        <v>0</v>
      </c>
      <c r="J593" t="n">
        <v>0</v>
      </c>
      <c r="K593" t="n">
        <v>0</v>
      </c>
      <c r="L593" t="n">
        <v>0</v>
      </c>
      <c r="M593" t="n">
        <v>0</v>
      </c>
      <c r="N593" t="n">
        <v>0</v>
      </c>
      <c r="O593" t="n">
        <v>0</v>
      </c>
      <c r="P593" t="n">
        <v>0</v>
      </c>
      <c r="Q593" t="n">
        <v>0</v>
      </c>
      <c r="R593" s="2" t="inlineStr"/>
    </row>
    <row r="594" ht="15" customHeight="1">
      <c r="A594" t="inlineStr">
        <is>
          <t>A 6497-2023</t>
        </is>
      </c>
      <c r="B594" s="1" t="n">
        <v>44966</v>
      </c>
      <c r="C594" s="1" t="n">
        <v>45983</v>
      </c>
      <c r="D594" t="inlineStr">
        <is>
          <t>UPPSALA LÄN</t>
        </is>
      </c>
      <c r="E594" t="inlineStr">
        <is>
          <t>TIERP</t>
        </is>
      </c>
      <c r="F594" t="inlineStr">
        <is>
          <t>Bergvik skog öst AB</t>
        </is>
      </c>
      <c r="G594" t="n">
        <v>12.9</v>
      </c>
      <c r="H594" t="n">
        <v>0</v>
      </c>
      <c r="I594" t="n">
        <v>0</v>
      </c>
      <c r="J594" t="n">
        <v>0</v>
      </c>
      <c r="K594" t="n">
        <v>0</v>
      </c>
      <c r="L594" t="n">
        <v>0</v>
      </c>
      <c r="M594" t="n">
        <v>0</v>
      </c>
      <c r="N594" t="n">
        <v>0</v>
      </c>
      <c r="O594" t="n">
        <v>0</v>
      </c>
      <c r="P594" t="n">
        <v>0</v>
      </c>
      <c r="Q594" t="n">
        <v>0</v>
      </c>
      <c r="R594" s="2" t="inlineStr"/>
    </row>
    <row r="595" ht="15" customHeight="1">
      <c r="A595" t="inlineStr">
        <is>
          <t>A 57142-2023</t>
        </is>
      </c>
      <c r="B595" s="1" t="n">
        <v>45245.39725694444</v>
      </c>
      <c r="C595" s="1" t="n">
        <v>45983</v>
      </c>
      <c r="D595" t="inlineStr">
        <is>
          <t>UPPSALA LÄN</t>
        </is>
      </c>
      <c r="E595" t="inlineStr">
        <is>
          <t>TIERP</t>
        </is>
      </c>
      <c r="G595" t="n">
        <v>3.2</v>
      </c>
      <c r="H595" t="n">
        <v>0</v>
      </c>
      <c r="I595" t="n">
        <v>0</v>
      </c>
      <c r="J595" t="n">
        <v>0</v>
      </c>
      <c r="K595" t="n">
        <v>0</v>
      </c>
      <c r="L595" t="n">
        <v>0</v>
      </c>
      <c r="M595" t="n">
        <v>0</v>
      </c>
      <c r="N595" t="n">
        <v>0</v>
      </c>
      <c r="O595" t="n">
        <v>0</v>
      </c>
      <c r="P595" t="n">
        <v>0</v>
      </c>
      <c r="Q595" t="n">
        <v>0</v>
      </c>
      <c r="R595" s="2" t="inlineStr"/>
    </row>
    <row r="596" ht="15" customHeight="1">
      <c r="A596" t="inlineStr">
        <is>
          <t>A 37476-2024</t>
        </is>
      </c>
      <c r="B596" s="1" t="n">
        <v>45541.29972222223</v>
      </c>
      <c r="C596" s="1" t="n">
        <v>45983</v>
      </c>
      <c r="D596" t="inlineStr">
        <is>
          <t>UPPSALA LÄN</t>
        </is>
      </c>
      <c r="E596" t="inlineStr">
        <is>
          <t>TIERP</t>
        </is>
      </c>
      <c r="G596" t="n">
        <v>0.4</v>
      </c>
      <c r="H596" t="n">
        <v>0</v>
      </c>
      <c r="I596" t="n">
        <v>0</v>
      </c>
      <c r="J596" t="n">
        <v>0</v>
      </c>
      <c r="K596" t="n">
        <v>0</v>
      </c>
      <c r="L596" t="n">
        <v>0</v>
      </c>
      <c r="M596" t="n">
        <v>0</v>
      </c>
      <c r="N596" t="n">
        <v>0</v>
      </c>
      <c r="O596" t="n">
        <v>0</v>
      </c>
      <c r="P596" t="n">
        <v>0</v>
      </c>
      <c r="Q596" t="n">
        <v>0</v>
      </c>
      <c r="R596" s="2" t="inlineStr"/>
    </row>
    <row r="597" ht="15" customHeight="1">
      <c r="A597" t="inlineStr">
        <is>
          <t>A 38298-2023</t>
        </is>
      </c>
      <c r="B597" s="1" t="n">
        <v>45161.64891203704</v>
      </c>
      <c r="C597" s="1" t="n">
        <v>45983</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52388-2022</t>
        </is>
      </c>
      <c r="B598" s="1" t="n">
        <v>44874</v>
      </c>
      <c r="C598" s="1" t="n">
        <v>45983</v>
      </c>
      <c r="D598" t="inlineStr">
        <is>
          <t>UPPSALA LÄN</t>
        </is>
      </c>
      <c r="E598" t="inlineStr">
        <is>
          <t>TIERP</t>
        </is>
      </c>
      <c r="G598" t="n">
        <v>1</v>
      </c>
      <c r="H598" t="n">
        <v>0</v>
      </c>
      <c r="I598" t="n">
        <v>0</v>
      </c>
      <c r="J598" t="n">
        <v>0</v>
      </c>
      <c r="K598" t="n">
        <v>0</v>
      </c>
      <c r="L598" t="n">
        <v>0</v>
      </c>
      <c r="M598" t="n">
        <v>0</v>
      </c>
      <c r="N598" t="n">
        <v>0</v>
      </c>
      <c r="O598" t="n">
        <v>0</v>
      </c>
      <c r="P598" t="n">
        <v>0</v>
      </c>
      <c r="Q598" t="n">
        <v>0</v>
      </c>
      <c r="R598" s="2" t="inlineStr"/>
    </row>
    <row r="599" ht="15" customHeight="1">
      <c r="A599" t="inlineStr">
        <is>
          <t>A 61827-2024</t>
        </is>
      </c>
      <c r="B599" s="1" t="n">
        <v>45649.6225</v>
      </c>
      <c r="C599" s="1" t="n">
        <v>45983</v>
      </c>
      <c r="D599" t="inlineStr">
        <is>
          <t>UPPSALA LÄN</t>
        </is>
      </c>
      <c r="E599" t="inlineStr">
        <is>
          <t>TIERP</t>
        </is>
      </c>
      <c r="G599" t="n">
        <v>2.5</v>
      </c>
      <c r="H599" t="n">
        <v>0</v>
      </c>
      <c r="I599" t="n">
        <v>0</v>
      </c>
      <c r="J599" t="n">
        <v>0</v>
      </c>
      <c r="K599" t="n">
        <v>0</v>
      </c>
      <c r="L599" t="n">
        <v>0</v>
      </c>
      <c r="M599" t="n">
        <v>0</v>
      </c>
      <c r="N599" t="n">
        <v>0</v>
      </c>
      <c r="O599" t="n">
        <v>0</v>
      </c>
      <c r="P599" t="n">
        <v>0</v>
      </c>
      <c r="Q599" t="n">
        <v>0</v>
      </c>
      <c r="R599" s="2" t="inlineStr"/>
    </row>
    <row r="600" ht="15" customHeight="1">
      <c r="A600" t="inlineStr">
        <is>
          <t>A 16516-2025</t>
        </is>
      </c>
      <c r="B600" s="1" t="n">
        <v>45751.63172453704</v>
      </c>
      <c r="C600" s="1" t="n">
        <v>45983</v>
      </c>
      <c r="D600" t="inlineStr">
        <is>
          <t>UPPSALA LÄN</t>
        </is>
      </c>
      <c r="E600" t="inlineStr">
        <is>
          <t>TIERP</t>
        </is>
      </c>
      <c r="G600" t="n">
        <v>3.7</v>
      </c>
      <c r="H600" t="n">
        <v>0</v>
      </c>
      <c r="I600" t="n">
        <v>0</v>
      </c>
      <c r="J600" t="n">
        <v>0</v>
      </c>
      <c r="K600" t="n">
        <v>0</v>
      </c>
      <c r="L600" t="n">
        <v>0</v>
      </c>
      <c r="M600" t="n">
        <v>0</v>
      </c>
      <c r="N600" t="n">
        <v>0</v>
      </c>
      <c r="O600" t="n">
        <v>0</v>
      </c>
      <c r="P600" t="n">
        <v>0</v>
      </c>
      <c r="Q600" t="n">
        <v>0</v>
      </c>
      <c r="R600" s="2" t="inlineStr"/>
    </row>
    <row r="601" ht="15" customHeight="1">
      <c r="A601" t="inlineStr">
        <is>
          <t>A 17575-2025</t>
        </is>
      </c>
      <c r="B601" s="1" t="n">
        <v>45757.65234953703</v>
      </c>
      <c r="C601" s="1" t="n">
        <v>45983</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18110-2025</t>
        </is>
      </c>
      <c r="B602" s="1" t="n">
        <v>45761.56990740741</v>
      </c>
      <c r="C602" s="1" t="n">
        <v>45983</v>
      </c>
      <c r="D602" t="inlineStr">
        <is>
          <t>UPPSALA LÄN</t>
        </is>
      </c>
      <c r="E602" t="inlineStr">
        <is>
          <t>TIERP</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7370-2023</t>
        </is>
      </c>
      <c r="B603" s="1" t="n">
        <v>44971</v>
      </c>
      <c r="C603" s="1" t="n">
        <v>45983</v>
      </c>
      <c r="D603" t="inlineStr">
        <is>
          <t>UPPSALA LÄN</t>
        </is>
      </c>
      <c r="E603" t="inlineStr">
        <is>
          <t>TIERP</t>
        </is>
      </c>
      <c r="G603" t="n">
        <v>2</v>
      </c>
      <c r="H603" t="n">
        <v>0</v>
      </c>
      <c r="I603" t="n">
        <v>0</v>
      </c>
      <c r="J603" t="n">
        <v>0</v>
      </c>
      <c r="K603" t="n">
        <v>0</v>
      </c>
      <c r="L603" t="n">
        <v>0</v>
      </c>
      <c r="M603" t="n">
        <v>0</v>
      </c>
      <c r="N603" t="n">
        <v>0</v>
      </c>
      <c r="O603" t="n">
        <v>0</v>
      </c>
      <c r="P603" t="n">
        <v>0</v>
      </c>
      <c r="Q603" t="n">
        <v>0</v>
      </c>
      <c r="R603" s="2" t="inlineStr"/>
    </row>
    <row r="604" ht="15" customHeight="1">
      <c r="A604" t="inlineStr">
        <is>
          <t>A 43640-2024</t>
        </is>
      </c>
      <c r="B604" s="1" t="n">
        <v>45569</v>
      </c>
      <c r="C604" s="1" t="n">
        <v>45983</v>
      </c>
      <c r="D604" t="inlineStr">
        <is>
          <t>UPPSALA LÄN</t>
        </is>
      </c>
      <c r="E604" t="inlineStr">
        <is>
          <t>TIERP</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25408-2023</t>
        </is>
      </c>
      <c r="B605" s="1" t="n">
        <v>45080</v>
      </c>
      <c r="C605" s="1" t="n">
        <v>45983</v>
      </c>
      <c r="D605" t="inlineStr">
        <is>
          <t>UPPSALA LÄN</t>
        </is>
      </c>
      <c r="E605" t="inlineStr">
        <is>
          <t>TIERP</t>
        </is>
      </c>
      <c r="G605" t="n">
        <v>0.9</v>
      </c>
      <c r="H605" t="n">
        <v>0</v>
      </c>
      <c r="I605" t="n">
        <v>0</v>
      </c>
      <c r="J605" t="n">
        <v>0</v>
      </c>
      <c r="K605" t="n">
        <v>0</v>
      </c>
      <c r="L605" t="n">
        <v>0</v>
      </c>
      <c r="M605" t="n">
        <v>0</v>
      </c>
      <c r="N605" t="n">
        <v>0</v>
      </c>
      <c r="O605" t="n">
        <v>0</v>
      </c>
      <c r="P605" t="n">
        <v>0</v>
      </c>
      <c r="Q605" t="n">
        <v>0</v>
      </c>
      <c r="R605" s="2" t="inlineStr"/>
    </row>
    <row r="606" ht="15" customHeight="1">
      <c r="A606" t="inlineStr">
        <is>
          <t>A 13066-2024</t>
        </is>
      </c>
      <c r="B606" s="1" t="n">
        <v>45385.63880787037</v>
      </c>
      <c r="C606" s="1" t="n">
        <v>45983</v>
      </c>
      <c r="D606" t="inlineStr">
        <is>
          <t>UPPSALA LÄN</t>
        </is>
      </c>
      <c r="E606" t="inlineStr">
        <is>
          <t>TIERP</t>
        </is>
      </c>
      <c r="F606" t="inlineStr">
        <is>
          <t>Bergvik skog öst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6364-2023</t>
        </is>
      </c>
      <c r="B607" s="1" t="n">
        <v>44965.60422453703</v>
      </c>
      <c r="C607" s="1" t="n">
        <v>45983</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59961-2023</t>
        </is>
      </c>
      <c r="B608" s="1" t="n">
        <v>45257</v>
      </c>
      <c r="C608" s="1" t="n">
        <v>45983</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59350-2021</t>
        </is>
      </c>
      <c r="B609" s="1" t="n">
        <v>44491.3346875</v>
      </c>
      <c r="C609" s="1" t="n">
        <v>45983</v>
      </c>
      <c r="D609" t="inlineStr">
        <is>
          <t>UPPSALA LÄN</t>
        </is>
      </c>
      <c r="E609" t="inlineStr">
        <is>
          <t>TIERP</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6048-2023</t>
        </is>
      </c>
      <c r="B610" s="1" t="n">
        <v>44964</v>
      </c>
      <c r="C610" s="1" t="n">
        <v>45983</v>
      </c>
      <c r="D610" t="inlineStr">
        <is>
          <t>UPPSALA LÄN</t>
        </is>
      </c>
      <c r="E610" t="inlineStr">
        <is>
          <t>TIERP</t>
        </is>
      </c>
      <c r="F610" t="inlineStr">
        <is>
          <t>Bergvik skog öst AB</t>
        </is>
      </c>
      <c r="G610" t="n">
        <v>4.4</v>
      </c>
      <c r="H610" t="n">
        <v>0</v>
      </c>
      <c r="I610" t="n">
        <v>0</v>
      </c>
      <c r="J610" t="n">
        <v>0</v>
      </c>
      <c r="K610" t="n">
        <v>0</v>
      </c>
      <c r="L610" t="n">
        <v>0</v>
      </c>
      <c r="M610" t="n">
        <v>0</v>
      </c>
      <c r="N610" t="n">
        <v>0</v>
      </c>
      <c r="O610" t="n">
        <v>0</v>
      </c>
      <c r="P610" t="n">
        <v>0</v>
      </c>
      <c r="Q610" t="n">
        <v>0</v>
      </c>
      <c r="R610" s="2" t="inlineStr"/>
    </row>
    <row r="611" ht="15" customHeight="1">
      <c r="A611" t="inlineStr">
        <is>
          <t>A 6075-2023</t>
        </is>
      </c>
      <c r="B611" s="1" t="n">
        <v>44964.52627314815</v>
      </c>
      <c r="C611" s="1" t="n">
        <v>45983</v>
      </c>
      <c r="D611" t="inlineStr">
        <is>
          <t>UPPSALA LÄN</t>
        </is>
      </c>
      <c r="E611" t="inlineStr">
        <is>
          <t>TIERP</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32665-2023</t>
        </is>
      </c>
      <c r="B612" s="1" t="n">
        <v>45121.63271990741</v>
      </c>
      <c r="C612" s="1" t="n">
        <v>45983</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19380-2025</t>
        </is>
      </c>
      <c r="B613" s="1" t="n">
        <v>45769.65503472222</v>
      </c>
      <c r="C613" s="1" t="n">
        <v>45983</v>
      </c>
      <c r="D613" t="inlineStr">
        <is>
          <t>UPPSALA LÄN</t>
        </is>
      </c>
      <c r="E613" t="inlineStr">
        <is>
          <t>TIERP</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23759-2024</t>
        </is>
      </c>
      <c r="B614" s="1" t="n">
        <v>45455</v>
      </c>
      <c r="C614" s="1" t="n">
        <v>45983</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4531-2023</t>
        </is>
      </c>
      <c r="B615" s="1" t="n">
        <v>44956.62740740741</v>
      </c>
      <c r="C615" s="1" t="n">
        <v>45983</v>
      </c>
      <c r="D615" t="inlineStr">
        <is>
          <t>UPPSALA LÄN</t>
        </is>
      </c>
      <c r="E615" t="inlineStr">
        <is>
          <t>TIERP</t>
        </is>
      </c>
      <c r="G615" t="n">
        <v>1.6</v>
      </c>
      <c r="H615" t="n">
        <v>0</v>
      </c>
      <c r="I615" t="n">
        <v>0</v>
      </c>
      <c r="J615" t="n">
        <v>0</v>
      </c>
      <c r="K615" t="n">
        <v>0</v>
      </c>
      <c r="L615" t="n">
        <v>0</v>
      </c>
      <c r="M615" t="n">
        <v>0</v>
      </c>
      <c r="N615" t="n">
        <v>0</v>
      </c>
      <c r="O615" t="n">
        <v>0</v>
      </c>
      <c r="P615" t="n">
        <v>0</v>
      </c>
      <c r="Q615" t="n">
        <v>0</v>
      </c>
      <c r="R615" s="2" t="inlineStr"/>
    </row>
    <row r="616" ht="15" customHeight="1">
      <c r="A616" t="inlineStr">
        <is>
          <t>A 7352-2023</t>
        </is>
      </c>
      <c r="B616" s="1" t="n">
        <v>44966</v>
      </c>
      <c r="C616" s="1" t="n">
        <v>45983</v>
      </c>
      <c r="D616" t="inlineStr">
        <is>
          <t>UPPSALA LÄN</t>
        </is>
      </c>
      <c r="E616" t="inlineStr">
        <is>
          <t>TIERP</t>
        </is>
      </c>
      <c r="G616" t="n">
        <v>3.5</v>
      </c>
      <c r="H616" t="n">
        <v>0</v>
      </c>
      <c r="I616" t="n">
        <v>0</v>
      </c>
      <c r="J616" t="n">
        <v>0</v>
      </c>
      <c r="K616" t="n">
        <v>0</v>
      </c>
      <c r="L616" t="n">
        <v>0</v>
      </c>
      <c r="M616" t="n">
        <v>0</v>
      </c>
      <c r="N616" t="n">
        <v>0</v>
      </c>
      <c r="O616" t="n">
        <v>0</v>
      </c>
      <c r="P616" t="n">
        <v>0</v>
      </c>
      <c r="Q616" t="n">
        <v>0</v>
      </c>
      <c r="R616" s="2" t="inlineStr"/>
    </row>
    <row r="617" ht="15" customHeight="1">
      <c r="A617" t="inlineStr">
        <is>
          <t>A 11932-2021</t>
        </is>
      </c>
      <c r="B617" s="1" t="n">
        <v>44266.35443287037</v>
      </c>
      <c r="C617" s="1" t="n">
        <v>45983</v>
      </c>
      <c r="D617" t="inlineStr">
        <is>
          <t>UPPSALA LÄN</t>
        </is>
      </c>
      <c r="E617" t="inlineStr">
        <is>
          <t>TIERP</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6288-2023</t>
        </is>
      </c>
      <c r="B618" s="1" t="n">
        <v>44965.42444444444</v>
      </c>
      <c r="C618" s="1" t="n">
        <v>45983</v>
      </c>
      <c r="D618" t="inlineStr">
        <is>
          <t>UPPSALA LÄN</t>
        </is>
      </c>
      <c r="E618" t="inlineStr">
        <is>
          <t>TIERP</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58772-2024</t>
        </is>
      </c>
      <c r="B619" s="1" t="n">
        <v>45635</v>
      </c>
      <c r="C619" s="1" t="n">
        <v>45983</v>
      </c>
      <c r="D619" t="inlineStr">
        <is>
          <t>UPPSALA LÄN</t>
        </is>
      </c>
      <c r="E619" t="inlineStr">
        <is>
          <t>TIERP</t>
        </is>
      </c>
      <c r="G619" t="n">
        <v>4.7</v>
      </c>
      <c r="H619" t="n">
        <v>0</v>
      </c>
      <c r="I619" t="n">
        <v>0</v>
      </c>
      <c r="J619" t="n">
        <v>0</v>
      </c>
      <c r="K619" t="n">
        <v>0</v>
      </c>
      <c r="L619" t="n">
        <v>0</v>
      </c>
      <c r="M619" t="n">
        <v>0</v>
      </c>
      <c r="N619" t="n">
        <v>0</v>
      </c>
      <c r="O619" t="n">
        <v>0</v>
      </c>
      <c r="P619" t="n">
        <v>0</v>
      </c>
      <c r="Q619" t="n">
        <v>0</v>
      </c>
      <c r="R619" s="2" t="inlineStr"/>
    </row>
    <row r="620" ht="15" customHeight="1">
      <c r="A620" t="inlineStr">
        <is>
          <t>A 46512-2024</t>
        </is>
      </c>
      <c r="B620" s="1" t="n">
        <v>45582.62050925926</v>
      </c>
      <c r="C620" s="1" t="n">
        <v>45983</v>
      </c>
      <c r="D620" t="inlineStr">
        <is>
          <t>UPPSALA LÄN</t>
        </is>
      </c>
      <c r="E620" t="inlineStr">
        <is>
          <t>TIERP</t>
        </is>
      </c>
      <c r="G620" t="n">
        <v>6.3</v>
      </c>
      <c r="H620" t="n">
        <v>0</v>
      </c>
      <c r="I620" t="n">
        <v>0</v>
      </c>
      <c r="J620" t="n">
        <v>0</v>
      </c>
      <c r="K620" t="n">
        <v>0</v>
      </c>
      <c r="L620" t="n">
        <v>0</v>
      </c>
      <c r="M620" t="n">
        <v>0</v>
      </c>
      <c r="N620" t="n">
        <v>0</v>
      </c>
      <c r="O620" t="n">
        <v>0</v>
      </c>
      <c r="P620" t="n">
        <v>0</v>
      </c>
      <c r="Q620" t="n">
        <v>0</v>
      </c>
      <c r="R620" s="2" t="inlineStr"/>
    </row>
    <row r="621" ht="15" customHeight="1">
      <c r="A621" t="inlineStr">
        <is>
          <t>A 59658-2024</t>
        </is>
      </c>
      <c r="B621" s="1" t="n">
        <v>45639</v>
      </c>
      <c r="C621" s="1" t="n">
        <v>45983</v>
      </c>
      <c r="D621" t="inlineStr">
        <is>
          <t>UPPSALA LÄN</t>
        </is>
      </c>
      <c r="E621" t="inlineStr">
        <is>
          <t>TIERP</t>
        </is>
      </c>
      <c r="G621" t="n">
        <v>4.9</v>
      </c>
      <c r="H621" t="n">
        <v>0</v>
      </c>
      <c r="I621" t="n">
        <v>0</v>
      </c>
      <c r="J621" t="n">
        <v>0</v>
      </c>
      <c r="K621" t="n">
        <v>0</v>
      </c>
      <c r="L621" t="n">
        <v>0</v>
      </c>
      <c r="M621" t="n">
        <v>0</v>
      </c>
      <c r="N621" t="n">
        <v>0</v>
      </c>
      <c r="O621" t="n">
        <v>0</v>
      </c>
      <c r="P621" t="n">
        <v>0</v>
      </c>
      <c r="Q621" t="n">
        <v>0</v>
      </c>
      <c r="R621" s="2" t="inlineStr"/>
    </row>
    <row r="622" ht="15" customHeight="1">
      <c r="A622" t="inlineStr">
        <is>
          <t>A 41223-2023</t>
        </is>
      </c>
      <c r="B622" s="1" t="n">
        <v>45174</v>
      </c>
      <c r="C622" s="1" t="n">
        <v>45983</v>
      </c>
      <c r="D622" t="inlineStr">
        <is>
          <t>UPPSALA LÄN</t>
        </is>
      </c>
      <c r="E622" t="inlineStr">
        <is>
          <t>TIERP</t>
        </is>
      </c>
      <c r="G622" t="n">
        <v>3.3</v>
      </c>
      <c r="H622" t="n">
        <v>0</v>
      </c>
      <c r="I622" t="n">
        <v>0</v>
      </c>
      <c r="J622" t="n">
        <v>0</v>
      </c>
      <c r="K622" t="n">
        <v>0</v>
      </c>
      <c r="L622" t="n">
        <v>0</v>
      </c>
      <c r="M622" t="n">
        <v>0</v>
      </c>
      <c r="N622" t="n">
        <v>0</v>
      </c>
      <c r="O622" t="n">
        <v>0</v>
      </c>
      <c r="P622" t="n">
        <v>0</v>
      </c>
      <c r="Q622" t="n">
        <v>0</v>
      </c>
      <c r="R622" s="2" t="inlineStr"/>
    </row>
    <row r="623" ht="15" customHeight="1">
      <c r="A623" t="inlineStr">
        <is>
          <t>A 61518-2024</t>
        </is>
      </c>
      <c r="B623" s="1" t="n">
        <v>45646.57768518518</v>
      </c>
      <c r="C623" s="1" t="n">
        <v>45983</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15055-2024</t>
        </is>
      </c>
      <c r="B624" s="1" t="n">
        <v>45399</v>
      </c>
      <c r="C624" s="1" t="n">
        <v>45983</v>
      </c>
      <c r="D624" t="inlineStr">
        <is>
          <t>UPPSALA LÄN</t>
        </is>
      </c>
      <c r="E624" t="inlineStr">
        <is>
          <t>TIERP</t>
        </is>
      </c>
      <c r="G624" t="n">
        <v>2.9</v>
      </c>
      <c r="H624" t="n">
        <v>0</v>
      </c>
      <c r="I624" t="n">
        <v>0</v>
      </c>
      <c r="J624" t="n">
        <v>0</v>
      </c>
      <c r="K624" t="n">
        <v>0</v>
      </c>
      <c r="L624" t="n">
        <v>0</v>
      </c>
      <c r="M624" t="n">
        <v>0</v>
      </c>
      <c r="N624" t="n">
        <v>0</v>
      </c>
      <c r="O624" t="n">
        <v>0</v>
      </c>
      <c r="P624" t="n">
        <v>0</v>
      </c>
      <c r="Q624" t="n">
        <v>0</v>
      </c>
      <c r="R624" s="2" t="inlineStr"/>
    </row>
    <row r="625" ht="15" customHeight="1">
      <c r="A625" t="inlineStr">
        <is>
          <t>A 13687-2024</t>
        </is>
      </c>
      <c r="B625" s="1" t="n">
        <v>45390.5662962963</v>
      </c>
      <c r="C625" s="1" t="n">
        <v>45983</v>
      </c>
      <c r="D625" t="inlineStr">
        <is>
          <t>UPPSALA LÄN</t>
        </is>
      </c>
      <c r="E625" t="inlineStr">
        <is>
          <t>TIERP</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46550-2024</t>
        </is>
      </c>
      <c r="B626" s="1" t="n">
        <v>45582.66524305556</v>
      </c>
      <c r="C626" s="1" t="n">
        <v>45983</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44762-2023</t>
        </is>
      </c>
      <c r="B627" s="1" t="n">
        <v>45190</v>
      </c>
      <c r="C627" s="1" t="n">
        <v>45983</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36902-2024</t>
        </is>
      </c>
      <c r="B628" s="1" t="n">
        <v>45538</v>
      </c>
      <c r="C628" s="1" t="n">
        <v>45983</v>
      </c>
      <c r="D628" t="inlineStr">
        <is>
          <t>UPPSALA LÄN</t>
        </is>
      </c>
      <c r="E628" t="inlineStr">
        <is>
          <t>TIERP</t>
        </is>
      </c>
      <c r="G628" t="n">
        <v>2.3</v>
      </c>
      <c r="H628" t="n">
        <v>0</v>
      </c>
      <c r="I628" t="n">
        <v>0</v>
      </c>
      <c r="J628" t="n">
        <v>0</v>
      </c>
      <c r="K628" t="n">
        <v>0</v>
      </c>
      <c r="L628" t="n">
        <v>0</v>
      </c>
      <c r="M628" t="n">
        <v>0</v>
      </c>
      <c r="N628" t="n">
        <v>0</v>
      </c>
      <c r="O628" t="n">
        <v>0</v>
      </c>
      <c r="P628" t="n">
        <v>0</v>
      </c>
      <c r="Q628" t="n">
        <v>0</v>
      </c>
      <c r="R628" s="2" t="inlineStr"/>
    </row>
    <row r="629" ht="15" customHeight="1">
      <c r="A629" t="inlineStr">
        <is>
          <t>A 55688-2024</t>
        </is>
      </c>
      <c r="B629" s="1" t="n">
        <v>45622.67170138889</v>
      </c>
      <c r="C629" s="1" t="n">
        <v>45983</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14483-2024</t>
        </is>
      </c>
      <c r="B630" s="1" t="n">
        <v>45394</v>
      </c>
      <c r="C630" s="1" t="n">
        <v>45983</v>
      </c>
      <c r="D630" t="inlineStr">
        <is>
          <t>UPPSALA LÄN</t>
        </is>
      </c>
      <c r="E630" t="inlineStr">
        <is>
          <t>TIERP</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58264-2024</t>
        </is>
      </c>
      <c r="B631" s="1" t="n">
        <v>45632.5654050926</v>
      </c>
      <c r="C631" s="1" t="n">
        <v>45983</v>
      </c>
      <c r="D631" t="inlineStr">
        <is>
          <t>UPPSALA LÄN</t>
        </is>
      </c>
      <c r="E631" t="inlineStr">
        <is>
          <t>TIERP</t>
        </is>
      </c>
      <c r="G631" t="n">
        <v>1</v>
      </c>
      <c r="H631" t="n">
        <v>0</v>
      </c>
      <c r="I631" t="n">
        <v>0</v>
      </c>
      <c r="J631" t="n">
        <v>0</v>
      </c>
      <c r="K631" t="n">
        <v>0</v>
      </c>
      <c r="L631" t="n">
        <v>0</v>
      </c>
      <c r="M631" t="n">
        <v>0</v>
      </c>
      <c r="N631" t="n">
        <v>0</v>
      </c>
      <c r="O631" t="n">
        <v>0</v>
      </c>
      <c r="P631" t="n">
        <v>0</v>
      </c>
      <c r="Q631" t="n">
        <v>0</v>
      </c>
      <c r="R631" s="2" t="inlineStr"/>
    </row>
    <row r="632" ht="15" customHeight="1">
      <c r="A632" t="inlineStr">
        <is>
          <t>A 60304-2024</t>
        </is>
      </c>
      <c r="B632" s="1" t="n">
        <v>45643</v>
      </c>
      <c r="C632" s="1" t="n">
        <v>45983</v>
      </c>
      <c r="D632" t="inlineStr">
        <is>
          <t>UPPSALA LÄN</t>
        </is>
      </c>
      <c r="E632" t="inlineStr">
        <is>
          <t>TIERP</t>
        </is>
      </c>
      <c r="F632" t="inlineStr">
        <is>
          <t>Bergvik skog öst AB</t>
        </is>
      </c>
      <c r="G632" t="n">
        <v>3.4</v>
      </c>
      <c r="H632" t="n">
        <v>0</v>
      </c>
      <c r="I632" t="n">
        <v>0</v>
      </c>
      <c r="J632" t="n">
        <v>0</v>
      </c>
      <c r="K632" t="n">
        <v>0</v>
      </c>
      <c r="L632" t="n">
        <v>0</v>
      </c>
      <c r="M632" t="n">
        <v>0</v>
      </c>
      <c r="N632" t="n">
        <v>0</v>
      </c>
      <c r="O632" t="n">
        <v>0</v>
      </c>
      <c r="P632" t="n">
        <v>0</v>
      </c>
      <c r="Q632" t="n">
        <v>0</v>
      </c>
      <c r="R632" s="2" t="inlineStr"/>
    </row>
    <row r="633" ht="15" customHeight="1">
      <c r="A633" t="inlineStr">
        <is>
          <t>A 56173-2024</t>
        </is>
      </c>
      <c r="B633" s="1" t="n">
        <v>45624.55622685186</v>
      </c>
      <c r="C633" s="1" t="n">
        <v>45983</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7732-2025</t>
        </is>
      </c>
      <c r="B634" s="1" t="n">
        <v>45706</v>
      </c>
      <c r="C634" s="1" t="n">
        <v>45983</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28912-2023</t>
        </is>
      </c>
      <c r="B635" s="1" t="n">
        <v>45104.53165509259</v>
      </c>
      <c r="C635" s="1" t="n">
        <v>45983</v>
      </c>
      <c r="D635" t="inlineStr">
        <is>
          <t>UPPSALA LÄN</t>
        </is>
      </c>
      <c r="E635" t="inlineStr">
        <is>
          <t>TIERP</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40624-2023</t>
        </is>
      </c>
      <c r="B636" s="1" t="n">
        <v>45170.52974537037</v>
      </c>
      <c r="C636" s="1" t="n">
        <v>45983</v>
      </c>
      <c r="D636" t="inlineStr">
        <is>
          <t>UPPSALA LÄN</t>
        </is>
      </c>
      <c r="E636" t="inlineStr">
        <is>
          <t>TIERP</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50227-2024</t>
        </is>
      </c>
      <c r="B637" s="1" t="n">
        <v>45600.54467592593</v>
      </c>
      <c r="C637" s="1" t="n">
        <v>45983</v>
      </c>
      <c r="D637" t="inlineStr">
        <is>
          <t>UPPSALA LÄN</t>
        </is>
      </c>
      <c r="E637" t="inlineStr">
        <is>
          <t>TIERP</t>
        </is>
      </c>
      <c r="G637" t="n">
        <v>4.5</v>
      </c>
      <c r="H637" t="n">
        <v>0</v>
      </c>
      <c r="I637" t="n">
        <v>0</v>
      </c>
      <c r="J637" t="n">
        <v>0</v>
      </c>
      <c r="K637" t="n">
        <v>0</v>
      </c>
      <c r="L637" t="n">
        <v>0</v>
      </c>
      <c r="M637" t="n">
        <v>0</v>
      </c>
      <c r="N637" t="n">
        <v>0</v>
      </c>
      <c r="O637" t="n">
        <v>0</v>
      </c>
      <c r="P637" t="n">
        <v>0</v>
      </c>
      <c r="Q637" t="n">
        <v>0</v>
      </c>
      <c r="R637" s="2" t="inlineStr"/>
    </row>
    <row r="638" ht="15" customHeight="1">
      <c r="A638" t="inlineStr">
        <is>
          <t>A 11568-2025</t>
        </is>
      </c>
      <c r="B638" s="1" t="n">
        <v>45727.37728009259</v>
      </c>
      <c r="C638" s="1" t="n">
        <v>45983</v>
      </c>
      <c r="D638" t="inlineStr">
        <is>
          <t>UPPSALA LÄN</t>
        </is>
      </c>
      <c r="E638" t="inlineStr">
        <is>
          <t>TIERP</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7068-2022</t>
        </is>
      </c>
      <c r="B639" s="1" t="n">
        <v>44603</v>
      </c>
      <c r="C639" s="1" t="n">
        <v>45983</v>
      </c>
      <c r="D639" t="inlineStr">
        <is>
          <t>UPPSALA LÄN</t>
        </is>
      </c>
      <c r="E639" t="inlineStr">
        <is>
          <t>TIERP</t>
        </is>
      </c>
      <c r="G639" t="n">
        <v>5.2</v>
      </c>
      <c r="H639" t="n">
        <v>0</v>
      </c>
      <c r="I639" t="n">
        <v>0</v>
      </c>
      <c r="J639" t="n">
        <v>0</v>
      </c>
      <c r="K639" t="n">
        <v>0</v>
      </c>
      <c r="L639" t="n">
        <v>0</v>
      </c>
      <c r="M639" t="n">
        <v>0</v>
      </c>
      <c r="N639" t="n">
        <v>0</v>
      </c>
      <c r="O639" t="n">
        <v>0</v>
      </c>
      <c r="P639" t="n">
        <v>0</v>
      </c>
      <c r="Q639" t="n">
        <v>0</v>
      </c>
      <c r="R639" s="2" t="inlineStr"/>
    </row>
    <row r="640" ht="15" customHeight="1">
      <c r="A640" t="inlineStr">
        <is>
          <t>A 44430-2023</t>
        </is>
      </c>
      <c r="B640" s="1" t="n">
        <v>45189</v>
      </c>
      <c r="C640" s="1" t="n">
        <v>45983</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60011-2024</t>
        </is>
      </c>
      <c r="B641" s="1" t="n">
        <v>45642</v>
      </c>
      <c r="C641" s="1" t="n">
        <v>45983</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13368-2024</t>
        </is>
      </c>
      <c r="B642" s="1" t="n">
        <v>45387</v>
      </c>
      <c r="C642" s="1" t="n">
        <v>45983</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11302-2025</t>
        </is>
      </c>
      <c r="B643" s="1" t="n">
        <v>45726.4434375</v>
      </c>
      <c r="C643" s="1" t="n">
        <v>45983</v>
      </c>
      <c r="D643" t="inlineStr">
        <is>
          <t>UPPSALA LÄN</t>
        </is>
      </c>
      <c r="E643" t="inlineStr">
        <is>
          <t>TIERP</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19026-2025</t>
        </is>
      </c>
      <c r="B644" s="1" t="n">
        <v>45764.63778935185</v>
      </c>
      <c r="C644" s="1" t="n">
        <v>45983</v>
      </c>
      <c r="D644" t="inlineStr">
        <is>
          <t>UPPSALA LÄN</t>
        </is>
      </c>
      <c r="E644" t="inlineStr">
        <is>
          <t>TIERP</t>
        </is>
      </c>
      <c r="F644" t="inlineStr">
        <is>
          <t>Bergvik skog öst AB</t>
        </is>
      </c>
      <c r="G644" t="n">
        <v>3.3</v>
      </c>
      <c r="H644" t="n">
        <v>0</v>
      </c>
      <c r="I644" t="n">
        <v>0</v>
      </c>
      <c r="J644" t="n">
        <v>0</v>
      </c>
      <c r="K644" t="n">
        <v>0</v>
      </c>
      <c r="L644" t="n">
        <v>0</v>
      </c>
      <c r="M644" t="n">
        <v>0</v>
      </c>
      <c r="N644" t="n">
        <v>0</v>
      </c>
      <c r="O644" t="n">
        <v>0</v>
      </c>
      <c r="P644" t="n">
        <v>0</v>
      </c>
      <c r="Q644" t="n">
        <v>0</v>
      </c>
      <c r="R644" s="2" t="inlineStr"/>
    </row>
    <row r="645" ht="15" customHeight="1">
      <c r="A645" t="inlineStr">
        <is>
          <t>A 12449-2022</t>
        </is>
      </c>
      <c r="B645" s="1" t="n">
        <v>44638.40253472222</v>
      </c>
      <c r="C645" s="1" t="n">
        <v>45983</v>
      </c>
      <c r="D645" t="inlineStr">
        <is>
          <t>UPPSALA LÄN</t>
        </is>
      </c>
      <c r="E645" t="inlineStr">
        <is>
          <t>TIERP</t>
        </is>
      </c>
      <c r="G645" t="n">
        <v>1.5</v>
      </c>
      <c r="H645" t="n">
        <v>0</v>
      </c>
      <c r="I645" t="n">
        <v>0</v>
      </c>
      <c r="J645" t="n">
        <v>0</v>
      </c>
      <c r="K645" t="n">
        <v>0</v>
      </c>
      <c r="L645" t="n">
        <v>0</v>
      </c>
      <c r="M645" t="n">
        <v>0</v>
      </c>
      <c r="N645" t="n">
        <v>0</v>
      </c>
      <c r="O645" t="n">
        <v>0</v>
      </c>
      <c r="P645" t="n">
        <v>0</v>
      </c>
      <c r="Q645" t="n">
        <v>0</v>
      </c>
      <c r="R645" s="2" t="inlineStr"/>
    </row>
    <row r="646" ht="15" customHeight="1">
      <c r="A646" t="inlineStr">
        <is>
          <t>A 20750-2023</t>
        </is>
      </c>
      <c r="B646" s="1" t="n">
        <v>45058.53024305555</v>
      </c>
      <c r="C646" s="1" t="n">
        <v>45983</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52380-2023</t>
        </is>
      </c>
      <c r="B647" s="1" t="n">
        <v>45224.79760416667</v>
      </c>
      <c r="C647" s="1" t="n">
        <v>45983</v>
      </c>
      <c r="D647" t="inlineStr">
        <is>
          <t>UPPSALA LÄN</t>
        </is>
      </c>
      <c r="E647" t="inlineStr">
        <is>
          <t>TIERP</t>
        </is>
      </c>
      <c r="G647" t="n">
        <v>1.5</v>
      </c>
      <c r="H647" t="n">
        <v>0</v>
      </c>
      <c r="I647" t="n">
        <v>0</v>
      </c>
      <c r="J647" t="n">
        <v>0</v>
      </c>
      <c r="K647" t="n">
        <v>0</v>
      </c>
      <c r="L647" t="n">
        <v>0</v>
      </c>
      <c r="M647" t="n">
        <v>0</v>
      </c>
      <c r="N647" t="n">
        <v>0</v>
      </c>
      <c r="O647" t="n">
        <v>0</v>
      </c>
      <c r="P647" t="n">
        <v>0</v>
      </c>
      <c r="Q647" t="n">
        <v>0</v>
      </c>
      <c r="R647" s="2" t="inlineStr"/>
    </row>
    <row r="648" ht="15" customHeight="1">
      <c r="A648" t="inlineStr">
        <is>
          <t>A 51756-2023</t>
        </is>
      </c>
      <c r="B648" s="1" t="n">
        <v>45222.6916550926</v>
      </c>
      <c r="C648" s="1" t="n">
        <v>45983</v>
      </c>
      <c r="D648" t="inlineStr">
        <is>
          <t>UPPSALA LÄN</t>
        </is>
      </c>
      <c r="E648" t="inlineStr">
        <is>
          <t>TIERP</t>
        </is>
      </c>
      <c r="G648" t="n">
        <v>0.3</v>
      </c>
      <c r="H648" t="n">
        <v>0</v>
      </c>
      <c r="I648" t="n">
        <v>0</v>
      </c>
      <c r="J648" t="n">
        <v>0</v>
      </c>
      <c r="K648" t="n">
        <v>0</v>
      </c>
      <c r="L648" t="n">
        <v>0</v>
      </c>
      <c r="M648" t="n">
        <v>0</v>
      </c>
      <c r="N648" t="n">
        <v>0</v>
      </c>
      <c r="O648" t="n">
        <v>0</v>
      </c>
      <c r="P648" t="n">
        <v>0</v>
      </c>
      <c r="Q648" t="n">
        <v>0</v>
      </c>
      <c r="R648" s="2" t="inlineStr"/>
    </row>
    <row r="649" ht="15" customHeight="1">
      <c r="A649" t="inlineStr">
        <is>
          <t>A 22901-2023</t>
        </is>
      </c>
      <c r="B649" s="1" t="n">
        <v>45072</v>
      </c>
      <c r="C649" s="1" t="n">
        <v>45983</v>
      </c>
      <c r="D649" t="inlineStr">
        <is>
          <t>UPPSALA LÄN</t>
        </is>
      </c>
      <c r="E649" t="inlineStr">
        <is>
          <t>TIERP</t>
        </is>
      </c>
      <c r="G649" t="n">
        <v>0.2</v>
      </c>
      <c r="H649" t="n">
        <v>0</v>
      </c>
      <c r="I649" t="n">
        <v>0</v>
      </c>
      <c r="J649" t="n">
        <v>0</v>
      </c>
      <c r="K649" t="n">
        <v>0</v>
      </c>
      <c r="L649" t="n">
        <v>0</v>
      </c>
      <c r="M649" t="n">
        <v>0</v>
      </c>
      <c r="N649" t="n">
        <v>0</v>
      </c>
      <c r="O649" t="n">
        <v>0</v>
      </c>
      <c r="P649" t="n">
        <v>0</v>
      </c>
      <c r="Q649" t="n">
        <v>0</v>
      </c>
      <c r="R649" s="2" t="inlineStr"/>
    </row>
    <row r="650" ht="15" customHeight="1">
      <c r="A650" t="inlineStr">
        <is>
          <t>A 5170-2022</t>
        </is>
      </c>
      <c r="B650" s="1" t="n">
        <v>44594.41829861111</v>
      </c>
      <c r="C650" s="1" t="n">
        <v>45983</v>
      </c>
      <c r="D650" t="inlineStr">
        <is>
          <t>UPPSALA LÄN</t>
        </is>
      </c>
      <c r="E650" t="inlineStr">
        <is>
          <t>TIERP</t>
        </is>
      </c>
      <c r="F650" t="inlineStr">
        <is>
          <t>Bergvik skog öst AB</t>
        </is>
      </c>
      <c r="G650" t="n">
        <v>3.5</v>
      </c>
      <c r="H650" t="n">
        <v>0</v>
      </c>
      <c r="I650" t="n">
        <v>0</v>
      </c>
      <c r="J650" t="n">
        <v>0</v>
      </c>
      <c r="K650" t="n">
        <v>0</v>
      </c>
      <c r="L650" t="n">
        <v>0</v>
      </c>
      <c r="M650" t="n">
        <v>0</v>
      </c>
      <c r="N650" t="n">
        <v>0</v>
      </c>
      <c r="O650" t="n">
        <v>0</v>
      </c>
      <c r="P650" t="n">
        <v>0</v>
      </c>
      <c r="Q650" t="n">
        <v>0</v>
      </c>
      <c r="R650" s="2" t="inlineStr"/>
    </row>
    <row r="651" ht="15" customHeight="1">
      <c r="A651" t="inlineStr">
        <is>
          <t>A 6254-2022</t>
        </is>
      </c>
      <c r="B651" s="1" t="n">
        <v>44600.44900462963</v>
      </c>
      <c r="C651" s="1" t="n">
        <v>45983</v>
      </c>
      <c r="D651" t="inlineStr">
        <is>
          <t>UPPSALA LÄN</t>
        </is>
      </c>
      <c r="E651" t="inlineStr">
        <is>
          <t>TIERP</t>
        </is>
      </c>
      <c r="F651" t="inlineStr">
        <is>
          <t>Bergvik skog öst AB</t>
        </is>
      </c>
      <c r="G651" t="n">
        <v>6.1</v>
      </c>
      <c r="H651" t="n">
        <v>0</v>
      </c>
      <c r="I651" t="n">
        <v>0</v>
      </c>
      <c r="J651" t="n">
        <v>0</v>
      </c>
      <c r="K651" t="n">
        <v>0</v>
      </c>
      <c r="L651" t="n">
        <v>0</v>
      </c>
      <c r="M651" t="n">
        <v>0</v>
      </c>
      <c r="N651" t="n">
        <v>0</v>
      </c>
      <c r="O651" t="n">
        <v>0</v>
      </c>
      <c r="P651" t="n">
        <v>0</v>
      </c>
      <c r="Q651" t="n">
        <v>0</v>
      </c>
      <c r="R651" s="2" t="inlineStr"/>
    </row>
    <row r="652" ht="15" customHeight="1">
      <c r="A652" t="inlineStr">
        <is>
          <t>A 7375-2025</t>
        </is>
      </c>
      <c r="B652" s="1" t="n">
        <v>45705.29239583333</v>
      </c>
      <c r="C652" s="1" t="n">
        <v>45983</v>
      </c>
      <c r="D652" t="inlineStr">
        <is>
          <t>UPPSALA LÄN</t>
        </is>
      </c>
      <c r="E652" t="inlineStr">
        <is>
          <t>TIERP</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18039-2024</t>
        </is>
      </c>
      <c r="B653" s="1" t="n">
        <v>45420.36299768519</v>
      </c>
      <c r="C653" s="1" t="n">
        <v>45983</v>
      </c>
      <c r="D653" t="inlineStr">
        <is>
          <t>UPPSALA LÄN</t>
        </is>
      </c>
      <c r="E653" t="inlineStr">
        <is>
          <t>TIERP</t>
        </is>
      </c>
      <c r="G653" t="n">
        <v>2.8</v>
      </c>
      <c r="H653" t="n">
        <v>0</v>
      </c>
      <c r="I653" t="n">
        <v>0</v>
      </c>
      <c r="J653" t="n">
        <v>0</v>
      </c>
      <c r="K653" t="n">
        <v>0</v>
      </c>
      <c r="L653" t="n">
        <v>0</v>
      </c>
      <c r="M653" t="n">
        <v>0</v>
      </c>
      <c r="N653" t="n">
        <v>0</v>
      </c>
      <c r="O653" t="n">
        <v>0</v>
      </c>
      <c r="P653" t="n">
        <v>0</v>
      </c>
      <c r="Q653" t="n">
        <v>0</v>
      </c>
      <c r="R653" s="2" t="inlineStr"/>
    </row>
    <row r="654" ht="15" customHeight="1">
      <c r="A654" t="inlineStr">
        <is>
          <t>A 18060-2025</t>
        </is>
      </c>
      <c r="B654" s="1" t="n">
        <v>45761</v>
      </c>
      <c r="C654" s="1" t="n">
        <v>45983</v>
      </c>
      <c r="D654" t="inlineStr">
        <is>
          <t>UPPSALA LÄN</t>
        </is>
      </c>
      <c r="E654" t="inlineStr">
        <is>
          <t>TIERP</t>
        </is>
      </c>
      <c r="F654" t="inlineStr">
        <is>
          <t>Bergvik skog väst AB</t>
        </is>
      </c>
      <c r="G654" t="n">
        <v>0.3</v>
      </c>
      <c r="H654" t="n">
        <v>0</v>
      </c>
      <c r="I654" t="n">
        <v>0</v>
      </c>
      <c r="J654" t="n">
        <v>0</v>
      </c>
      <c r="K654" t="n">
        <v>0</v>
      </c>
      <c r="L654" t="n">
        <v>0</v>
      </c>
      <c r="M654" t="n">
        <v>0</v>
      </c>
      <c r="N654" t="n">
        <v>0</v>
      </c>
      <c r="O654" t="n">
        <v>0</v>
      </c>
      <c r="P654" t="n">
        <v>0</v>
      </c>
      <c r="Q654" t="n">
        <v>0</v>
      </c>
      <c r="R654" s="2" t="inlineStr"/>
    </row>
    <row r="655" ht="15" customHeight="1">
      <c r="A655" t="inlineStr">
        <is>
          <t>A 18130-2022</t>
        </is>
      </c>
      <c r="B655" s="1" t="n">
        <v>44684.56060185185</v>
      </c>
      <c r="C655" s="1" t="n">
        <v>45983</v>
      </c>
      <c r="D655" t="inlineStr">
        <is>
          <t>UPPSALA LÄN</t>
        </is>
      </c>
      <c r="E655" t="inlineStr">
        <is>
          <t>TIERP</t>
        </is>
      </c>
      <c r="G655" t="n">
        <v>7.6</v>
      </c>
      <c r="H655" t="n">
        <v>0</v>
      </c>
      <c r="I655" t="n">
        <v>0</v>
      </c>
      <c r="J655" t="n">
        <v>0</v>
      </c>
      <c r="K655" t="n">
        <v>0</v>
      </c>
      <c r="L655" t="n">
        <v>0</v>
      </c>
      <c r="M655" t="n">
        <v>0</v>
      </c>
      <c r="N655" t="n">
        <v>0</v>
      </c>
      <c r="O655" t="n">
        <v>0</v>
      </c>
      <c r="P655" t="n">
        <v>0</v>
      </c>
      <c r="Q655" t="n">
        <v>0</v>
      </c>
      <c r="R655" s="2" t="inlineStr"/>
    </row>
    <row r="656" ht="15" customHeight="1">
      <c r="A656" t="inlineStr">
        <is>
          <t>A 16253-2022</t>
        </is>
      </c>
      <c r="B656" s="1" t="n">
        <v>44670</v>
      </c>
      <c r="C656" s="1" t="n">
        <v>45983</v>
      </c>
      <c r="D656" t="inlineStr">
        <is>
          <t>UPPSALA LÄN</t>
        </is>
      </c>
      <c r="E656" t="inlineStr">
        <is>
          <t>TIERP</t>
        </is>
      </c>
      <c r="G656" t="n">
        <v>1</v>
      </c>
      <c r="H656" t="n">
        <v>0</v>
      </c>
      <c r="I656" t="n">
        <v>0</v>
      </c>
      <c r="J656" t="n">
        <v>0</v>
      </c>
      <c r="K656" t="n">
        <v>0</v>
      </c>
      <c r="L656" t="n">
        <v>0</v>
      </c>
      <c r="M656" t="n">
        <v>0</v>
      </c>
      <c r="N656" t="n">
        <v>0</v>
      </c>
      <c r="O656" t="n">
        <v>0</v>
      </c>
      <c r="P656" t="n">
        <v>0</v>
      </c>
      <c r="Q656" t="n">
        <v>0</v>
      </c>
      <c r="R656" s="2" t="inlineStr"/>
    </row>
    <row r="657" ht="15" customHeight="1">
      <c r="A657" t="inlineStr">
        <is>
          <t>A 14116-2024</t>
        </is>
      </c>
      <c r="B657" s="1" t="n">
        <v>45392.64703703704</v>
      </c>
      <c r="C657" s="1" t="n">
        <v>45983</v>
      </c>
      <c r="D657" t="inlineStr">
        <is>
          <t>UPPSALA LÄN</t>
        </is>
      </c>
      <c r="E657" t="inlineStr">
        <is>
          <t>TIERP</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18885-2025</t>
        </is>
      </c>
      <c r="B658" s="1" t="n">
        <v>45764.44233796297</v>
      </c>
      <c r="C658" s="1" t="n">
        <v>45983</v>
      </c>
      <c r="D658" t="inlineStr">
        <is>
          <t>UPPSALA LÄN</t>
        </is>
      </c>
      <c r="E658" t="inlineStr">
        <is>
          <t>TIERP</t>
        </is>
      </c>
      <c r="F658" t="inlineStr">
        <is>
          <t>Bergvik skog öst AB</t>
        </is>
      </c>
      <c r="G658" t="n">
        <v>4.7</v>
      </c>
      <c r="H658" t="n">
        <v>0</v>
      </c>
      <c r="I658" t="n">
        <v>0</v>
      </c>
      <c r="J658" t="n">
        <v>0</v>
      </c>
      <c r="K658" t="n">
        <v>0</v>
      </c>
      <c r="L658" t="n">
        <v>0</v>
      </c>
      <c r="M658" t="n">
        <v>0</v>
      </c>
      <c r="N658" t="n">
        <v>0</v>
      </c>
      <c r="O658" t="n">
        <v>0</v>
      </c>
      <c r="P658" t="n">
        <v>0</v>
      </c>
      <c r="Q658" t="n">
        <v>0</v>
      </c>
      <c r="R658" s="2" t="inlineStr"/>
    </row>
    <row r="659" ht="15" customHeight="1">
      <c r="A659" t="inlineStr">
        <is>
          <t>A 39928-2023</t>
        </is>
      </c>
      <c r="B659" s="1" t="n">
        <v>45167</v>
      </c>
      <c r="C659" s="1" t="n">
        <v>45983</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36561-2022</t>
        </is>
      </c>
      <c r="B660" s="1" t="n">
        <v>44804</v>
      </c>
      <c r="C660" s="1" t="n">
        <v>45983</v>
      </c>
      <c r="D660" t="inlineStr">
        <is>
          <t>UPPSALA LÄN</t>
        </is>
      </c>
      <c r="E660" t="inlineStr">
        <is>
          <t>TIERP</t>
        </is>
      </c>
      <c r="G660" t="n">
        <v>4.6</v>
      </c>
      <c r="H660" t="n">
        <v>0</v>
      </c>
      <c r="I660" t="n">
        <v>0</v>
      </c>
      <c r="J660" t="n">
        <v>0</v>
      </c>
      <c r="K660" t="n">
        <v>0</v>
      </c>
      <c r="L660" t="n">
        <v>0</v>
      </c>
      <c r="M660" t="n">
        <v>0</v>
      </c>
      <c r="N660" t="n">
        <v>0</v>
      </c>
      <c r="O660" t="n">
        <v>0</v>
      </c>
      <c r="P660" t="n">
        <v>0</v>
      </c>
      <c r="Q660" t="n">
        <v>0</v>
      </c>
      <c r="R660" s="2" t="inlineStr"/>
    </row>
    <row r="661" ht="15" customHeight="1">
      <c r="A661" t="inlineStr">
        <is>
          <t>A 20997-2022</t>
        </is>
      </c>
      <c r="B661" s="1" t="n">
        <v>44701</v>
      </c>
      <c r="C661" s="1" t="n">
        <v>45983</v>
      </c>
      <c r="D661" t="inlineStr">
        <is>
          <t>UPPSALA LÄN</t>
        </is>
      </c>
      <c r="E661" t="inlineStr">
        <is>
          <t>TIERP</t>
        </is>
      </c>
      <c r="F661" t="inlineStr">
        <is>
          <t>Bergvik skog väst AB</t>
        </is>
      </c>
      <c r="G661" t="n">
        <v>40</v>
      </c>
      <c r="H661" t="n">
        <v>0</v>
      </c>
      <c r="I661" t="n">
        <v>0</v>
      </c>
      <c r="J661" t="n">
        <v>0</v>
      </c>
      <c r="K661" t="n">
        <v>0</v>
      </c>
      <c r="L661" t="n">
        <v>0</v>
      </c>
      <c r="M661" t="n">
        <v>0</v>
      </c>
      <c r="N661" t="n">
        <v>0</v>
      </c>
      <c r="O661" t="n">
        <v>0</v>
      </c>
      <c r="P661" t="n">
        <v>0</v>
      </c>
      <c r="Q661" t="n">
        <v>0</v>
      </c>
      <c r="R661" s="2" t="inlineStr"/>
    </row>
    <row r="662" ht="15" customHeight="1">
      <c r="A662" t="inlineStr">
        <is>
          <t>A 39802-2022</t>
        </is>
      </c>
      <c r="B662" s="1" t="n">
        <v>44819.52074074074</v>
      </c>
      <c r="C662" s="1" t="n">
        <v>45983</v>
      </c>
      <c r="D662" t="inlineStr">
        <is>
          <t>UPPSALA LÄN</t>
        </is>
      </c>
      <c r="E662" t="inlineStr">
        <is>
          <t>TIERP</t>
        </is>
      </c>
      <c r="G662" t="n">
        <v>5.8</v>
      </c>
      <c r="H662" t="n">
        <v>0</v>
      </c>
      <c r="I662" t="n">
        <v>0</v>
      </c>
      <c r="J662" t="n">
        <v>0</v>
      </c>
      <c r="K662" t="n">
        <v>0</v>
      </c>
      <c r="L662" t="n">
        <v>0</v>
      </c>
      <c r="M662" t="n">
        <v>0</v>
      </c>
      <c r="N662" t="n">
        <v>0</v>
      </c>
      <c r="O662" t="n">
        <v>0</v>
      </c>
      <c r="P662" t="n">
        <v>0</v>
      </c>
      <c r="Q662" t="n">
        <v>0</v>
      </c>
      <c r="R662" s="2" t="inlineStr"/>
    </row>
    <row r="663" ht="15" customHeight="1">
      <c r="A663" t="inlineStr">
        <is>
          <t>A 25476-2022</t>
        </is>
      </c>
      <c r="B663" s="1" t="n">
        <v>44732</v>
      </c>
      <c r="C663" s="1" t="n">
        <v>45983</v>
      </c>
      <c r="D663" t="inlineStr">
        <is>
          <t>UPPSALA LÄN</t>
        </is>
      </c>
      <c r="E663" t="inlineStr">
        <is>
          <t>TIERP</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19523-2025</t>
        </is>
      </c>
      <c r="B664" s="1" t="n">
        <v>45770.45944444444</v>
      </c>
      <c r="C664" s="1" t="n">
        <v>45983</v>
      </c>
      <c r="D664" t="inlineStr">
        <is>
          <t>UPPSALA LÄN</t>
        </is>
      </c>
      <c r="E664" t="inlineStr">
        <is>
          <t>TIERP</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56946-2023</t>
        </is>
      </c>
      <c r="B665" s="1" t="n">
        <v>45244.6134837963</v>
      </c>
      <c r="C665" s="1" t="n">
        <v>45983</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48735-2023</t>
        </is>
      </c>
      <c r="B666" s="1" t="n">
        <v>45203</v>
      </c>
      <c r="C666" s="1" t="n">
        <v>45983</v>
      </c>
      <c r="D666" t="inlineStr">
        <is>
          <t>UPPSALA LÄN</t>
        </is>
      </c>
      <c r="E666" t="inlineStr">
        <is>
          <t>TIERP</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43605-2023</t>
        </is>
      </c>
      <c r="B667" s="1" t="n">
        <v>45181</v>
      </c>
      <c r="C667" s="1" t="n">
        <v>45983</v>
      </c>
      <c r="D667" t="inlineStr">
        <is>
          <t>UPPSALA LÄN</t>
        </is>
      </c>
      <c r="E667" t="inlineStr">
        <is>
          <t>TIERP</t>
        </is>
      </c>
      <c r="G667" t="n">
        <v>2.5</v>
      </c>
      <c r="H667" t="n">
        <v>0</v>
      </c>
      <c r="I667" t="n">
        <v>0</v>
      </c>
      <c r="J667" t="n">
        <v>0</v>
      </c>
      <c r="K667" t="n">
        <v>0</v>
      </c>
      <c r="L667" t="n">
        <v>0</v>
      </c>
      <c r="M667" t="n">
        <v>0</v>
      </c>
      <c r="N667" t="n">
        <v>0</v>
      </c>
      <c r="O667" t="n">
        <v>0</v>
      </c>
      <c r="P667" t="n">
        <v>0</v>
      </c>
      <c r="Q667" t="n">
        <v>0</v>
      </c>
      <c r="R667" s="2" t="inlineStr"/>
    </row>
    <row r="668" ht="15" customHeight="1">
      <c r="A668" t="inlineStr">
        <is>
          <t>A 36561-2022</t>
        </is>
      </c>
      <c r="B668" s="1" t="n">
        <v>44804</v>
      </c>
      <c r="C668" s="1" t="n">
        <v>45983</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row>
    <row r="669" ht="15" customHeight="1">
      <c r="A669" t="inlineStr">
        <is>
          <t>A 26656-2022</t>
        </is>
      </c>
      <c r="B669" s="1" t="n">
        <v>44739</v>
      </c>
      <c r="C669" s="1" t="n">
        <v>45983</v>
      </c>
      <c r="D669" t="inlineStr">
        <is>
          <t>UPPSALA LÄN</t>
        </is>
      </c>
      <c r="E669" t="inlineStr">
        <is>
          <t>TIERP</t>
        </is>
      </c>
      <c r="G669" t="n">
        <v>2.8</v>
      </c>
      <c r="H669" t="n">
        <v>0</v>
      </c>
      <c r="I669" t="n">
        <v>0</v>
      </c>
      <c r="J669" t="n">
        <v>0</v>
      </c>
      <c r="K669" t="n">
        <v>0</v>
      </c>
      <c r="L669" t="n">
        <v>0</v>
      </c>
      <c r="M669" t="n">
        <v>0</v>
      </c>
      <c r="N669" t="n">
        <v>0</v>
      </c>
      <c r="O669" t="n">
        <v>0</v>
      </c>
      <c r="P669" t="n">
        <v>0</v>
      </c>
      <c r="Q669" t="n">
        <v>0</v>
      </c>
      <c r="R669" s="2" t="inlineStr"/>
    </row>
    <row r="670" ht="15" customHeight="1">
      <c r="A670" t="inlineStr">
        <is>
          <t>A 20552-2025</t>
        </is>
      </c>
      <c r="B670" s="1" t="n">
        <v>45775.63877314814</v>
      </c>
      <c r="C670" s="1" t="n">
        <v>45983</v>
      </c>
      <c r="D670" t="inlineStr">
        <is>
          <t>UPPSALA LÄN</t>
        </is>
      </c>
      <c r="E670" t="inlineStr">
        <is>
          <t>TIERP</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19339-2025</t>
        </is>
      </c>
      <c r="B671" s="1" t="n">
        <v>45769.59454861111</v>
      </c>
      <c r="C671" s="1" t="n">
        <v>45983</v>
      </c>
      <c r="D671" t="inlineStr">
        <is>
          <t>UPPSALA LÄN</t>
        </is>
      </c>
      <c r="E671" t="inlineStr">
        <is>
          <t>TIERP</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19138-2025</t>
        </is>
      </c>
      <c r="B672" s="1" t="n">
        <v>45769.3231712963</v>
      </c>
      <c r="C672" s="1" t="n">
        <v>45983</v>
      </c>
      <c r="D672" t="inlineStr">
        <is>
          <t>UPPSALA LÄN</t>
        </is>
      </c>
      <c r="E672" t="inlineStr">
        <is>
          <t>TIERP</t>
        </is>
      </c>
      <c r="G672" t="n">
        <v>1.1</v>
      </c>
      <c r="H672" t="n">
        <v>0</v>
      </c>
      <c r="I672" t="n">
        <v>0</v>
      </c>
      <c r="J672" t="n">
        <v>0</v>
      </c>
      <c r="K672" t="n">
        <v>0</v>
      </c>
      <c r="L672" t="n">
        <v>0</v>
      </c>
      <c r="M672" t="n">
        <v>0</v>
      </c>
      <c r="N672" t="n">
        <v>0</v>
      </c>
      <c r="O672" t="n">
        <v>0</v>
      </c>
      <c r="P672" t="n">
        <v>0</v>
      </c>
      <c r="Q672" t="n">
        <v>0</v>
      </c>
      <c r="R672" s="2" t="inlineStr"/>
    </row>
    <row r="673" ht="15" customHeight="1">
      <c r="A673" t="inlineStr">
        <is>
          <t>A 14516-2025</t>
        </is>
      </c>
      <c r="B673" s="1" t="n">
        <v>45741.6415162037</v>
      </c>
      <c r="C673" s="1" t="n">
        <v>45983</v>
      </c>
      <c r="D673" t="inlineStr">
        <is>
          <t>UPPSALA LÄN</t>
        </is>
      </c>
      <c r="E673" t="inlineStr">
        <is>
          <t>TIERP</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10550-2024</t>
        </is>
      </c>
      <c r="B674" s="1" t="n">
        <v>45366.5775462963</v>
      </c>
      <c r="C674" s="1" t="n">
        <v>45983</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ht="15" customHeight="1">
      <c r="A675" t="inlineStr">
        <is>
          <t>A 30742-2021</t>
        </is>
      </c>
      <c r="B675" s="1" t="n">
        <v>44365</v>
      </c>
      <c r="C675" s="1" t="n">
        <v>45983</v>
      </c>
      <c r="D675" t="inlineStr">
        <is>
          <t>UPPSALA LÄN</t>
        </is>
      </c>
      <c r="E675" t="inlineStr">
        <is>
          <t>TIERP</t>
        </is>
      </c>
      <c r="F675" t="inlineStr">
        <is>
          <t>Bergvik skog väst AB</t>
        </is>
      </c>
      <c r="G675" t="n">
        <v>6.5</v>
      </c>
      <c r="H675" t="n">
        <v>0</v>
      </c>
      <c r="I675" t="n">
        <v>0</v>
      </c>
      <c r="J675" t="n">
        <v>0</v>
      </c>
      <c r="K675" t="n">
        <v>0</v>
      </c>
      <c r="L675" t="n">
        <v>0</v>
      </c>
      <c r="M675" t="n">
        <v>0</v>
      </c>
      <c r="N675" t="n">
        <v>0</v>
      </c>
      <c r="O675" t="n">
        <v>0</v>
      </c>
      <c r="P675" t="n">
        <v>0</v>
      </c>
      <c r="Q675" t="n">
        <v>0</v>
      </c>
      <c r="R675" s="2" t="inlineStr"/>
    </row>
    <row r="676" ht="15" customHeight="1">
      <c r="A676" t="inlineStr">
        <is>
          <t>A 3503-2024</t>
        </is>
      </c>
      <c r="B676" s="1" t="n">
        <v>45320</v>
      </c>
      <c r="C676" s="1" t="n">
        <v>45983</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12809-2025</t>
        </is>
      </c>
      <c r="B677" s="1" t="n">
        <v>45733.6156712963</v>
      </c>
      <c r="C677" s="1" t="n">
        <v>45983</v>
      </c>
      <c r="D677" t="inlineStr">
        <is>
          <t>UPPSALA LÄN</t>
        </is>
      </c>
      <c r="E677" t="inlineStr">
        <is>
          <t>TIERP</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32190-2022</t>
        </is>
      </c>
      <c r="B678" s="1" t="n">
        <v>44781.3843287037</v>
      </c>
      <c r="C678" s="1" t="n">
        <v>45983</v>
      </c>
      <c r="D678" t="inlineStr">
        <is>
          <t>UPPSALA LÄN</t>
        </is>
      </c>
      <c r="E678" t="inlineStr">
        <is>
          <t>TIERP</t>
        </is>
      </c>
      <c r="G678" t="n">
        <v>3.1</v>
      </c>
      <c r="H678" t="n">
        <v>0</v>
      </c>
      <c r="I678" t="n">
        <v>0</v>
      </c>
      <c r="J678" t="n">
        <v>0</v>
      </c>
      <c r="K678" t="n">
        <v>0</v>
      </c>
      <c r="L678" t="n">
        <v>0</v>
      </c>
      <c r="M678" t="n">
        <v>0</v>
      </c>
      <c r="N678" t="n">
        <v>0</v>
      </c>
      <c r="O678" t="n">
        <v>0</v>
      </c>
      <c r="P678" t="n">
        <v>0</v>
      </c>
      <c r="Q678" t="n">
        <v>0</v>
      </c>
      <c r="R678" s="2" t="inlineStr"/>
    </row>
    <row r="679" ht="15" customHeight="1">
      <c r="A679" t="inlineStr">
        <is>
          <t>A 63649-2023</t>
        </is>
      </c>
      <c r="B679" s="1" t="n">
        <v>45275.59357638889</v>
      </c>
      <c r="C679" s="1" t="n">
        <v>45983</v>
      </c>
      <c r="D679" t="inlineStr">
        <is>
          <t>UPPSALA LÄN</t>
        </is>
      </c>
      <c r="E679" t="inlineStr">
        <is>
          <t>TIERP</t>
        </is>
      </c>
      <c r="G679" t="n">
        <v>1.4</v>
      </c>
      <c r="H679" t="n">
        <v>0</v>
      </c>
      <c r="I679" t="n">
        <v>0</v>
      </c>
      <c r="J679" t="n">
        <v>0</v>
      </c>
      <c r="K679" t="n">
        <v>0</v>
      </c>
      <c r="L679" t="n">
        <v>0</v>
      </c>
      <c r="M679" t="n">
        <v>0</v>
      </c>
      <c r="N679" t="n">
        <v>0</v>
      </c>
      <c r="O679" t="n">
        <v>0</v>
      </c>
      <c r="P679" t="n">
        <v>0</v>
      </c>
      <c r="Q679" t="n">
        <v>0</v>
      </c>
      <c r="R679" s="2" t="inlineStr"/>
    </row>
    <row r="680" ht="15" customHeight="1">
      <c r="A680" t="inlineStr">
        <is>
          <t>A 13509-2025</t>
        </is>
      </c>
      <c r="B680" s="1" t="n">
        <v>45736.46944444445</v>
      </c>
      <c r="C680" s="1" t="n">
        <v>45983</v>
      </c>
      <c r="D680" t="inlineStr">
        <is>
          <t>UPPSALA LÄN</t>
        </is>
      </c>
      <c r="E680" t="inlineStr">
        <is>
          <t>TIERP</t>
        </is>
      </c>
      <c r="F680" t="inlineStr">
        <is>
          <t>Bergvik skog väst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408-2024</t>
        </is>
      </c>
      <c r="B681" s="1" t="n">
        <v>45296</v>
      </c>
      <c r="C681" s="1" t="n">
        <v>45983</v>
      </c>
      <c r="D681" t="inlineStr">
        <is>
          <t>UPPSALA LÄN</t>
        </is>
      </c>
      <c r="E681" t="inlineStr">
        <is>
          <t>TIERP</t>
        </is>
      </c>
      <c r="G681" t="n">
        <v>2</v>
      </c>
      <c r="H681" t="n">
        <v>0</v>
      </c>
      <c r="I681" t="n">
        <v>0</v>
      </c>
      <c r="J681" t="n">
        <v>0</v>
      </c>
      <c r="K681" t="n">
        <v>0</v>
      </c>
      <c r="L681" t="n">
        <v>0</v>
      </c>
      <c r="M681" t="n">
        <v>0</v>
      </c>
      <c r="N681" t="n">
        <v>0</v>
      </c>
      <c r="O681" t="n">
        <v>0</v>
      </c>
      <c r="P681" t="n">
        <v>0</v>
      </c>
      <c r="Q681" t="n">
        <v>0</v>
      </c>
      <c r="R681" s="2" t="inlineStr"/>
    </row>
    <row r="682" ht="15" customHeight="1">
      <c r="A682" t="inlineStr">
        <is>
          <t>A 59597-2024</t>
        </is>
      </c>
      <c r="B682" s="1" t="n">
        <v>45638</v>
      </c>
      <c r="C682" s="1" t="n">
        <v>45983</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13356-2024</t>
        </is>
      </c>
      <c r="B683" s="1" t="n">
        <v>45387.34152777777</v>
      </c>
      <c r="C683" s="1" t="n">
        <v>45983</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49111-2024</t>
        </is>
      </c>
      <c r="B684" s="1" t="n">
        <v>45594.65586805555</v>
      </c>
      <c r="C684" s="1" t="n">
        <v>45983</v>
      </c>
      <c r="D684" t="inlineStr">
        <is>
          <t>UPPSALA LÄN</t>
        </is>
      </c>
      <c r="E684" t="inlineStr">
        <is>
          <t>TIERP</t>
        </is>
      </c>
      <c r="G684" t="n">
        <v>1.9</v>
      </c>
      <c r="H684" t="n">
        <v>0</v>
      </c>
      <c r="I684" t="n">
        <v>0</v>
      </c>
      <c r="J684" t="n">
        <v>0</v>
      </c>
      <c r="K684" t="n">
        <v>0</v>
      </c>
      <c r="L684" t="n">
        <v>0</v>
      </c>
      <c r="M684" t="n">
        <v>0</v>
      </c>
      <c r="N684" t="n">
        <v>0</v>
      </c>
      <c r="O684" t="n">
        <v>0</v>
      </c>
      <c r="P684" t="n">
        <v>0</v>
      </c>
      <c r="Q684" t="n">
        <v>0</v>
      </c>
      <c r="R684" s="2" t="inlineStr"/>
    </row>
    <row r="685" ht="15" customHeight="1">
      <c r="A685" t="inlineStr">
        <is>
          <t>A 49946-2022</t>
        </is>
      </c>
      <c r="B685" s="1" t="n">
        <v>44865</v>
      </c>
      <c r="C685" s="1" t="n">
        <v>45983</v>
      </c>
      <c r="D685" t="inlineStr">
        <is>
          <t>UPPSALA LÄN</t>
        </is>
      </c>
      <c r="E685" t="inlineStr">
        <is>
          <t>TIERP</t>
        </is>
      </c>
      <c r="G685" t="n">
        <v>1</v>
      </c>
      <c r="H685" t="n">
        <v>0</v>
      </c>
      <c r="I685" t="n">
        <v>0</v>
      </c>
      <c r="J685" t="n">
        <v>0</v>
      </c>
      <c r="K685" t="n">
        <v>0</v>
      </c>
      <c r="L685" t="n">
        <v>0</v>
      </c>
      <c r="M685" t="n">
        <v>0</v>
      </c>
      <c r="N685" t="n">
        <v>0</v>
      </c>
      <c r="O685" t="n">
        <v>0</v>
      </c>
      <c r="P685" t="n">
        <v>0</v>
      </c>
      <c r="Q685" t="n">
        <v>0</v>
      </c>
      <c r="R685" s="2" t="inlineStr"/>
    </row>
    <row r="686" ht="15" customHeight="1">
      <c r="A686" t="inlineStr">
        <is>
          <t>A 26771-2024</t>
        </is>
      </c>
      <c r="B686" s="1" t="n">
        <v>45470</v>
      </c>
      <c r="C686" s="1" t="n">
        <v>45983</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48486-2022</t>
        </is>
      </c>
      <c r="B687" s="1" t="n">
        <v>44858.783125</v>
      </c>
      <c r="C687" s="1" t="n">
        <v>45983</v>
      </c>
      <c r="D687" t="inlineStr">
        <is>
          <t>UPPSALA LÄN</t>
        </is>
      </c>
      <c r="E687" t="inlineStr">
        <is>
          <t>TIERP</t>
        </is>
      </c>
      <c r="G687" t="n">
        <v>1.4</v>
      </c>
      <c r="H687" t="n">
        <v>0</v>
      </c>
      <c r="I687" t="n">
        <v>0</v>
      </c>
      <c r="J687" t="n">
        <v>0</v>
      </c>
      <c r="K687" t="n">
        <v>0</v>
      </c>
      <c r="L687" t="n">
        <v>0</v>
      </c>
      <c r="M687" t="n">
        <v>0</v>
      </c>
      <c r="N687" t="n">
        <v>0</v>
      </c>
      <c r="O687" t="n">
        <v>0</v>
      </c>
      <c r="P687" t="n">
        <v>0</v>
      </c>
      <c r="Q687" t="n">
        <v>0</v>
      </c>
      <c r="R687" s="2" t="inlineStr"/>
    </row>
    <row r="688" ht="15" customHeight="1">
      <c r="A688" t="inlineStr">
        <is>
          <t>A 12657-2025</t>
        </is>
      </c>
      <c r="B688" s="1" t="n">
        <v>45733.42229166667</v>
      </c>
      <c r="C688" s="1" t="n">
        <v>45983</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12662-2025</t>
        </is>
      </c>
      <c r="B689" s="1" t="n">
        <v>45733.42510416666</v>
      </c>
      <c r="C689" s="1" t="n">
        <v>45983</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49061-2021</t>
        </is>
      </c>
      <c r="B690" s="1" t="n">
        <v>44453.60243055555</v>
      </c>
      <c r="C690" s="1" t="n">
        <v>45983</v>
      </c>
      <c r="D690" t="inlineStr">
        <is>
          <t>UPPSALA LÄN</t>
        </is>
      </c>
      <c r="E690" t="inlineStr">
        <is>
          <t>TIERP</t>
        </is>
      </c>
      <c r="G690" t="n">
        <v>2.6</v>
      </c>
      <c r="H690" t="n">
        <v>0</v>
      </c>
      <c r="I690" t="n">
        <v>0</v>
      </c>
      <c r="J690" t="n">
        <v>0</v>
      </c>
      <c r="K690" t="n">
        <v>0</v>
      </c>
      <c r="L690" t="n">
        <v>0</v>
      </c>
      <c r="M690" t="n">
        <v>0</v>
      </c>
      <c r="N690" t="n">
        <v>0</v>
      </c>
      <c r="O690" t="n">
        <v>0</v>
      </c>
      <c r="P690" t="n">
        <v>0</v>
      </c>
      <c r="Q690" t="n">
        <v>0</v>
      </c>
      <c r="R690" s="2" t="inlineStr"/>
    </row>
    <row r="691" ht="15" customHeight="1">
      <c r="A691" t="inlineStr">
        <is>
          <t>A 59731-2022</t>
        </is>
      </c>
      <c r="B691" s="1" t="n">
        <v>44908</v>
      </c>
      <c r="C691" s="1" t="n">
        <v>45983</v>
      </c>
      <c r="D691" t="inlineStr">
        <is>
          <t>UPPSALA LÄN</t>
        </is>
      </c>
      <c r="E691" t="inlineStr">
        <is>
          <t>TIERP</t>
        </is>
      </c>
      <c r="F691" t="inlineStr">
        <is>
          <t>Kyrkan</t>
        </is>
      </c>
      <c r="G691" t="n">
        <v>0.4</v>
      </c>
      <c r="H691" t="n">
        <v>0</v>
      </c>
      <c r="I691" t="n">
        <v>0</v>
      </c>
      <c r="J691" t="n">
        <v>0</v>
      </c>
      <c r="K691" t="n">
        <v>0</v>
      </c>
      <c r="L691" t="n">
        <v>0</v>
      </c>
      <c r="M691" t="n">
        <v>0</v>
      </c>
      <c r="N691" t="n">
        <v>0</v>
      </c>
      <c r="O691" t="n">
        <v>0</v>
      </c>
      <c r="P691" t="n">
        <v>0</v>
      </c>
      <c r="Q691" t="n">
        <v>0</v>
      </c>
      <c r="R691" s="2" t="inlineStr"/>
    </row>
    <row r="692" ht="15" customHeight="1">
      <c r="A692" t="inlineStr">
        <is>
          <t>A 7591-2023</t>
        </is>
      </c>
      <c r="B692" s="1" t="n">
        <v>44972.43747685185</v>
      </c>
      <c r="C692" s="1" t="n">
        <v>45983</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16851-2025</t>
        </is>
      </c>
      <c r="B693" s="1" t="n">
        <v>45754.71314814815</v>
      </c>
      <c r="C693" s="1" t="n">
        <v>45983</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36069-2021</t>
        </is>
      </c>
      <c r="B694" s="1" t="n">
        <v>44389</v>
      </c>
      <c r="C694" s="1" t="n">
        <v>45983</v>
      </c>
      <c r="D694" t="inlineStr">
        <is>
          <t>UPPSALA LÄN</t>
        </is>
      </c>
      <c r="E694" t="inlineStr">
        <is>
          <t>TIERP</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31103-2022</t>
        </is>
      </c>
      <c r="B695" s="1" t="n">
        <v>44769.65189814815</v>
      </c>
      <c r="C695" s="1" t="n">
        <v>45983</v>
      </c>
      <c r="D695" t="inlineStr">
        <is>
          <t>UPPSALA LÄN</t>
        </is>
      </c>
      <c r="E695" t="inlineStr">
        <is>
          <t>TIERP</t>
        </is>
      </c>
      <c r="G695" t="n">
        <v>1.8</v>
      </c>
      <c r="H695" t="n">
        <v>0</v>
      </c>
      <c r="I695" t="n">
        <v>0</v>
      </c>
      <c r="J695" t="n">
        <v>0</v>
      </c>
      <c r="K695" t="n">
        <v>0</v>
      </c>
      <c r="L695" t="n">
        <v>0</v>
      </c>
      <c r="M695" t="n">
        <v>0</v>
      </c>
      <c r="N695" t="n">
        <v>0</v>
      </c>
      <c r="O695" t="n">
        <v>0</v>
      </c>
      <c r="P695" t="n">
        <v>0</v>
      </c>
      <c r="Q695" t="n">
        <v>0</v>
      </c>
      <c r="R695" s="2" t="inlineStr"/>
    </row>
    <row r="696" ht="15" customHeight="1">
      <c r="A696" t="inlineStr">
        <is>
          <t>A 5918-2022</t>
        </is>
      </c>
      <c r="B696" s="1" t="n">
        <v>44597.83796296296</v>
      </c>
      <c r="C696" s="1" t="n">
        <v>45983</v>
      </c>
      <c r="D696" t="inlineStr">
        <is>
          <t>UPPSALA LÄN</t>
        </is>
      </c>
      <c r="E696" t="inlineStr">
        <is>
          <t>TIERP</t>
        </is>
      </c>
      <c r="G696" t="n">
        <v>4.7</v>
      </c>
      <c r="H696" t="n">
        <v>0</v>
      </c>
      <c r="I696" t="n">
        <v>0</v>
      </c>
      <c r="J696" t="n">
        <v>0</v>
      </c>
      <c r="K696" t="n">
        <v>0</v>
      </c>
      <c r="L696" t="n">
        <v>0</v>
      </c>
      <c r="M696" t="n">
        <v>0</v>
      </c>
      <c r="N696" t="n">
        <v>0</v>
      </c>
      <c r="O696" t="n">
        <v>0</v>
      </c>
      <c r="P696" t="n">
        <v>0</v>
      </c>
      <c r="Q696" t="n">
        <v>0</v>
      </c>
      <c r="R696" s="2" t="inlineStr"/>
    </row>
    <row r="697" ht="15" customHeight="1">
      <c r="A697" t="inlineStr">
        <is>
          <t>A 22636-2024</t>
        </is>
      </c>
      <c r="B697" s="1" t="n">
        <v>45447</v>
      </c>
      <c r="C697" s="1" t="n">
        <v>45983</v>
      </c>
      <c r="D697" t="inlineStr">
        <is>
          <t>UPPSALA LÄN</t>
        </is>
      </c>
      <c r="E697" t="inlineStr">
        <is>
          <t>TIERP</t>
        </is>
      </c>
      <c r="G697" t="n">
        <v>0.5</v>
      </c>
      <c r="H697" t="n">
        <v>0</v>
      </c>
      <c r="I697" t="n">
        <v>0</v>
      </c>
      <c r="J697" t="n">
        <v>0</v>
      </c>
      <c r="K697" t="n">
        <v>0</v>
      </c>
      <c r="L697" t="n">
        <v>0</v>
      </c>
      <c r="M697" t="n">
        <v>0</v>
      </c>
      <c r="N697" t="n">
        <v>0</v>
      </c>
      <c r="O697" t="n">
        <v>0</v>
      </c>
      <c r="P697" t="n">
        <v>0</v>
      </c>
      <c r="Q697" t="n">
        <v>0</v>
      </c>
      <c r="R697" s="2" t="inlineStr"/>
    </row>
    <row r="698" ht="15" customHeight="1">
      <c r="A698" t="inlineStr">
        <is>
          <t>A 60154-2022</t>
        </is>
      </c>
      <c r="B698" s="1" t="n">
        <v>44909</v>
      </c>
      <c r="C698" s="1" t="n">
        <v>45983</v>
      </c>
      <c r="D698" t="inlineStr">
        <is>
          <t>UPPSALA LÄN</t>
        </is>
      </c>
      <c r="E698" t="inlineStr">
        <is>
          <t>TIERP</t>
        </is>
      </c>
      <c r="G698" t="n">
        <v>6</v>
      </c>
      <c r="H698" t="n">
        <v>0</v>
      </c>
      <c r="I698" t="n">
        <v>0</v>
      </c>
      <c r="J698" t="n">
        <v>0</v>
      </c>
      <c r="K698" t="n">
        <v>0</v>
      </c>
      <c r="L698" t="n">
        <v>0</v>
      </c>
      <c r="M698" t="n">
        <v>0</v>
      </c>
      <c r="N698" t="n">
        <v>0</v>
      </c>
      <c r="O698" t="n">
        <v>0</v>
      </c>
      <c r="P698" t="n">
        <v>0</v>
      </c>
      <c r="Q698" t="n">
        <v>0</v>
      </c>
      <c r="R698" s="2" t="inlineStr"/>
    </row>
    <row r="699" ht="15" customHeight="1">
      <c r="A699" t="inlineStr">
        <is>
          <t>A 64128-2023</t>
        </is>
      </c>
      <c r="B699" s="1" t="n">
        <v>45279.51664351852</v>
      </c>
      <c r="C699" s="1" t="n">
        <v>45983</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45848-2024</t>
        </is>
      </c>
      <c r="B700" s="1" t="n">
        <v>45580</v>
      </c>
      <c r="C700" s="1" t="n">
        <v>45983</v>
      </c>
      <c r="D700" t="inlineStr">
        <is>
          <t>UPPSALA LÄN</t>
        </is>
      </c>
      <c r="E700" t="inlineStr">
        <is>
          <t>TIERP</t>
        </is>
      </c>
      <c r="G700" t="n">
        <v>6.4</v>
      </c>
      <c r="H700" t="n">
        <v>0</v>
      </c>
      <c r="I700" t="n">
        <v>0</v>
      </c>
      <c r="J700" t="n">
        <v>0</v>
      </c>
      <c r="K700" t="n">
        <v>0</v>
      </c>
      <c r="L700" t="n">
        <v>0</v>
      </c>
      <c r="M700" t="n">
        <v>0</v>
      </c>
      <c r="N700" t="n">
        <v>0</v>
      </c>
      <c r="O700" t="n">
        <v>0</v>
      </c>
      <c r="P700" t="n">
        <v>0</v>
      </c>
      <c r="Q700" t="n">
        <v>0</v>
      </c>
      <c r="R700" s="2" t="inlineStr"/>
    </row>
    <row r="701" ht="15" customHeight="1">
      <c r="A701" t="inlineStr">
        <is>
          <t>A 7127-2024</t>
        </is>
      </c>
      <c r="B701" s="1" t="n">
        <v>45344.338125</v>
      </c>
      <c r="C701" s="1" t="n">
        <v>45983</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15574-2024</t>
        </is>
      </c>
      <c r="B702" s="1" t="n">
        <v>45401.68577546296</v>
      </c>
      <c r="C702" s="1" t="n">
        <v>45983</v>
      </c>
      <c r="D702" t="inlineStr">
        <is>
          <t>UPPSALA LÄN</t>
        </is>
      </c>
      <c r="E702" t="inlineStr">
        <is>
          <t>TIERP</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46976-2021</t>
        </is>
      </c>
      <c r="B703" s="1" t="n">
        <v>44446</v>
      </c>
      <c r="C703" s="1" t="n">
        <v>45983</v>
      </c>
      <c r="D703" t="inlineStr">
        <is>
          <t>UPPSALA LÄN</t>
        </is>
      </c>
      <c r="E703" t="inlineStr">
        <is>
          <t>TIERP</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22759-2024</t>
        </is>
      </c>
      <c r="B704" s="1" t="n">
        <v>45448</v>
      </c>
      <c r="C704" s="1" t="n">
        <v>45983</v>
      </c>
      <c r="D704" t="inlineStr">
        <is>
          <t>UPPSALA LÄN</t>
        </is>
      </c>
      <c r="E704" t="inlineStr">
        <is>
          <t>TIERP</t>
        </is>
      </c>
      <c r="G704" t="n">
        <v>6.9</v>
      </c>
      <c r="H704" t="n">
        <v>0</v>
      </c>
      <c r="I704" t="n">
        <v>0</v>
      </c>
      <c r="J704" t="n">
        <v>0</v>
      </c>
      <c r="K704" t="n">
        <v>0</v>
      </c>
      <c r="L704" t="n">
        <v>0</v>
      </c>
      <c r="M704" t="n">
        <v>0</v>
      </c>
      <c r="N704" t="n">
        <v>0</v>
      </c>
      <c r="O704" t="n">
        <v>0</v>
      </c>
      <c r="P704" t="n">
        <v>0</v>
      </c>
      <c r="Q704" t="n">
        <v>0</v>
      </c>
      <c r="R704" s="2" t="inlineStr"/>
    </row>
    <row r="705" ht="15" customHeight="1">
      <c r="A705" t="inlineStr">
        <is>
          <t>A 15851-2023</t>
        </is>
      </c>
      <c r="B705" s="1" t="n">
        <v>45022</v>
      </c>
      <c r="C705" s="1" t="n">
        <v>45983</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48970-2021</t>
        </is>
      </c>
      <c r="B706" s="1" t="n">
        <v>44453</v>
      </c>
      <c r="C706" s="1" t="n">
        <v>45983</v>
      </c>
      <c r="D706" t="inlineStr">
        <is>
          <t>UPPSALA LÄN</t>
        </is>
      </c>
      <c r="E706" t="inlineStr">
        <is>
          <t>TIERP</t>
        </is>
      </c>
      <c r="G706" t="n">
        <v>4.5</v>
      </c>
      <c r="H706" t="n">
        <v>0</v>
      </c>
      <c r="I706" t="n">
        <v>0</v>
      </c>
      <c r="J706" t="n">
        <v>0</v>
      </c>
      <c r="K706" t="n">
        <v>0</v>
      </c>
      <c r="L706" t="n">
        <v>0</v>
      </c>
      <c r="M706" t="n">
        <v>0</v>
      </c>
      <c r="N706" t="n">
        <v>0</v>
      </c>
      <c r="O706" t="n">
        <v>0</v>
      </c>
      <c r="P706" t="n">
        <v>0</v>
      </c>
      <c r="Q706" t="n">
        <v>0</v>
      </c>
      <c r="R706" s="2" t="inlineStr"/>
    </row>
    <row r="707" ht="15" customHeight="1">
      <c r="A707" t="inlineStr">
        <is>
          <t>A 46681-2022</t>
        </is>
      </c>
      <c r="B707" s="1" t="n">
        <v>44843</v>
      </c>
      <c r="C707" s="1" t="n">
        <v>45983</v>
      </c>
      <c r="D707" t="inlineStr">
        <is>
          <t>UPPSALA LÄN</t>
        </is>
      </c>
      <c r="E707" t="inlineStr">
        <is>
          <t>TIERP</t>
        </is>
      </c>
      <c r="G707" t="n">
        <v>5.9</v>
      </c>
      <c r="H707" t="n">
        <v>0</v>
      </c>
      <c r="I707" t="n">
        <v>0</v>
      </c>
      <c r="J707" t="n">
        <v>0</v>
      </c>
      <c r="K707" t="n">
        <v>0</v>
      </c>
      <c r="L707" t="n">
        <v>0</v>
      </c>
      <c r="M707" t="n">
        <v>0</v>
      </c>
      <c r="N707" t="n">
        <v>0</v>
      </c>
      <c r="O707" t="n">
        <v>0</v>
      </c>
      <c r="P707" t="n">
        <v>0</v>
      </c>
      <c r="Q707" t="n">
        <v>0</v>
      </c>
      <c r="R707" s="2" t="inlineStr"/>
    </row>
    <row r="708" ht="15" customHeight="1">
      <c r="A708" t="inlineStr">
        <is>
          <t>A 16494-2025</t>
        </is>
      </c>
      <c r="B708" s="1" t="n">
        <v>45751.59844907407</v>
      </c>
      <c r="C708" s="1" t="n">
        <v>45983</v>
      </c>
      <c r="D708" t="inlineStr">
        <is>
          <t>UPPSALA LÄN</t>
        </is>
      </c>
      <c r="E708" t="inlineStr">
        <is>
          <t>TIERP</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20021-2025</t>
        </is>
      </c>
      <c r="B709" s="1" t="n">
        <v>45772.33785879629</v>
      </c>
      <c r="C709" s="1" t="n">
        <v>45983</v>
      </c>
      <c r="D709" t="inlineStr">
        <is>
          <t>UPPSALA LÄN</t>
        </is>
      </c>
      <c r="E709" t="inlineStr">
        <is>
          <t>TIERP</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28346-2022</t>
        </is>
      </c>
      <c r="B710" s="1" t="n">
        <v>44747</v>
      </c>
      <c r="C710" s="1" t="n">
        <v>45983</v>
      </c>
      <c r="D710" t="inlineStr">
        <is>
          <t>UPPSALA LÄN</t>
        </is>
      </c>
      <c r="E710" t="inlineStr">
        <is>
          <t>TIERP</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55423-2022</t>
        </is>
      </c>
      <c r="B711" s="1" t="n">
        <v>44887</v>
      </c>
      <c r="C711" s="1" t="n">
        <v>45983</v>
      </c>
      <c r="D711" t="inlineStr">
        <is>
          <t>UPPSALA LÄN</t>
        </is>
      </c>
      <c r="E711" t="inlineStr">
        <is>
          <t>TIERP</t>
        </is>
      </c>
      <c r="G711" t="n">
        <v>1.3</v>
      </c>
      <c r="H711" t="n">
        <v>0</v>
      </c>
      <c r="I711" t="n">
        <v>0</v>
      </c>
      <c r="J711" t="n">
        <v>0</v>
      </c>
      <c r="K711" t="n">
        <v>0</v>
      </c>
      <c r="L711" t="n">
        <v>0</v>
      </c>
      <c r="M711" t="n">
        <v>0</v>
      </c>
      <c r="N711" t="n">
        <v>0</v>
      </c>
      <c r="O711" t="n">
        <v>0</v>
      </c>
      <c r="P711" t="n">
        <v>0</v>
      </c>
      <c r="Q711" t="n">
        <v>0</v>
      </c>
      <c r="R711" s="2" t="inlineStr"/>
    </row>
    <row r="712" ht="15" customHeight="1">
      <c r="A712" t="inlineStr">
        <is>
          <t>A 46275-2022</t>
        </is>
      </c>
      <c r="B712" s="1" t="n">
        <v>44847</v>
      </c>
      <c r="C712" s="1" t="n">
        <v>45983</v>
      </c>
      <c r="D712" t="inlineStr">
        <is>
          <t>UPPSALA LÄN</t>
        </is>
      </c>
      <c r="E712" t="inlineStr">
        <is>
          <t>TIERP</t>
        </is>
      </c>
      <c r="G712" t="n">
        <v>1.5</v>
      </c>
      <c r="H712" t="n">
        <v>0</v>
      </c>
      <c r="I712" t="n">
        <v>0</v>
      </c>
      <c r="J712" t="n">
        <v>0</v>
      </c>
      <c r="K712" t="n">
        <v>0</v>
      </c>
      <c r="L712" t="n">
        <v>0</v>
      </c>
      <c r="M712" t="n">
        <v>0</v>
      </c>
      <c r="N712" t="n">
        <v>0</v>
      </c>
      <c r="O712" t="n">
        <v>0</v>
      </c>
      <c r="P712" t="n">
        <v>0</v>
      </c>
      <c r="Q712" t="n">
        <v>0</v>
      </c>
      <c r="R712" s="2" t="inlineStr"/>
    </row>
    <row r="713" ht="15" customHeight="1">
      <c r="A713" t="inlineStr">
        <is>
          <t>A 61149-2024</t>
        </is>
      </c>
      <c r="B713" s="1" t="n">
        <v>45645</v>
      </c>
      <c r="C713" s="1" t="n">
        <v>45983</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8768-2023</t>
        </is>
      </c>
      <c r="B714" s="1" t="n">
        <v>44978.5362037037</v>
      </c>
      <c r="C714" s="1" t="n">
        <v>45983</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55678-2024</t>
        </is>
      </c>
      <c r="B715" s="1" t="n">
        <v>45622.65828703704</v>
      </c>
      <c r="C715" s="1" t="n">
        <v>45983</v>
      </c>
      <c r="D715" t="inlineStr">
        <is>
          <t>UPPSALA LÄN</t>
        </is>
      </c>
      <c r="E715" t="inlineStr">
        <is>
          <t>TIERP</t>
        </is>
      </c>
      <c r="G715" t="n">
        <v>8.4</v>
      </c>
      <c r="H715" t="n">
        <v>0</v>
      </c>
      <c r="I715" t="n">
        <v>0</v>
      </c>
      <c r="J715" t="n">
        <v>0</v>
      </c>
      <c r="K715" t="n">
        <v>0</v>
      </c>
      <c r="L715" t="n">
        <v>0</v>
      </c>
      <c r="M715" t="n">
        <v>0</v>
      </c>
      <c r="N715" t="n">
        <v>0</v>
      </c>
      <c r="O715" t="n">
        <v>0</v>
      </c>
      <c r="P715" t="n">
        <v>0</v>
      </c>
      <c r="Q715" t="n">
        <v>0</v>
      </c>
      <c r="R715" s="2" t="inlineStr"/>
    </row>
    <row r="716" ht="15" customHeight="1">
      <c r="A716" t="inlineStr">
        <is>
          <t>A 5994-2023</t>
        </is>
      </c>
      <c r="B716" s="1" t="n">
        <v>44964</v>
      </c>
      <c r="C716" s="1" t="n">
        <v>45983</v>
      </c>
      <c r="D716" t="inlineStr">
        <is>
          <t>UPPSALA LÄN</t>
        </is>
      </c>
      <c r="E716" t="inlineStr">
        <is>
          <t>TIERP</t>
        </is>
      </c>
      <c r="F716" t="inlineStr">
        <is>
          <t>Bergvik skog öst AB</t>
        </is>
      </c>
      <c r="G716" t="n">
        <v>3.1</v>
      </c>
      <c r="H716" t="n">
        <v>0</v>
      </c>
      <c r="I716" t="n">
        <v>0</v>
      </c>
      <c r="J716" t="n">
        <v>0</v>
      </c>
      <c r="K716" t="n">
        <v>0</v>
      </c>
      <c r="L716" t="n">
        <v>0</v>
      </c>
      <c r="M716" t="n">
        <v>0</v>
      </c>
      <c r="N716" t="n">
        <v>0</v>
      </c>
      <c r="O716" t="n">
        <v>0</v>
      </c>
      <c r="P716" t="n">
        <v>0</v>
      </c>
      <c r="Q716" t="n">
        <v>0</v>
      </c>
      <c r="R716" s="2" t="inlineStr"/>
    </row>
    <row r="717" ht="15" customHeight="1">
      <c r="A717" t="inlineStr">
        <is>
          <t>A 5987-2023</t>
        </is>
      </c>
      <c r="B717" s="1" t="n">
        <v>44964</v>
      </c>
      <c r="C717" s="1" t="n">
        <v>45983</v>
      </c>
      <c r="D717" t="inlineStr">
        <is>
          <t>UPPSALA LÄN</t>
        </is>
      </c>
      <c r="E717" t="inlineStr">
        <is>
          <t>TIERP</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66241-2021</t>
        </is>
      </c>
      <c r="B718" s="1" t="n">
        <v>44518.40658564815</v>
      </c>
      <c r="C718" s="1" t="n">
        <v>45983</v>
      </c>
      <c r="D718" t="inlineStr">
        <is>
          <t>UPPSALA LÄN</t>
        </is>
      </c>
      <c r="E718" t="inlineStr">
        <is>
          <t>TIERP</t>
        </is>
      </c>
      <c r="G718" t="n">
        <v>1.5</v>
      </c>
      <c r="H718" t="n">
        <v>0</v>
      </c>
      <c r="I718" t="n">
        <v>0</v>
      </c>
      <c r="J718" t="n">
        <v>0</v>
      </c>
      <c r="K718" t="n">
        <v>0</v>
      </c>
      <c r="L718" t="n">
        <v>0</v>
      </c>
      <c r="M718" t="n">
        <v>0</v>
      </c>
      <c r="N718" t="n">
        <v>0</v>
      </c>
      <c r="O718" t="n">
        <v>0</v>
      </c>
      <c r="P718" t="n">
        <v>0</v>
      </c>
      <c r="Q718" t="n">
        <v>0</v>
      </c>
      <c r="R718" s="2" t="inlineStr"/>
    </row>
    <row r="719" ht="15" customHeight="1">
      <c r="A719" t="inlineStr">
        <is>
          <t>A 16124-2021</t>
        </is>
      </c>
      <c r="B719" s="1" t="n">
        <v>44291</v>
      </c>
      <c r="C719" s="1" t="n">
        <v>45983</v>
      </c>
      <c r="D719" t="inlineStr">
        <is>
          <t>UPPSALA LÄN</t>
        </is>
      </c>
      <c r="E719" t="inlineStr">
        <is>
          <t>TIERP</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63260-2020</t>
        </is>
      </c>
      <c r="B720" s="1" t="n">
        <v>44164.81450231482</v>
      </c>
      <c r="C720" s="1" t="n">
        <v>45983</v>
      </c>
      <c r="D720" t="inlineStr">
        <is>
          <t>UPPSALA LÄN</t>
        </is>
      </c>
      <c r="E720" t="inlineStr">
        <is>
          <t>TIERP</t>
        </is>
      </c>
      <c r="G720" t="n">
        <v>1.5</v>
      </c>
      <c r="H720" t="n">
        <v>0</v>
      </c>
      <c r="I720" t="n">
        <v>0</v>
      </c>
      <c r="J720" t="n">
        <v>0</v>
      </c>
      <c r="K720" t="n">
        <v>0</v>
      </c>
      <c r="L720" t="n">
        <v>0</v>
      </c>
      <c r="M720" t="n">
        <v>0</v>
      </c>
      <c r="N720" t="n">
        <v>0</v>
      </c>
      <c r="O720" t="n">
        <v>0</v>
      </c>
      <c r="P720" t="n">
        <v>0</v>
      </c>
      <c r="Q720" t="n">
        <v>0</v>
      </c>
      <c r="R720" s="2" t="inlineStr"/>
    </row>
    <row r="721" ht="15" customHeight="1">
      <c r="A721" t="inlineStr">
        <is>
          <t>A 61717-2022</t>
        </is>
      </c>
      <c r="B721" s="1" t="n">
        <v>44917</v>
      </c>
      <c r="C721" s="1" t="n">
        <v>45983</v>
      </c>
      <c r="D721" t="inlineStr">
        <is>
          <t>UPPSALA LÄN</t>
        </is>
      </c>
      <c r="E721" t="inlineStr">
        <is>
          <t>TIERP</t>
        </is>
      </c>
      <c r="G721" t="n">
        <v>3.2</v>
      </c>
      <c r="H721" t="n">
        <v>0</v>
      </c>
      <c r="I721" t="n">
        <v>0</v>
      </c>
      <c r="J721" t="n">
        <v>0</v>
      </c>
      <c r="K721" t="n">
        <v>0</v>
      </c>
      <c r="L721" t="n">
        <v>0</v>
      </c>
      <c r="M721" t="n">
        <v>0</v>
      </c>
      <c r="N721" t="n">
        <v>0</v>
      </c>
      <c r="O721" t="n">
        <v>0</v>
      </c>
      <c r="P721" t="n">
        <v>0</v>
      </c>
      <c r="Q721" t="n">
        <v>0</v>
      </c>
      <c r="R721" s="2" t="inlineStr"/>
    </row>
    <row r="722" ht="15" customHeight="1">
      <c r="A722" t="inlineStr">
        <is>
          <t>A 17579-2025</t>
        </is>
      </c>
      <c r="B722" s="1" t="n">
        <v>45757.65542824074</v>
      </c>
      <c r="C722" s="1" t="n">
        <v>45983</v>
      </c>
      <c r="D722" t="inlineStr">
        <is>
          <t>UPPSALA LÄN</t>
        </is>
      </c>
      <c r="E722" t="inlineStr">
        <is>
          <t>TIERP</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2301-2024</t>
        </is>
      </c>
      <c r="B723" s="1" t="n">
        <v>45310.44783564815</v>
      </c>
      <c r="C723" s="1" t="n">
        <v>45983</v>
      </c>
      <c r="D723" t="inlineStr">
        <is>
          <t>UPPSALA LÄN</t>
        </is>
      </c>
      <c r="E723" t="inlineStr">
        <is>
          <t>TIERP</t>
        </is>
      </c>
      <c r="G723" t="n">
        <v>0.4</v>
      </c>
      <c r="H723" t="n">
        <v>0</v>
      </c>
      <c r="I723" t="n">
        <v>0</v>
      </c>
      <c r="J723" t="n">
        <v>0</v>
      </c>
      <c r="K723" t="n">
        <v>0</v>
      </c>
      <c r="L723" t="n">
        <v>0</v>
      </c>
      <c r="M723" t="n">
        <v>0</v>
      </c>
      <c r="N723" t="n">
        <v>0</v>
      </c>
      <c r="O723" t="n">
        <v>0</v>
      </c>
      <c r="P723" t="n">
        <v>0</v>
      </c>
      <c r="Q723" t="n">
        <v>0</v>
      </c>
      <c r="R723" s="2" t="inlineStr"/>
    </row>
    <row r="724" ht="15" customHeight="1">
      <c r="A724" t="inlineStr">
        <is>
          <t>A 8772-2023</t>
        </is>
      </c>
      <c r="B724" s="1" t="n">
        <v>44978.5591087963</v>
      </c>
      <c r="C724" s="1" t="n">
        <v>45983</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8774-2023</t>
        </is>
      </c>
      <c r="B725" s="1" t="n">
        <v>44978.56202546296</v>
      </c>
      <c r="C725" s="1" t="n">
        <v>45983</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54449-2024</t>
        </is>
      </c>
      <c r="B726" s="1" t="n">
        <v>45617</v>
      </c>
      <c r="C726" s="1" t="n">
        <v>45983</v>
      </c>
      <c r="D726" t="inlineStr">
        <is>
          <t>UPPSALA LÄN</t>
        </is>
      </c>
      <c r="E726" t="inlineStr">
        <is>
          <t>TIERP</t>
        </is>
      </c>
      <c r="G726" t="n">
        <v>8.5</v>
      </c>
      <c r="H726" t="n">
        <v>0</v>
      </c>
      <c r="I726" t="n">
        <v>0</v>
      </c>
      <c r="J726" t="n">
        <v>0</v>
      </c>
      <c r="K726" t="n">
        <v>0</v>
      </c>
      <c r="L726" t="n">
        <v>0</v>
      </c>
      <c r="M726" t="n">
        <v>0</v>
      </c>
      <c r="N726" t="n">
        <v>0</v>
      </c>
      <c r="O726" t="n">
        <v>0</v>
      </c>
      <c r="P726" t="n">
        <v>0</v>
      </c>
      <c r="Q726" t="n">
        <v>0</v>
      </c>
      <c r="R726" s="2" t="inlineStr"/>
    </row>
    <row r="727" ht="15" customHeight="1">
      <c r="A727" t="inlineStr">
        <is>
          <t>A 18368-2025</t>
        </is>
      </c>
      <c r="B727" s="1" t="n">
        <v>45762.56429398148</v>
      </c>
      <c r="C727" s="1" t="n">
        <v>45983</v>
      </c>
      <c r="D727" t="inlineStr">
        <is>
          <t>UPPSALA LÄN</t>
        </is>
      </c>
      <c r="E727" t="inlineStr">
        <is>
          <t>TIERP</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18378-2025</t>
        </is>
      </c>
      <c r="B728" s="1" t="n">
        <v>45762.57510416667</v>
      </c>
      <c r="C728" s="1" t="n">
        <v>45983</v>
      </c>
      <c r="D728" t="inlineStr">
        <is>
          <t>UPPSALA LÄN</t>
        </is>
      </c>
      <c r="E728" t="inlineStr">
        <is>
          <t>TIERP</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2454-2024</t>
        </is>
      </c>
      <c r="B729" s="1" t="n">
        <v>45312</v>
      </c>
      <c r="C729" s="1" t="n">
        <v>45983</v>
      </c>
      <c r="D729" t="inlineStr">
        <is>
          <t>UPPSALA LÄN</t>
        </is>
      </c>
      <c r="E729" t="inlineStr">
        <is>
          <t>TIERP</t>
        </is>
      </c>
      <c r="G729" t="n">
        <v>2.4</v>
      </c>
      <c r="H729" t="n">
        <v>0</v>
      </c>
      <c r="I729" t="n">
        <v>0</v>
      </c>
      <c r="J729" t="n">
        <v>0</v>
      </c>
      <c r="K729" t="n">
        <v>0</v>
      </c>
      <c r="L729" t="n">
        <v>0</v>
      </c>
      <c r="M729" t="n">
        <v>0</v>
      </c>
      <c r="N729" t="n">
        <v>0</v>
      </c>
      <c r="O729" t="n">
        <v>0</v>
      </c>
      <c r="P729" t="n">
        <v>0</v>
      </c>
      <c r="Q729" t="n">
        <v>0</v>
      </c>
      <c r="R729" s="2" t="inlineStr"/>
    </row>
    <row r="730" ht="15" customHeight="1">
      <c r="A730" t="inlineStr">
        <is>
          <t>A 13447-2023</t>
        </is>
      </c>
      <c r="B730" s="1" t="n">
        <v>45005</v>
      </c>
      <c r="C730" s="1" t="n">
        <v>45983</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15655-2025</t>
        </is>
      </c>
      <c r="B731" s="1" t="n">
        <v>45748</v>
      </c>
      <c r="C731" s="1" t="n">
        <v>45983</v>
      </c>
      <c r="D731" t="inlineStr">
        <is>
          <t>UPPSALA LÄN</t>
        </is>
      </c>
      <c r="E731" t="inlineStr">
        <is>
          <t>TIERP</t>
        </is>
      </c>
      <c r="F731" t="inlineStr">
        <is>
          <t>Kyrkan</t>
        </is>
      </c>
      <c r="G731" t="n">
        <v>4.5</v>
      </c>
      <c r="H731" t="n">
        <v>0</v>
      </c>
      <c r="I731" t="n">
        <v>0</v>
      </c>
      <c r="J731" t="n">
        <v>0</v>
      </c>
      <c r="K731" t="n">
        <v>0</v>
      </c>
      <c r="L731" t="n">
        <v>0</v>
      </c>
      <c r="M731" t="n">
        <v>0</v>
      </c>
      <c r="N731" t="n">
        <v>0</v>
      </c>
      <c r="O731" t="n">
        <v>0</v>
      </c>
      <c r="P731" t="n">
        <v>0</v>
      </c>
      <c r="Q731" t="n">
        <v>0</v>
      </c>
      <c r="R731" s="2" t="inlineStr"/>
    </row>
    <row r="732" ht="15" customHeight="1">
      <c r="A732" t="inlineStr">
        <is>
          <t>A 34837-2024</t>
        </is>
      </c>
      <c r="B732" s="1" t="n">
        <v>45526</v>
      </c>
      <c r="C732" s="1" t="n">
        <v>45983</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20496-2023</t>
        </is>
      </c>
      <c r="B733" s="1" t="n">
        <v>45057.42894675926</v>
      </c>
      <c r="C733" s="1" t="n">
        <v>45983</v>
      </c>
      <c r="D733" t="inlineStr">
        <is>
          <t>UPPSALA LÄN</t>
        </is>
      </c>
      <c r="E733" t="inlineStr">
        <is>
          <t>TIERP</t>
        </is>
      </c>
      <c r="G733" t="n">
        <v>0.9</v>
      </c>
      <c r="H733" t="n">
        <v>0</v>
      </c>
      <c r="I733" t="n">
        <v>0</v>
      </c>
      <c r="J733" t="n">
        <v>0</v>
      </c>
      <c r="K733" t="n">
        <v>0</v>
      </c>
      <c r="L733" t="n">
        <v>0</v>
      </c>
      <c r="M733" t="n">
        <v>0</v>
      </c>
      <c r="N733" t="n">
        <v>0</v>
      </c>
      <c r="O733" t="n">
        <v>0</v>
      </c>
      <c r="P733" t="n">
        <v>0</v>
      </c>
      <c r="Q733" t="n">
        <v>0</v>
      </c>
      <c r="R733" s="2" t="inlineStr"/>
    </row>
    <row r="734" ht="15" customHeight="1">
      <c r="A734" t="inlineStr">
        <is>
          <t>A 38109-2023</t>
        </is>
      </c>
      <c r="B734" s="1" t="n">
        <v>45161.32083333333</v>
      </c>
      <c r="C734" s="1" t="n">
        <v>45983</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29115-2023</t>
        </is>
      </c>
      <c r="B735" s="1" t="n">
        <v>45105.39783564815</v>
      </c>
      <c r="C735" s="1" t="n">
        <v>45983</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52969-2023</t>
        </is>
      </c>
      <c r="B736" s="1" t="n">
        <v>45226.60010416667</v>
      </c>
      <c r="C736" s="1" t="n">
        <v>45983</v>
      </c>
      <c r="D736" t="inlineStr">
        <is>
          <t>UPPSALA LÄN</t>
        </is>
      </c>
      <c r="E736" t="inlineStr">
        <is>
          <t>TIERP</t>
        </is>
      </c>
      <c r="G736" t="n">
        <v>5.3</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45983</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26404-2024</t>
        </is>
      </c>
      <c r="B738" s="1" t="n">
        <v>45469</v>
      </c>
      <c r="C738" s="1" t="n">
        <v>45983</v>
      </c>
      <c r="D738" t="inlineStr">
        <is>
          <t>UPPSALA LÄN</t>
        </is>
      </c>
      <c r="E738" t="inlineStr">
        <is>
          <t>TIERP</t>
        </is>
      </c>
      <c r="G738" t="n">
        <v>3.4</v>
      </c>
      <c r="H738" t="n">
        <v>0</v>
      </c>
      <c r="I738" t="n">
        <v>0</v>
      </c>
      <c r="J738" t="n">
        <v>0</v>
      </c>
      <c r="K738" t="n">
        <v>0</v>
      </c>
      <c r="L738" t="n">
        <v>0</v>
      </c>
      <c r="M738" t="n">
        <v>0</v>
      </c>
      <c r="N738" t="n">
        <v>0</v>
      </c>
      <c r="O738" t="n">
        <v>0</v>
      </c>
      <c r="P738" t="n">
        <v>0</v>
      </c>
      <c r="Q738" t="n">
        <v>0</v>
      </c>
      <c r="R738" s="2" t="inlineStr"/>
    </row>
    <row r="739" ht="15" customHeight="1">
      <c r="A739" t="inlineStr">
        <is>
          <t>A 38464-2023</t>
        </is>
      </c>
      <c r="B739" s="1" t="n">
        <v>45162.44894675926</v>
      </c>
      <c r="C739" s="1" t="n">
        <v>45983</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9664-2023</t>
        </is>
      </c>
      <c r="B740" s="1" t="n">
        <v>44984</v>
      </c>
      <c r="C740" s="1" t="n">
        <v>45983</v>
      </c>
      <c r="D740" t="inlineStr">
        <is>
          <t>UPPSALA LÄN</t>
        </is>
      </c>
      <c r="E740" t="inlineStr">
        <is>
          <t>TIERP</t>
        </is>
      </c>
      <c r="G740" t="n">
        <v>2.2</v>
      </c>
      <c r="H740" t="n">
        <v>0</v>
      </c>
      <c r="I740" t="n">
        <v>0</v>
      </c>
      <c r="J740" t="n">
        <v>0</v>
      </c>
      <c r="K740" t="n">
        <v>0</v>
      </c>
      <c r="L740" t="n">
        <v>0</v>
      </c>
      <c r="M740" t="n">
        <v>0</v>
      </c>
      <c r="N740" t="n">
        <v>0</v>
      </c>
      <c r="O740" t="n">
        <v>0</v>
      </c>
      <c r="P740" t="n">
        <v>0</v>
      </c>
      <c r="Q740" t="n">
        <v>0</v>
      </c>
      <c r="R740" s="2" t="inlineStr"/>
    </row>
    <row r="741" ht="15" customHeight="1">
      <c r="A741" t="inlineStr">
        <is>
          <t>A 9432-2023</t>
        </is>
      </c>
      <c r="B741" s="1" t="n">
        <v>44981.51266203704</v>
      </c>
      <c r="C741" s="1" t="n">
        <v>45983</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18734-2025</t>
        </is>
      </c>
      <c r="B742" s="1" t="n">
        <v>45763.67659722222</v>
      </c>
      <c r="C742" s="1" t="n">
        <v>45983</v>
      </c>
      <c r="D742" t="inlineStr">
        <is>
          <t>UPPSALA LÄN</t>
        </is>
      </c>
      <c r="E742" t="inlineStr">
        <is>
          <t>TIERP</t>
        </is>
      </c>
      <c r="F742" t="inlineStr">
        <is>
          <t>Kyrkan</t>
        </is>
      </c>
      <c r="G742" t="n">
        <v>4.5</v>
      </c>
      <c r="H742" t="n">
        <v>0</v>
      </c>
      <c r="I742" t="n">
        <v>0</v>
      </c>
      <c r="J742" t="n">
        <v>0</v>
      </c>
      <c r="K742" t="n">
        <v>0</v>
      </c>
      <c r="L742" t="n">
        <v>0</v>
      </c>
      <c r="M742" t="n">
        <v>0</v>
      </c>
      <c r="N742" t="n">
        <v>0</v>
      </c>
      <c r="O742" t="n">
        <v>0</v>
      </c>
      <c r="P742" t="n">
        <v>0</v>
      </c>
      <c r="Q742" t="n">
        <v>0</v>
      </c>
      <c r="R742" s="2" t="inlineStr"/>
    </row>
    <row r="743" ht="15" customHeight="1">
      <c r="A743" t="inlineStr">
        <is>
          <t>A 58900-2023</t>
        </is>
      </c>
      <c r="B743" s="1" t="n">
        <v>45252</v>
      </c>
      <c r="C743" s="1" t="n">
        <v>45983</v>
      </c>
      <c r="D743" t="inlineStr">
        <is>
          <t>UPPSALA LÄN</t>
        </is>
      </c>
      <c r="E743" t="inlineStr">
        <is>
          <t>TIERP</t>
        </is>
      </c>
      <c r="G743" t="n">
        <v>25</v>
      </c>
      <c r="H743" t="n">
        <v>0</v>
      </c>
      <c r="I743" t="n">
        <v>0</v>
      </c>
      <c r="J743" t="n">
        <v>0</v>
      </c>
      <c r="K743" t="n">
        <v>0</v>
      </c>
      <c r="L743" t="n">
        <v>0</v>
      </c>
      <c r="M743" t="n">
        <v>0</v>
      </c>
      <c r="N743" t="n">
        <v>0</v>
      </c>
      <c r="O743" t="n">
        <v>0</v>
      </c>
      <c r="P743" t="n">
        <v>0</v>
      </c>
      <c r="Q743" t="n">
        <v>0</v>
      </c>
      <c r="R743" s="2" t="inlineStr"/>
    </row>
    <row r="744" ht="15" customHeight="1">
      <c r="A744" t="inlineStr">
        <is>
          <t>A 58947-2023</t>
        </is>
      </c>
      <c r="B744" s="1" t="n">
        <v>45252.57987268519</v>
      </c>
      <c r="C744" s="1" t="n">
        <v>45983</v>
      </c>
      <c r="D744" t="inlineStr">
        <is>
          <t>UPPSALA LÄN</t>
        </is>
      </c>
      <c r="E744" t="inlineStr">
        <is>
          <t>TIERP</t>
        </is>
      </c>
      <c r="G744" t="n">
        <v>3.1</v>
      </c>
      <c r="H744" t="n">
        <v>0</v>
      </c>
      <c r="I744" t="n">
        <v>0</v>
      </c>
      <c r="J744" t="n">
        <v>0</v>
      </c>
      <c r="K744" t="n">
        <v>0</v>
      </c>
      <c r="L744" t="n">
        <v>0</v>
      </c>
      <c r="M744" t="n">
        <v>0</v>
      </c>
      <c r="N744" t="n">
        <v>0</v>
      </c>
      <c r="O744" t="n">
        <v>0</v>
      </c>
      <c r="P744" t="n">
        <v>0</v>
      </c>
      <c r="Q744" t="n">
        <v>0</v>
      </c>
      <c r="R744" s="2" t="inlineStr"/>
    </row>
    <row r="745" ht="15" customHeight="1">
      <c r="A745" t="inlineStr">
        <is>
          <t>A 11306-2025</t>
        </is>
      </c>
      <c r="B745" s="1" t="n">
        <v>45726.44540509259</v>
      </c>
      <c r="C745" s="1" t="n">
        <v>45983</v>
      </c>
      <c r="D745" t="inlineStr">
        <is>
          <t>UPPSALA LÄN</t>
        </is>
      </c>
      <c r="E745" t="inlineStr">
        <is>
          <t>TIERP</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20317-2025</t>
        </is>
      </c>
      <c r="B746" s="1" t="n">
        <v>45775</v>
      </c>
      <c r="C746" s="1" t="n">
        <v>45983</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23828-2021</t>
        </is>
      </c>
      <c r="B747" s="1" t="n">
        <v>44335</v>
      </c>
      <c r="C747" s="1" t="n">
        <v>45983</v>
      </c>
      <c r="D747" t="inlineStr">
        <is>
          <t>UPPSALA LÄN</t>
        </is>
      </c>
      <c r="E747" t="inlineStr">
        <is>
          <t>TIERP</t>
        </is>
      </c>
      <c r="G747" t="n">
        <v>1</v>
      </c>
      <c r="H747" t="n">
        <v>0</v>
      </c>
      <c r="I747" t="n">
        <v>0</v>
      </c>
      <c r="J747" t="n">
        <v>0</v>
      </c>
      <c r="K747" t="n">
        <v>0</v>
      </c>
      <c r="L747" t="n">
        <v>0</v>
      </c>
      <c r="M747" t="n">
        <v>0</v>
      </c>
      <c r="N747" t="n">
        <v>0</v>
      </c>
      <c r="O747" t="n">
        <v>0</v>
      </c>
      <c r="P747" t="n">
        <v>0</v>
      </c>
      <c r="Q747" t="n">
        <v>0</v>
      </c>
      <c r="R747" s="2" t="inlineStr"/>
    </row>
    <row r="748" ht="15" customHeight="1">
      <c r="A748" t="inlineStr">
        <is>
          <t>A 63912-2020</t>
        </is>
      </c>
      <c r="B748" s="1" t="n">
        <v>44166.86582175926</v>
      </c>
      <c r="C748" s="1" t="n">
        <v>45983</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11308-2025</t>
        </is>
      </c>
      <c r="B749" s="1" t="n">
        <v>45726.44707175926</v>
      </c>
      <c r="C749" s="1" t="n">
        <v>45983</v>
      </c>
      <c r="D749" t="inlineStr">
        <is>
          <t>UPPSALA LÄN</t>
        </is>
      </c>
      <c r="E749" t="inlineStr">
        <is>
          <t>TIERP</t>
        </is>
      </c>
      <c r="F749" t="inlineStr">
        <is>
          <t>Bergvik skog öst AB</t>
        </is>
      </c>
      <c r="G749" t="n">
        <v>13.5</v>
      </c>
      <c r="H749" t="n">
        <v>0</v>
      </c>
      <c r="I749" t="n">
        <v>0</v>
      </c>
      <c r="J749" t="n">
        <v>0</v>
      </c>
      <c r="K749" t="n">
        <v>0</v>
      </c>
      <c r="L749" t="n">
        <v>0</v>
      </c>
      <c r="M749" t="n">
        <v>0</v>
      </c>
      <c r="N749" t="n">
        <v>0</v>
      </c>
      <c r="O749" t="n">
        <v>0</v>
      </c>
      <c r="P749" t="n">
        <v>0</v>
      </c>
      <c r="Q749" t="n">
        <v>0</v>
      </c>
      <c r="R749" s="2" t="inlineStr"/>
    </row>
    <row r="750" ht="15" customHeight="1">
      <c r="A750" t="inlineStr">
        <is>
          <t>A 14860-2022</t>
        </is>
      </c>
      <c r="B750" s="1" t="n">
        <v>44656</v>
      </c>
      <c r="C750" s="1" t="n">
        <v>45983</v>
      </c>
      <c r="D750" t="inlineStr">
        <is>
          <t>UPPSALA LÄN</t>
        </is>
      </c>
      <c r="E750" t="inlineStr">
        <is>
          <t>TIERP</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20860-2024</t>
        </is>
      </c>
      <c r="B751" s="1" t="n">
        <v>45439</v>
      </c>
      <c r="C751" s="1" t="n">
        <v>45983</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47968-2023</t>
        </is>
      </c>
      <c r="B752" s="1" t="n">
        <v>45204</v>
      </c>
      <c r="C752" s="1" t="n">
        <v>45983</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12885-2024</t>
        </is>
      </c>
      <c r="B753" s="1" t="n">
        <v>45385</v>
      </c>
      <c r="C753" s="1" t="n">
        <v>45983</v>
      </c>
      <c r="D753" t="inlineStr">
        <is>
          <t>UPPSALA LÄN</t>
        </is>
      </c>
      <c r="E753" t="inlineStr">
        <is>
          <t>TIERP</t>
        </is>
      </c>
      <c r="G753" t="n">
        <v>0.4</v>
      </c>
      <c r="H753" t="n">
        <v>0</v>
      </c>
      <c r="I753" t="n">
        <v>0</v>
      </c>
      <c r="J753" t="n">
        <v>0</v>
      </c>
      <c r="K753" t="n">
        <v>0</v>
      </c>
      <c r="L753" t="n">
        <v>0</v>
      </c>
      <c r="M753" t="n">
        <v>0</v>
      </c>
      <c r="N753" t="n">
        <v>0</v>
      </c>
      <c r="O753" t="n">
        <v>0</v>
      </c>
      <c r="P753" t="n">
        <v>0</v>
      </c>
      <c r="Q753" t="n">
        <v>0</v>
      </c>
      <c r="R753" s="2" t="inlineStr"/>
    </row>
    <row r="754" ht="15" customHeight="1">
      <c r="A754" t="inlineStr">
        <is>
          <t>A 2838-2025</t>
        </is>
      </c>
      <c r="B754" s="1" t="n">
        <v>45677.64354166666</v>
      </c>
      <c r="C754" s="1" t="n">
        <v>45983</v>
      </c>
      <c r="D754" t="inlineStr">
        <is>
          <t>UPPSALA LÄN</t>
        </is>
      </c>
      <c r="E754" t="inlineStr">
        <is>
          <t>TIERP</t>
        </is>
      </c>
      <c r="F754" t="inlineStr">
        <is>
          <t>Bergvik skog väst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28538-2024</t>
        </is>
      </c>
      <c r="B755" s="1" t="n">
        <v>45478</v>
      </c>
      <c r="C755" s="1" t="n">
        <v>45983</v>
      </c>
      <c r="D755" t="inlineStr">
        <is>
          <t>UPPSALA LÄN</t>
        </is>
      </c>
      <c r="E755" t="inlineStr">
        <is>
          <t>TIERP</t>
        </is>
      </c>
      <c r="G755" t="n">
        <v>0.6</v>
      </c>
      <c r="H755" t="n">
        <v>0</v>
      </c>
      <c r="I755" t="n">
        <v>0</v>
      </c>
      <c r="J755" t="n">
        <v>0</v>
      </c>
      <c r="K755" t="n">
        <v>0</v>
      </c>
      <c r="L755" t="n">
        <v>0</v>
      </c>
      <c r="M755" t="n">
        <v>0</v>
      </c>
      <c r="N755" t="n">
        <v>0</v>
      </c>
      <c r="O755" t="n">
        <v>0</v>
      </c>
      <c r="P755" t="n">
        <v>0</v>
      </c>
      <c r="Q755" t="n">
        <v>0</v>
      </c>
      <c r="R755" s="2" t="inlineStr"/>
    </row>
    <row r="756" ht="15" customHeight="1">
      <c r="A756" t="inlineStr">
        <is>
          <t>A 319-2023</t>
        </is>
      </c>
      <c r="B756" s="1" t="n">
        <v>44929</v>
      </c>
      <c r="C756" s="1" t="n">
        <v>45983</v>
      </c>
      <c r="D756" t="inlineStr">
        <is>
          <t>UPPSALA LÄN</t>
        </is>
      </c>
      <c r="E756" t="inlineStr">
        <is>
          <t>TIERP</t>
        </is>
      </c>
      <c r="G756" t="n">
        <v>0.7</v>
      </c>
      <c r="H756" t="n">
        <v>0</v>
      </c>
      <c r="I756" t="n">
        <v>0</v>
      </c>
      <c r="J756" t="n">
        <v>0</v>
      </c>
      <c r="K756" t="n">
        <v>0</v>
      </c>
      <c r="L756" t="n">
        <v>0</v>
      </c>
      <c r="M756" t="n">
        <v>0</v>
      </c>
      <c r="N756" t="n">
        <v>0</v>
      </c>
      <c r="O756" t="n">
        <v>0</v>
      </c>
      <c r="P756" t="n">
        <v>0</v>
      </c>
      <c r="Q756" t="n">
        <v>0</v>
      </c>
      <c r="R756" s="2" t="inlineStr"/>
    </row>
    <row r="757" ht="15" customHeight="1">
      <c r="A757" t="inlineStr">
        <is>
          <t>A 39333-2024</t>
        </is>
      </c>
      <c r="B757" s="1" t="n">
        <v>45551</v>
      </c>
      <c r="C757" s="1" t="n">
        <v>45983</v>
      </c>
      <c r="D757" t="inlineStr">
        <is>
          <t>UPPSALA LÄN</t>
        </is>
      </c>
      <c r="E757" t="inlineStr">
        <is>
          <t>TIERP</t>
        </is>
      </c>
      <c r="G757" t="n">
        <v>4.1</v>
      </c>
      <c r="H757" t="n">
        <v>0</v>
      </c>
      <c r="I757" t="n">
        <v>0</v>
      </c>
      <c r="J757" t="n">
        <v>0</v>
      </c>
      <c r="K757" t="n">
        <v>0</v>
      </c>
      <c r="L757" t="n">
        <v>0</v>
      </c>
      <c r="M757" t="n">
        <v>0</v>
      </c>
      <c r="N757" t="n">
        <v>0</v>
      </c>
      <c r="O757" t="n">
        <v>0</v>
      </c>
      <c r="P757" t="n">
        <v>0</v>
      </c>
      <c r="Q757" t="n">
        <v>0</v>
      </c>
      <c r="R757" s="2" t="inlineStr"/>
    </row>
    <row r="758" ht="15" customHeight="1">
      <c r="A758" t="inlineStr">
        <is>
          <t>A 16852-2025</t>
        </is>
      </c>
      <c r="B758" s="1" t="n">
        <v>45754.72487268518</v>
      </c>
      <c r="C758" s="1" t="n">
        <v>45983</v>
      </c>
      <c r="D758" t="inlineStr">
        <is>
          <t>UPPSALA LÄN</t>
        </is>
      </c>
      <c r="E758" t="inlineStr">
        <is>
          <t>TIERP</t>
        </is>
      </c>
      <c r="G758" t="n">
        <v>5.2</v>
      </c>
      <c r="H758" t="n">
        <v>0</v>
      </c>
      <c r="I758" t="n">
        <v>0</v>
      </c>
      <c r="J758" t="n">
        <v>0</v>
      </c>
      <c r="K758" t="n">
        <v>0</v>
      </c>
      <c r="L758" t="n">
        <v>0</v>
      </c>
      <c r="M758" t="n">
        <v>0</v>
      </c>
      <c r="N758" t="n">
        <v>0</v>
      </c>
      <c r="O758" t="n">
        <v>0</v>
      </c>
      <c r="P758" t="n">
        <v>0</v>
      </c>
      <c r="Q758" t="n">
        <v>0</v>
      </c>
      <c r="R758" s="2" t="inlineStr"/>
    </row>
    <row r="759" ht="15" customHeight="1">
      <c r="A759" t="inlineStr">
        <is>
          <t>A 2901-2023</t>
        </is>
      </c>
      <c r="B759" s="1" t="n">
        <v>44945</v>
      </c>
      <c r="C759" s="1" t="n">
        <v>45983</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57402-2024</t>
        </is>
      </c>
      <c r="B760" s="1" t="n">
        <v>45629</v>
      </c>
      <c r="C760" s="1" t="n">
        <v>45983</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1951-2024</t>
        </is>
      </c>
      <c r="B761" s="1" t="n">
        <v>45308.49630787037</v>
      </c>
      <c r="C761" s="1" t="n">
        <v>45983</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32871-2024</t>
        </is>
      </c>
      <c r="B762" s="1" t="n">
        <v>45516.66552083333</v>
      </c>
      <c r="C762" s="1" t="n">
        <v>45983</v>
      </c>
      <c r="D762" t="inlineStr">
        <is>
          <t>UPPSALA LÄN</t>
        </is>
      </c>
      <c r="E762" t="inlineStr">
        <is>
          <t>TIERP</t>
        </is>
      </c>
      <c r="G762" t="n">
        <v>4.8</v>
      </c>
      <c r="H762" t="n">
        <v>0</v>
      </c>
      <c r="I762" t="n">
        <v>0</v>
      </c>
      <c r="J762" t="n">
        <v>0</v>
      </c>
      <c r="K762" t="n">
        <v>0</v>
      </c>
      <c r="L762" t="n">
        <v>0</v>
      </c>
      <c r="M762" t="n">
        <v>0</v>
      </c>
      <c r="N762" t="n">
        <v>0</v>
      </c>
      <c r="O762" t="n">
        <v>0</v>
      </c>
      <c r="P762" t="n">
        <v>0</v>
      </c>
      <c r="Q762" t="n">
        <v>0</v>
      </c>
      <c r="R762" s="2" t="inlineStr"/>
    </row>
    <row r="763" ht="15" customHeight="1">
      <c r="A763" t="inlineStr">
        <is>
          <t>A 20641-2025</t>
        </is>
      </c>
      <c r="B763" s="1" t="n">
        <v>45776.37788194444</v>
      </c>
      <c r="C763" s="1" t="n">
        <v>45983</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20644-2025</t>
        </is>
      </c>
      <c r="B764" s="1" t="n">
        <v>45776.37835648148</v>
      </c>
      <c r="C764" s="1" t="n">
        <v>45983</v>
      </c>
      <c r="D764" t="inlineStr">
        <is>
          <t>UPPSALA LÄN</t>
        </is>
      </c>
      <c r="E764" t="inlineStr">
        <is>
          <t>TIERP</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20886-2025</t>
        </is>
      </c>
      <c r="B765" s="1" t="n">
        <v>45777.36902777778</v>
      </c>
      <c r="C765" s="1" t="n">
        <v>45983</v>
      </c>
      <c r="D765" t="inlineStr">
        <is>
          <t>UPPSALA LÄN</t>
        </is>
      </c>
      <c r="E765" t="inlineStr">
        <is>
          <t>TIERP</t>
        </is>
      </c>
      <c r="F765" t="inlineStr">
        <is>
          <t>Bergvik skog öst AB</t>
        </is>
      </c>
      <c r="G765" t="n">
        <v>6.6</v>
      </c>
      <c r="H765" t="n">
        <v>0</v>
      </c>
      <c r="I765" t="n">
        <v>0</v>
      </c>
      <c r="J765" t="n">
        <v>0</v>
      </c>
      <c r="K765" t="n">
        <v>0</v>
      </c>
      <c r="L765" t="n">
        <v>0</v>
      </c>
      <c r="M765" t="n">
        <v>0</v>
      </c>
      <c r="N765" t="n">
        <v>0</v>
      </c>
      <c r="O765" t="n">
        <v>0</v>
      </c>
      <c r="P765" t="n">
        <v>0</v>
      </c>
      <c r="Q765" t="n">
        <v>0</v>
      </c>
      <c r="R765" s="2" t="inlineStr"/>
    </row>
    <row r="766" ht="15" customHeight="1">
      <c r="A766" t="inlineStr">
        <is>
          <t>A 21047-2025</t>
        </is>
      </c>
      <c r="B766" s="1" t="n">
        <v>45777.55640046296</v>
      </c>
      <c r="C766" s="1" t="n">
        <v>45983</v>
      </c>
      <c r="D766" t="inlineStr">
        <is>
          <t>UPPSALA LÄN</t>
        </is>
      </c>
      <c r="E766" t="inlineStr">
        <is>
          <t>TIERP</t>
        </is>
      </c>
      <c r="G766" t="n">
        <v>2.1</v>
      </c>
      <c r="H766" t="n">
        <v>0</v>
      </c>
      <c r="I766" t="n">
        <v>0</v>
      </c>
      <c r="J766" t="n">
        <v>0</v>
      </c>
      <c r="K766" t="n">
        <v>0</v>
      </c>
      <c r="L766" t="n">
        <v>0</v>
      </c>
      <c r="M766" t="n">
        <v>0</v>
      </c>
      <c r="N766" t="n">
        <v>0</v>
      </c>
      <c r="O766" t="n">
        <v>0</v>
      </c>
      <c r="P766" t="n">
        <v>0</v>
      </c>
      <c r="Q766" t="n">
        <v>0</v>
      </c>
      <c r="R766" s="2" t="inlineStr"/>
    </row>
    <row r="767" ht="15" customHeight="1">
      <c r="A767" t="inlineStr">
        <is>
          <t>A 21398-2025</t>
        </is>
      </c>
      <c r="B767" s="1" t="n">
        <v>45782.483125</v>
      </c>
      <c r="C767" s="1" t="n">
        <v>45983</v>
      </c>
      <c r="D767" t="inlineStr">
        <is>
          <t>UPPSALA LÄN</t>
        </is>
      </c>
      <c r="E767" t="inlineStr">
        <is>
          <t>TIERP</t>
        </is>
      </c>
      <c r="F767" t="inlineStr">
        <is>
          <t>Kyrkan</t>
        </is>
      </c>
      <c r="G767" t="n">
        <v>2.7</v>
      </c>
      <c r="H767" t="n">
        <v>0</v>
      </c>
      <c r="I767" t="n">
        <v>0</v>
      </c>
      <c r="J767" t="n">
        <v>0</v>
      </c>
      <c r="K767" t="n">
        <v>0</v>
      </c>
      <c r="L767" t="n">
        <v>0</v>
      </c>
      <c r="M767" t="n">
        <v>0</v>
      </c>
      <c r="N767" t="n">
        <v>0</v>
      </c>
      <c r="O767" t="n">
        <v>0</v>
      </c>
      <c r="P767" t="n">
        <v>0</v>
      </c>
      <c r="Q767" t="n">
        <v>0</v>
      </c>
      <c r="R767" s="2" t="inlineStr"/>
    </row>
    <row r="768" ht="15" customHeight="1">
      <c r="A768" t="inlineStr">
        <is>
          <t>A 21473-2025</t>
        </is>
      </c>
      <c r="B768" s="1" t="n">
        <v>45782.59054398148</v>
      </c>
      <c r="C768" s="1" t="n">
        <v>45983</v>
      </c>
      <c r="D768" t="inlineStr">
        <is>
          <t>UPPSALA LÄN</t>
        </is>
      </c>
      <c r="E768" t="inlineStr">
        <is>
          <t>TIERP</t>
        </is>
      </c>
      <c r="G768" t="n">
        <v>3.2</v>
      </c>
      <c r="H768" t="n">
        <v>0</v>
      </c>
      <c r="I768" t="n">
        <v>0</v>
      </c>
      <c r="J768" t="n">
        <v>0</v>
      </c>
      <c r="K768" t="n">
        <v>0</v>
      </c>
      <c r="L768" t="n">
        <v>0</v>
      </c>
      <c r="M768" t="n">
        <v>0</v>
      </c>
      <c r="N768" t="n">
        <v>0</v>
      </c>
      <c r="O768" t="n">
        <v>0</v>
      </c>
      <c r="P768" t="n">
        <v>0</v>
      </c>
      <c r="Q768" t="n">
        <v>0</v>
      </c>
      <c r="R768" s="2" t="inlineStr"/>
    </row>
    <row r="769" ht="15" customHeight="1">
      <c r="A769" t="inlineStr">
        <is>
          <t>A 8958-2024</t>
        </is>
      </c>
      <c r="B769" s="1" t="n">
        <v>45357.45214120371</v>
      </c>
      <c r="C769" s="1" t="n">
        <v>45983</v>
      </c>
      <c r="D769" t="inlineStr">
        <is>
          <t>UPPSALA LÄN</t>
        </is>
      </c>
      <c r="E769" t="inlineStr">
        <is>
          <t>TIERP</t>
        </is>
      </c>
      <c r="G769" t="n">
        <v>3.8</v>
      </c>
      <c r="H769" t="n">
        <v>0</v>
      </c>
      <c r="I769" t="n">
        <v>0</v>
      </c>
      <c r="J769" t="n">
        <v>0</v>
      </c>
      <c r="K769" t="n">
        <v>0</v>
      </c>
      <c r="L769" t="n">
        <v>0</v>
      </c>
      <c r="M769" t="n">
        <v>0</v>
      </c>
      <c r="N769" t="n">
        <v>0</v>
      </c>
      <c r="O769" t="n">
        <v>0</v>
      </c>
      <c r="P769" t="n">
        <v>0</v>
      </c>
      <c r="Q769" t="n">
        <v>0</v>
      </c>
      <c r="R769" s="2" t="inlineStr"/>
    </row>
    <row r="770" ht="15" customHeight="1">
      <c r="A770" t="inlineStr">
        <is>
          <t>A 21325-2025</t>
        </is>
      </c>
      <c r="B770" s="1" t="n">
        <v>45782.3503587963</v>
      </c>
      <c r="C770" s="1" t="n">
        <v>45983</v>
      </c>
      <c r="D770" t="inlineStr">
        <is>
          <t>UPPSALA LÄN</t>
        </is>
      </c>
      <c r="E770" t="inlineStr">
        <is>
          <t>TIERP</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21889-2025</t>
        </is>
      </c>
      <c r="B771" s="1" t="n">
        <v>45784.43336805556</v>
      </c>
      <c r="C771" s="1" t="n">
        <v>45983</v>
      </c>
      <c r="D771" t="inlineStr">
        <is>
          <t>UPPSALA LÄN</t>
        </is>
      </c>
      <c r="E771" t="inlineStr">
        <is>
          <t>TIERP</t>
        </is>
      </c>
      <c r="G771" t="n">
        <v>0.8</v>
      </c>
      <c r="H771" t="n">
        <v>0</v>
      </c>
      <c r="I771" t="n">
        <v>0</v>
      </c>
      <c r="J771" t="n">
        <v>0</v>
      </c>
      <c r="K771" t="n">
        <v>0</v>
      </c>
      <c r="L771" t="n">
        <v>0</v>
      </c>
      <c r="M771" t="n">
        <v>0</v>
      </c>
      <c r="N771" t="n">
        <v>0</v>
      </c>
      <c r="O771" t="n">
        <v>0</v>
      </c>
      <c r="P771" t="n">
        <v>0</v>
      </c>
      <c r="Q771" t="n">
        <v>0</v>
      </c>
      <c r="R771" s="2" t="inlineStr"/>
    </row>
    <row r="772" ht="15" customHeight="1">
      <c r="A772" t="inlineStr">
        <is>
          <t>A 21635-2025</t>
        </is>
      </c>
      <c r="B772" s="1" t="n">
        <v>45783.4287962963</v>
      </c>
      <c r="C772" s="1" t="n">
        <v>45983</v>
      </c>
      <c r="D772" t="inlineStr">
        <is>
          <t>UPPSALA LÄN</t>
        </is>
      </c>
      <c r="E772" t="inlineStr">
        <is>
          <t>TIERP</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c r="A773" t="inlineStr">
        <is>
          <t>A 21636-2025</t>
        </is>
      </c>
      <c r="B773" s="1" t="n">
        <v>45783.42976851852</v>
      </c>
      <c r="C773" s="1" t="n">
        <v>45983</v>
      </c>
      <c r="D773" t="inlineStr">
        <is>
          <t>UPPSALA LÄN</t>
        </is>
      </c>
      <c r="E773" t="inlineStr">
        <is>
          <t>TIERP</t>
        </is>
      </c>
      <c r="F773" t="inlineStr">
        <is>
          <t>Bergvik skog öst AB</t>
        </is>
      </c>
      <c r="G773" t="n">
        <v>1.8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2025-11-22T10:15:05Z</dcterms:created>
  <dcterms:modified xmlns:dcterms="http://purl.org/dc/terms/" xmlns:xsi="http://www.w3.org/2001/XMLSchema-instance" xsi:type="dcterms:W3CDTF">2025-11-22T10:15:06Z</dcterms:modified>
</cp:coreProperties>
</file>