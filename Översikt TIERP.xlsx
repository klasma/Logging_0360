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45827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45827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45827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45827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45827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45827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45827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45827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45827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45827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45827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45827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45827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45827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45827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45827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45827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45827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45827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45827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45827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45827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45827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45827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45827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45827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45827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45827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45827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45827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45827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45827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45827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45827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45827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45827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45827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45827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45827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45827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45827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45827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45827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45827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45827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45827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45827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45827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45827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45827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45827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45827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45827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45827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45827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45827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45827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45827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45827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45827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48687-2023</t>
        </is>
      </c>
      <c r="B62" s="1" t="n">
        <v>45208</v>
      </c>
      <c r="C62" s="1" t="n">
        <v>45827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Klasefibbla</t>
        </is>
      </c>
      <c r="S62">
        <f>HYPERLINK("https://klasma.github.io/Logging_0360/artfynd/A 48687-2023 artfynd.xlsx", "A 48687-2023")</f>
        <v/>
      </c>
      <c r="T62">
        <f>HYPERLINK("https://klasma.github.io/Logging_0360/kartor/A 48687-2023 karta.png", "A 48687-2023")</f>
        <v/>
      </c>
      <c r="V62">
        <f>HYPERLINK("https://klasma.github.io/Logging_0360/klagomål/A 48687-2023 FSC-klagomål.docx", "A 48687-2023")</f>
        <v/>
      </c>
      <c r="W62">
        <f>HYPERLINK("https://klasma.github.io/Logging_0360/klagomålsmail/A 48687-2023 FSC-klagomål mail.docx", "A 48687-2023")</f>
        <v/>
      </c>
      <c r="X62">
        <f>HYPERLINK("https://klasma.github.io/Logging_0360/tillsyn/A 48687-2023 tillsynsbegäran.docx", "A 48687-2023")</f>
        <v/>
      </c>
      <c r="Y62">
        <f>HYPERLINK("https://klasma.github.io/Logging_0360/tillsynsmail/A 48687-2023 tillsynsbegäran mail.docx", "A 48687-2023")</f>
        <v/>
      </c>
      <c r="Z62">
        <f>HYPERLINK("https://klasma.github.io/Logging_0360/fåglar/A 48687-2023 prioriterade fågelarter.docx", "A 48687-2023")</f>
        <v/>
      </c>
    </row>
    <row r="63" ht="15" customHeight="1">
      <c r="A63" t="inlineStr">
        <is>
          <t>A 48917-2023</t>
        </is>
      </c>
      <c r="B63" s="1" t="n">
        <v>45209</v>
      </c>
      <c r="C63" s="1" t="n">
        <v>45827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Talltita</t>
        </is>
      </c>
      <c r="S63">
        <f>HYPERLINK("https://klasma.github.io/Logging_0360/artfynd/A 48917-2023 artfynd.xlsx", "A 48917-2023")</f>
        <v/>
      </c>
      <c r="T63">
        <f>HYPERLINK("https://klasma.github.io/Logging_0360/kartor/A 48917-2023 karta.png", "A 48917-2023")</f>
        <v/>
      </c>
      <c r="V63">
        <f>HYPERLINK("https://klasma.github.io/Logging_0360/klagomål/A 48917-2023 FSC-klagomål.docx", "A 48917-2023")</f>
        <v/>
      </c>
      <c r="W63">
        <f>HYPERLINK("https://klasma.github.io/Logging_0360/klagomålsmail/A 48917-2023 FSC-klagomål mail.docx", "A 48917-2023")</f>
        <v/>
      </c>
      <c r="X63">
        <f>HYPERLINK("https://klasma.github.io/Logging_0360/tillsyn/A 48917-2023 tillsynsbegäran.docx", "A 48917-2023")</f>
        <v/>
      </c>
      <c r="Y63">
        <f>HYPERLINK("https://klasma.github.io/Logging_0360/tillsynsmail/A 48917-2023 tillsynsbegäran mail.docx", "A 48917-2023")</f>
        <v/>
      </c>
      <c r="Z63">
        <f>HYPERLINK("https://klasma.github.io/Logging_0360/fåglar/A 48917-2023 prioriterade fågelarter.docx", "A 48917-2023")</f>
        <v/>
      </c>
    </row>
    <row r="64" ht="15" customHeight="1">
      <c r="A64" t="inlineStr">
        <is>
          <t>A 54436-2023</t>
        </is>
      </c>
      <c r="B64" s="1" t="n">
        <v>45233</v>
      </c>
      <c r="C64" s="1" t="n">
        <v>45827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30.2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Tvåblad</t>
        </is>
      </c>
      <c r="S64">
        <f>HYPERLINK("https://klasma.github.io/Logging_0360/artfynd/A 54436-2023 artfynd.xlsx", "A 54436-2023")</f>
        <v/>
      </c>
      <c r="T64">
        <f>HYPERLINK("https://klasma.github.io/Logging_0360/kartor/A 54436-2023 karta.png", "A 54436-2023")</f>
        <v/>
      </c>
      <c r="V64">
        <f>HYPERLINK("https://klasma.github.io/Logging_0360/klagomål/A 54436-2023 FSC-klagomål.docx", "A 54436-2023")</f>
        <v/>
      </c>
      <c r="W64">
        <f>HYPERLINK("https://klasma.github.io/Logging_0360/klagomålsmail/A 54436-2023 FSC-klagomål mail.docx", "A 54436-2023")</f>
        <v/>
      </c>
      <c r="X64">
        <f>HYPERLINK("https://klasma.github.io/Logging_0360/tillsyn/A 54436-2023 tillsynsbegäran.docx", "A 54436-2023")</f>
        <v/>
      </c>
      <c r="Y64">
        <f>HYPERLINK("https://klasma.github.io/Logging_0360/tillsynsmail/A 54436-2023 tillsynsbegäran mail.docx", "A 54436-2023")</f>
        <v/>
      </c>
    </row>
    <row r="65" ht="15" customHeight="1">
      <c r="A65" t="inlineStr">
        <is>
          <t>A 59949-2023</t>
        </is>
      </c>
      <c r="B65" s="1" t="n">
        <v>45257</v>
      </c>
      <c r="C65" s="1" t="n">
        <v>45827</v>
      </c>
      <c r="D65" t="inlineStr">
        <is>
          <t>UPPSALA LÄN</t>
        </is>
      </c>
      <c r="E65" t="inlineStr">
        <is>
          <t>TIERP</t>
        </is>
      </c>
      <c r="G65" t="n">
        <v>1.3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Svavelriska</t>
        </is>
      </c>
      <c r="S65">
        <f>HYPERLINK("https://klasma.github.io/Logging_0360/artfynd/A 59949-2023 artfynd.xlsx", "A 59949-2023")</f>
        <v/>
      </c>
      <c r="T65">
        <f>HYPERLINK("https://klasma.github.io/Logging_0360/kartor/A 59949-2023 karta.png", "A 59949-2023")</f>
        <v/>
      </c>
      <c r="V65">
        <f>HYPERLINK("https://klasma.github.io/Logging_0360/klagomål/A 59949-2023 FSC-klagomål.docx", "A 59949-2023")</f>
        <v/>
      </c>
      <c r="W65">
        <f>HYPERLINK("https://klasma.github.io/Logging_0360/klagomålsmail/A 59949-2023 FSC-klagomål mail.docx", "A 59949-2023")</f>
        <v/>
      </c>
      <c r="X65">
        <f>HYPERLINK("https://klasma.github.io/Logging_0360/tillsyn/A 59949-2023 tillsynsbegäran.docx", "A 59949-2023")</f>
        <v/>
      </c>
      <c r="Y65">
        <f>HYPERLINK("https://klasma.github.io/Logging_0360/tillsynsmail/A 59949-2023 tillsynsbegäran mail.docx", "A 59949-2023")</f>
        <v/>
      </c>
    </row>
    <row r="66" ht="15" customHeight="1">
      <c r="A66" t="inlineStr">
        <is>
          <t>A 140-2024</t>
        </is>
      </c>
      <c r="B66" s="1" t="n">
        <v>45294</v>
      </c>
      <c r="C66" s="1" t="n">
        <v>45827</v>
      </c>
      <c r="D66" t="inlineStr">
        <is>
          <t>UPPSALA LÄN</t>
        </is>
      </c>
      <c r="E66" t="inlineStr">
        <is>
          <t>TIERP</t>
        </is>
      </c>
      <c r="G66" t="n">
        <v>2.9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Ärtsångare</t>
        </is>
      </c>
      <c r="S66">
        <f>HYPERLINK("https://klasma.github.io/Logging_0360/artfynd/A 140-2024 artfynd.xlsx", "A 140-2024")</f>
        <v/>
      </c>
      <c r="T66">
        <f>HYPERLINK("https://klasma.github.io/Logging_0360/kartor/A 140-2024 karta.png", "A 140-2024")</f>
        <v/>
      </c>
      <c r="V66">
        <f>HYPERLINK("https://klasma.github.io/Logging_0360/klagomål/A 140-2024 FSC-klagomål.docx", "A 140-2024")</f>
        <v/>
      </c>
      <c r="W66">
        <f>HYPERLINK("https://klasma.github.io/Logging_0360/klagomålsmail/A 140-2024 FSC-klagomål mail.docx", "A 140-2024")</f>
        <v/>
      </c>
      <c r="X66">
        <f>HYPERLINK("https://klasma.github.io/Logging_0360/tillsyn/A 140-2024 tillsynsbegäran.docx", "A 140-2024")</f>
        <v/>
      </c>
      <c r="Y66">
        <f>HYPERLINK("https://klasma.github.io/Logging_0360/tillsynsmail/A 140-2024 tillsynsbegäran mail.docx", "A 140-2024")</f>
        <v/>
      </c>
      <c r="Z66">
        <f>HYPERLINK("https://klasma.github.io/Logging_0360/fåglar/A 140-2024 prioriterade fågelarter.docx", "A 140-2024")</f>
        <v/>
      </c>
    </row>
    <row r="67" ht="15" customHeight="1">
      <c r="A67" t="inlineStr">
        <is>
          <t>A 11449-2024</t>
        </is>
      </c>
      <c r="B67" s="1" t="n">
        <v>45372</v>
      </c>
      <c r="C67" s="1" t="n">
        <v>45827</v>
      </c>
      <c r="D67" t="inlineStr">
        <is>
          <t>UPPSALA LÄN</t>
        </is>
      </c>
      <c r="E67" t="inlineStr">
        <is>
          <t>TIERP</t>
        </is>
      </c>
      <c r="G67" t="n">
        <v>1.9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Blek fingersvamp
Rödgul trumpetsvamp</t>
        </is>
      </c>
      <c r="S67">
        <f>HYPERLINK("https://klasma.github.io/Logging_0360/artfynd/A 11449-2024 artfynd.xlsx", "A 11449-2024")</f>
        <v/>
      </c>
      <c r="T67">
        <f>HYPERLINK("https://klasma.github.io/Logging_0360/kartor/A 11449-2024 karta.png", "A 11449-2024")</f>
        <v/>
      </c>
      <c r="V67">
        <f>HYPERLINK("https://klasma.github.io/Logging_0360/klagomål/A 11449-2024 FSC-klagomål.docx", "A 11449-2024")</f>
        <v/>
      </c>
      <c r="W67">
        <f>HYPERLINK("https://klasma.github.io/Logging_0360/klagomålsmail/A 11449-2024 FSC-klagomål mail.docx", "A 11449-2024")</f>
        <v/>
      </c>
      <c r="X67">
        <f>HYPERLINK("https://klasma.github.io/Logging_0360/tillsyn/A 11449-2024 tillsynsbegäran.docx", "A 11449-2024")</f>
        <v/>
      </c>
      <c r="Y67">
        <f>HYPERLINK("https://klasma.github.io/Logging_0360/tillsynsmail/A 11449-2024 tillsynsbegäran mail.docx", "A 11449-2024")</f>
        <v/>
      </c>
    </row>
    <row r="68" ht="15" customHeight="1">
      <c r="A68" t="inlineStr">
        <is>
          <t>A 12971-2024</t>
        </is>
      </c>
      <c r="B68" s="1" t="n">
        <v>45385</v>
      </c>
      <c r="C68" s="1" t="n">
        <v>45827</v>
      </c>
      <c r="D68" t="inlineStr">
        <is>
          <t>UPPSALA LÄN</t>
        </is>
      </c>
      <c r="E68" t="inlineStr">
        <is>
          <t>TIERP</t>
        </is>
      </c>
      <c r="G68" t="n">
        <v>21.4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Entita
Rödvingetrast</t>
        </is>
      </c>
      <c r="S68">
        <f>HYPERLINK("https://klasma.github.io/Logging_0360/artfynd/A 12971-2024 artfynd.xlsx", "A 12971-2024")</f>
        <v/>
      </c>
      <c r="T68">
        <f>HYPERLINK("https://klasma.github.io/Logging_0360/kartor/A 12971-2024 karta.png", "A 12971-2024")</f>
        <v/>
      </c>
      <c r="V68">
        <f>HYPERLINK("https://klasma.github.io/Logging_0360/klagomål/A 12971-2024 FSC-klagomål.docx", "A 12971-2024")</f>
        <v/>
      </c>
      <c r="W68">
        <f>HYPERLINK("https://klasma.github.io/Logging_0360/klagomålsmail/A 12971-2024 FSC-klagomål mail.docx", "A 12971-2024")</f>
        <v/>
      </c>
      <c r="X68">
        <f>HYPERLINK("https://klasma.github.io/Logging_0360/tillsyn/A 12971-2024 tillsynsbegäran.docx", "A 12971-2024")</f>
        <v/>
      </c>
      <c r="Y68">
        <f>HYPERLINK("https://klasma.github.io/Logging_0360/tillsynsmail/A 12971-2024 tillsynsbegäran mail.docx", "A 12971-2024")</f>
        <v/>
      </c>
      <c r="Z68">
        <f>HYPERLINK("https://klasma.github.io/Logging_0360/fåglar/A 12971-2024 prioriterade fågelarter.docx", "A 12971-2024")</f>
        <v/>
      </c>
    </row>
    <row r="69" ht="15" customHeight="1">
      <c r="A69" t="inlineStr">
        <is>
          <t>A 15040-2024</t>
        </is>
      </c>
      <c r="B69" s="1" t="n">
        <v>45399</v>
      </c>
      <c r="C69" s="1" t="n">
        <v>45827</v>
      </c>
      <c r="D69" t="inlineStr">
        <is>
          <t>UPPSALA LÄN</t>
        </is>
      </c>
      <c r="E69" t="inlineStr">
        <is>
          <t>TIERP</t>
        </is>
      </c>
      <c r="G69" t="n">
        <v>7.2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Granbräken
Grönkulla</t>
        </is>
      </c>
      <c r="S69">
        <f>HYPERLINK("https://klasma.github.io/Logging_0360/artfynd/A 15040-2024 artfynd.xlsx", "A 15040-2024")</f>
        <v/>
      </c>
      <c r="T69">
        <f>HYPERLINK("https://klasma.github.io/Logging_0360/kartor/A 15040-2024 karta.png", "A 15040-2024")</f>
        <v/>
      </c>
      <c r="V69">
        <f>HYPERLINK("https://klasma.github.io/Logging_0360/klagomål/A 15040-2024 FSC-klagomål.docx", "A 15040-2024")</f>
        <v/>
      </c>
      <c r="W69">
        <f>HYPERLINK("https://klasma.github.io/Logging_0360/klagomålsmail/A 15040-2024 FSC-klagomål mail.docx", "A 15040-2024")</f>
        <v/>
      </c>
      <c r="X69">
        <f>HYPERLINK("https://klasma.github.io/Logging_0360/tillsyn/A 15040-2024 tillsynsbegäran.docx", "A 15040-2024")</f>
        <v/>
      </c>
      <c r="Y69">
        <f>HYPERLINK("https://klasma.github.io/Logging_0360/tillsynsmail/A 15040-2024 tillsynsbegäran mail.docx", "A 15040-2024")</f>
        <v/>
      </c>
    </row>
    <row r="70" ht="15" customHeight="1">
      <c r="A70" t="inlineStr">
        <is>
          <t>A 20710-2024</t>
        </is>
      </c>
      <c r="B70" s="1" t="n">
        <v>45436</v>
      </c>
      <c r="C70" s="1" t="n">
        <v>45827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21.4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Underviol
Gullviva</t>
        </is>
      </c>
      <c r="S70">
        <f>HYPERLINK("https://klasma.github.io/Logging_0360/artfynd/A 20710-2024 artfynd.xlsx", "A 20710-2024")</f>
        <v/>
      </c>
      <c r="T70">
        <f>HYPERLINK("https://klasma.github.io/Logging_0360/kartor/A 20710-2024 karta.png", "A 20710-2024")</f>
        <v/>
      </c>
      <c r="V70">
        <f>HYPERLINK("https://klasma.github.io/Logging_0360/klagomål/A 20710-2024 FSC-klagomål.docx", "A 20710-2024")</f>
        <v/>
      </c>
      <c r="W70">
        <f>HYPERLINK("https://klasma.github.io/Logging_0360/klagomålsmail/A 20710-2024 FSC-klagomål mail.docx", "A 20710-2024")</f>
        <v/>
      </c>
      <c r="X70">
        <f>HYPERLINK("https://klasma.github.io/Logging_0360/tillsyn/A 20710-2024 tillsynsbegäran.docx", "A 20710-2024")</f>
        <v/>
      </c>
      <c r="Y70">
        <f>HYPERLINK("https://klasma.github.io/Logging_0360/tillsynsmail/A 20710-2024 tillsynsbegäran mail.docx", "A 20710-2024")</f>
        <v/>
      </c>
    </row>
    <row r="71" ht="15" customHeight="1">
      <c r="A71" t="inlineStr">
        <is>
          <t>A 39018-2024</t>
        </is>
      </c>
      <c r="B71" s="1" t="n">
        <v>45548</v>
      </c>
      <c r="C71" s="1" t="n">
        <v>45827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19.1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Rödvingetrast
Talltita</t>
        </is>
      </c>
      <c r="S71">
        <f>HYPERLINK("https://klasma.github.io/Logging_0360/artfynd/A 39018-2024 artfynd.xlsx", "A 39018-2024")</f>
        <v/>
      </c>
      <c r="T71">
        <f>HYPERLINK("https://klasma.github.io/Logging_0360/kartor/A 39018-2024 karta.png", "A 39018-2024")</f>
        <v/>
      </c>
      <c r="V71">
        <f>HYPERLINK("https://klasma.github.io/Logging_0360/klagomål/A 39018-2024 FSC-klagomål.docx", "A 39018-2024")</f>
        <v/>
      </c>
      <c r="W71">
        <f>HYPERLINK("https://klasma.github.io/Logging_0360/klagomålsmail/A 39018-2024 FSC-klagomål mail.docx", "A 39018-2024")</f>
        <v/>
      </c>
      <c r="X71">
        <f>HYPERLINK("https://klasma.github.io/Logging_0360/tillsyn/A 39018-2024 tillsynsbegäran.docx", "A 39018-2024")</f>
        <v/>
      </c>
      <c r="Y71">
        <f>HYPERLINK("https://klasma.github.io/Logging_0360/tillsynsmail/A 39018-2024 tillsynsbegäran mail.docx", "A 39018-2024")</f>
        <v/>
      </c>
      <c r="Z71">
        <f>HYPERLINK("https://klasma.github.io/Logging_0360/fåglar/A 39018-2024 prioriterade fågelarter.docx", "A 39018-2024")</f>
        <v/>
      </c>
    </row>
    <row r="72" ht="15" customHeight="1">
      <c r="A72" t="inlineStr">
        <is>
          <t>A 43643-2024</t>
        </is>
      </c>
      <c r="B72" s="1" t="n">
        <v>45569</v>
      </c>
      <c r="C72" s="1" t="n">
        <v>45827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43643-2024 artfynd.xlsx", "A 43643-2024")</f>
        <v/>
      </c>
      <c r="T72">
        <f>HYPERLINK("https://klasma.github.io/Logging_0360/kartor/A 43643-2024 karta.png", "A 43643-2024")</f>
        <v/>
      </c>
      <c r="V72">
        <f>HYPERLINK("https://klasma.github.io/Logging_0360/klagomål/A 43643-2024 FSC-klagomål.docx", "A 43643-2024")</f>
        <v/>
      </c>
      <c r="W72">
        <f>HYPERLINK("https://klasma.github.io/Logging_0360/klagomålsmail/A 43643-2024 FSC-klagomål mail.docx", "A 43643-2024")</f>
        <v/>
      </c>
      <c r="X72">
        <f>HYPERLINK("https://klasma.github.io/Logging_0360/tillsyn/A 43643-2024 tillsynsbegäran.docx", "A 43643-2024")</f>
        <v/>
      </c>
      <c r="Y72">
        <f>HYPERLINK("https://klasma.github.io/Logging_0360/tillsynsmail/A 43643-2024 tillsynsbegäran mail.docx", "A 43643-2024")</f>
        <v/>
      </c>
      <c r="Z72">
        <f>HYPERLINK("https://klasma.github.io/Logging_0360/fåglar/A 43643-2024 prioriterade fågelarter.docx", "A 43643-2024")</f>
        <v/>
      </c>
    </row>
    <row r="73" ht="15" customHeight="1">
      <c r="A73" t="inlineStr">
        <is>
          <t>A 43645-2024</t>
        </is>
      </c>
      <c r="B73" s="1" t="n">
        <v>45569</v>
      </c>
      <c r="C73" s="1" t="n">
        <v>45827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43645-2024 artfynd.xlsx", "A 43645-2024")</f>
        <v/>
      </c>
      <c r="T73">
        <f>HYPERLINK("https://klasma.github.io/Logging_0360/kartor/A 43645-2024 karta.png", "A 43645-2024")</f>
        <v/>
      </c>
      <c r="V73">
        <f>HYPERLINK("https://klasma.github.io/Logging_0360/klagomål/A 43645-2024 FSC-klagomål.docx", "A 43645-2024")</f>
        <v/>
      </c>
      <c r="W73">
        <f>HYPERLINK("https://klasma.github.io/Logging_0360/klagomålsmail/A 43645-2024 FSC-klagomål mail.docx", "A 43645-2024")</f>
        <v/>
      </c>
      <c r="X73">
        <f>HYPERLINK("https://klasma.github.io/Logging_0360/tillsyn/A 43645-2024 tillsynsbegäran.docx", "A 43645-2024")</f>
        <v/>
      </c>
      <c r="Y73">
        <f>HYPERLINK("https://klasma.github.io/Logging_0360/tillsynsmail/A 43645-2024 tillsynsbegäran mail.docx", "A 43645-2024")</f>
        <v/>
      </c>
      <c r="Z73">
        <f>HYPERLINK("https://klasma.github.io/Logging_0360/fåglar/A 43645-2024 prioriterade fågelarter.docx", "A 43645-2024")</f>
        <v/>
      </c>
    </row>
    <row r="74" ht="15" customHeight="1">
      <c r="A74" t="inlineStr">
        <is>
          <t>A 43642-2024</t>
        </is>
      </c>
      <c r="B74" s="1" t="n">
        <v>45569</v>
      </c>
      <c r="C74" s="1" t="n">
        <v>45827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43642-2024 artfynd.xlsx", "A 43642-2024")</f>
        <v/>
      </c>
      <c r="T74">
        <f>HYPERLINK("https://klasma.github.io/Logging_0360/kartor/A 43642-2024 karta.png", "A 43642-2024")</f>
        <v/>
      </c>
      <c r="V74">
        <f>HYPERLINK("https://klasma.github.io/Logging_0360/klagomål/A 43642-2024 FSC-klagomål.docx", "A 43642-2024")</f>
        <v/>
      </c>
      <c r="W74">
        <f>HYPERLINK("https://klasma.github.io/Logging_0360/klagomålsmail/A 43642-2024 FSC-klagomål mail.docx", "A 43642-2024")</f>
        <v/>
      </c>
      <c r="X74">
        <f>HYPERLINK("https://klasma.github.io/Logging_0360/tillsyn/A 43642-2024 tillsynsbegäran.docx", "A 43642-2024")</f>
        <v/>
      </c>
      <c r="Y74">
        <f>HYPERLINK("https://klasma.github.io/Logging_0360/tillsynsmail/A 43642-2024 tillsynsbegäran mail.docx", "A 43642-2024")</f>
        <v/>
      </c>
      <c r="Z74">
        <f>HYPERLINK("https://klasma.github.io/Logging_0360/fåglar/A 43642-2024 prioriterade fågelarter.docx", "A 43642-2024")</f>
        <v/>
      </c>
    </row>
    <row r="75" ht="15" customHeight="1">
      <c r="A75" t="inlineStr">
        <is>
          <t>A 58146-2024</t>
        </is>
      </c>
      <c r="B75" s="1" t="n">
        <v>45632</v>
      </c>
      <c r="C75" s="1" t="n">
        <v>45827</v>
      </c>
      <c r="D75" t="inlineStr">
        <is>
          <t>UPPSALA LÄN</t>
        </is>
      </c>
      <c r="E75" t="inlineStr">
        <is>
          <t>TIERP</t>
        </is>
      </c>
      <c r="G75" t="n">
        <v>11.8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HYPERLINK("https://klasma.github.io/Logging_0360/artfynd/A 58146-2024 artfynd.xlsx", "A 58146-2024")</f>
        <v/>
      </c>
      <c r="T75">
        <f>HYPERLINK("https://klasma.github.io/Logging_0360/kartor/A 58146-2024 karta.png", "A 58146-2024")</f>
        <v/>
      </c>
      <c r="V75">
        <f>HYPERLINK("https://klasma.github.io/Logging_0360/klagomål/A 58146-2024 FSC-klagomål.docx", "A 58146-2024")</f>
        <v/>
      </c>
      <c r="W75">
        <f>HYPERLINK("https://klasma.github.io/Logging_0360/klagomålsmail/A 58146-2024 FSC-klagomål mail.docx", "A 58146-2024")</f>
        <v/>
      </c>
      <c r="X75">
        <f>HYPERLINK("https://klasma.github.io/Logging_0360/tillsyn/A 58146-2024 tillsynsbegäran.docx", "A 58146-2024")</f>
        <v/>
      </c>
      <c r="Y75">
        <f>HYPERLINK("https://klasma.github.io/Logging_0360/tillsynsmail/A 58146-2024 tillsynsbegäran mail.docx", "A 58146-2024")</f>
        <v/>
      </c>
    </row>
    <row r="76" ht="15" customHeight="1">
      <c r="A76" t="inlineStr">
        <is>
          <t>A 6831-2025</t>
        </is>
      </c>
      <c r="B76" s="1" t="n">
        <v>45700</v>
      </c>
      <c r="C76" s="1" t="n">
        <v>45827</v>
      </c>
      <c r="D76" t="inlineStr">
        <is>
          <t>UPPSALA LÄN</t>
        </is>
      </c>
      <c r="E76" t="inlineStr">
        <is>
          <t>TIERP</t>
        </is>
      </c>
      <c r="G76" t="n">
        <v>11.7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Tibast
Revlummer</t>
        </is>
      </c>
      <c r="S76">
        <f>HYPERLINK("https://klasma.github.io/Logging_0360/artfynd/A 6831-2025 artfynd.xlsx", "A 6831-2025")</f>
        <v/>
      </c>
      <c r="T76">
        <f>HYPERLINK("https://klasma.github.io/Logging_0360/kartor/A 6831-2025 karta.png", "A 6831-2025")</f>
        <v/>
      </c>
      <c r="V76">
        <f>HYPERLINK("https://klasma.github.io/Logging_0360/klagomål/A 6831-2025 FSC-klagomål.docx", "A 6831-2025")</f>
        <v/>
      </c>
      <c r="W76">
        <f>HYPERLINK("https://klasma.github.io/Logging_0360/klagomålsmail/A 6831-2025 FSC-klagomål mail.docx", "A 6831-2025")</f>
        <v/>
      </c>
      <c r="X76">
        <f>HYPERLINK("https://klasma.github.io/Logging_0360/tillsyn/A 6831-2025 tillsynsbegäran.docx", "A 6831-2025")</f>
        <v/>
      </c>
      <c r="Y76">
        <f>HYPERLINK("https://klasma.github.io/Logging_0360/tillsynsmail/A 6831-2025 tillsynsbegäran mail.docx", "A 6831-2025")</f>
        <v/>
      </c>
    </row>
    <row r="77" ht="15" customHeight="1">
      <c r="A77" t="inlineStr">
        <is>
          <t>A 17748-2025</t>
        </is>
      </c>
      <c r="B77" s="1" t="n">
        <v>45758</v>
      </c>
      <c r="C77" s="1" t="n">
        <v>45827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9.800000000000001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Opalfingersvamp
Skogsknipprot</t>
        </is>
      </c>
      <c r="S77">
        <f>HYPERLINK("https://klasma.github.io/Logging_030360/artfynd/A 17748-2025 artfynd.xlsx", "A 17748-2025")</f>
        <v/>
      </c>
      <c r="T77">
        <f>HYPERLINK("https://klasma.github.io/Logging_030360/kartor/A 17748-2025 karta.png", "A 17748-2025")</f>
        <v/>
      </c>
      <c r="V77">
        <f>HYPERLINK("https://klasma.github.io/Logging_030360/klagomål/A 17748-2025 FSC-klagomål.docx", "A 17748-2025")</f>
        <v/>
      </c>
      <c r="W77">
        <f>HYPERLINK("https://klasma.github.io/Logging_030360/klagomålsmail/A 17748-2025 FSC-klagomål mail.docx", "A 17748-2025")</f>
        <v/>
      </c>
      <c r="X77">
        <f>HYPERLINK("https://klasma.github.io/Logging_030360/tillsyn/A 17748-2025 tillsynsbegäran.docx", "A 17748-2025")</f>
        <v/>
      </c>
      <c r="Y77">
        <f>HYPERLINK("https://klasma.github.io/Logging_030360/tillsynsmail/A 17748-2025 tillsynsbegäran mail.docx", "A 17748-2025")</f>
        <v/>
      </c>
    </row>
    <row r="78" ht="15" customHeight="1">
      <c r="A78" t="inlineStr">
        <is>
          <t>A 21607-2025</t>
        </is>
      </c>
      <c r="B78" s="1" t="n">
        <v>45783</v>
      </c>
      <c r="C78" s="1" t="n">
        <v>45827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Vanlig rörsvepemossa
Revlummer</t>
        </is>
      </c>
      <c r="S78">
        <f>HYPERLINK("https://klasma.github.io/Logging_030360/artfynd/A 21607-2025 artfynd.xlsx", "A 21607-2025")</f>
        <v/>
      </c>
      <c r="T78">
        <f>HYPERLINK("https://klasma.github.io/Logging_030360/kartor/A 21607-2025 karta.png", "A 21607-2025")</f>
        <v/>
      </c>
      <c r="V78">
        <f>HYPERLINK("https://klasma.github.io/Logging_030360/klagomål/A 21607-2025 FSC-klagomål.docx", "A 21607-2025")</f>
        <v/>
      </c>
      <c r="W78">
        <f>HYPERLINK("https://klasma.github.io/Logging_030360/klagomålsmail/A 21607-2025 FSC-klagomål mail.docx", "A 21607-2025")</f>
        <v/>
      </c>
      <c r="X78">
        <f>HYPERLINK("https://klasma.github.io/Logging_030360/tillsyn/A 21607-2025 tillsynsbegäran.docx", "A 21607-2025")</f>
        <v/>
      </c>
      <c r="Y78">
        <f>HYPERLINK("https://klasma.github.io/Logging_030360/tillsynsmail/A 21607-2025 tillsynsbegäran mail.docx", "A 21607-2025")</f>
        <v/>
      </c>
    </row>
    <row r="79" ht="15" customHeight="1">
      <c r="A79" t="inlineStr">
        <is>
          <t>A 25013-2025</t>
        </is>
      </c>
      <c r="B79" s="1" t="n">
        <v>45799</v>
      </c>
      <c r="C79" s="1" t="n">
        <v>45827</v>
      </c>
      <c r="D79" t="inlineStr">
        <is>
          <t>UPPSALA LÄN</t>
        </is>
      </c>
      <c r="E79" t="inlineStr">
        <is>
          <t>TIERP</t>
        </is>
      </c>
      <c r="G79" t="n">
        <v>0.5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Gul taggsvamp
Rödgul trumpetsvamp</t>
        </is>
      </c>
      <c r="S79">
        <f>HYPERLINK("https://klasma.github.io/Logging_030360/artfynd/A 25013-2025 artfynd.xlsx", "A 25013-2025")</f>
        <v/>
      </c>
      <c r="T79">
        <f>HYPERLINK("https://klasma.github.io/Logging_030360/kartor/A 25013-2025 karta.png", "A 25013-2025")</f>
        <v/>
      </c>
      <c r="V79">
        <f>HYPERLINK("https://klasma.github.io/Logging_030360/klagomål/A 25013-2025 FSC-klagomål.docx", "A 25013-2025")</f>
        <v/>
      </c>
      <c r="W79">
        <f>HYPERLINK("https://klasma.github.io/Logging_030360/klagomålsmail/A 25013-2025 FSC-klagomål mail.docx", "A 25013-2025")</f>
        <v/>
      </c>
      <c r="X79">
        <f>HYPERLINK("https://klasma.github.io/Logging_030360/tillsyn/A 25013-2025 tillsynsbegäran.docx", "A 25013-2025")</f>
        <v/>
      </c>
      <c r="Y79">
        <f>HYPERLINK("https://klasma.github.io/Logging_030360/tillsynsmail/A 25013-2025 tillsynsbegäran mail.docx", "A 25013-2025")</f>
        <v/>
      </c>
    </row>
    <row r="80" ht="15" customHeight="1">
      <c r="A80" t="inlineStr">
        <is>
          <t>A 30583-2019</t>
        </is>
      </c>
      <c r="B80" s="1" t="n">
        <v>43635</v>
      </c>
      <c r="C80" s="1" t="n">
        <v>45827</v>
      </c>
      <c r="D80" t="inlineStr">
        <is>
          <t>UPPSALA LÄN</t>
        </is>
      </c>
      <c r="E80" t="inlineStr">
        <is>
          <t>TIERP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Guckusko</t>
        </is>
      </c>
      <c r="S80">
        <f>HYPERLINK("https://klasma.github.io/Logging_0360/artfynd/A 30583-2019 artfynd.xlsx", "A 30583-2019")</f>
        <v/>
      </c>
      <c r="T80">
        <f>HYPERLINK("https://klasma.github.io/Logging_0360/kartor/A 30583-2019 karta.png", "A 30583-2019")</f>
        <v/>
      </c>
      <c r="V80">
        <f>HYPERLINK("https://klasma.github.io/Logging_0360/klagomål/A 30583-2019 FSC-klagomål.docx", "A 30583-2019")</f>
        <v/>
      </c>
      <c r="W80">
        <f>HYPERLINK("https://klasma.github.io/Logging_0360/klagomålsmail/A 30583-2019 FSC-klagomål mail.docx", "A 30583-2019")</f>
        <v/>
      </c>
      <c r="X80">
        <f>HYPERLINK("https://klasma.github.io/Logging_0360/tillsyn/A 30583-2019 tillsynsbegäran.docx", "A 30583-2019")</f>
        <v/>
      </c>
      <c r="Y80">
        <f>HYPERLINK("https://klasma.github.io/Logging_0360/tillsynsmail/A 30583-2019 tillsynsbegäran mail.docx", "A 30583-2019")</f>
        <v/>
      </c>
    </row>
    <row r="81" ht="15" customHeight="1">
      <c r="A81" t="inlineStr">
        <is>
          <t>A 33753-2019</t>
        </is>
      </c>
      <c r="B81" s="1" t="n">
        <v>43651</v>
      </c>
      <c r="C81" s="1" t="n">
        <v>45827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HYPERLINK("https://klasma.github.io/Logging_0360/artfynd/A 33753-2019 artfynd.xlsx", "A 33753-2019")</f>
        <v/>
      </c>
      <c r="T81">
        <f>HYPERLINK("https://klasma.github.io/Logging_0360/kartor/A 33753-2019 karta.png", "A 33753-2019")</f>
        <v/>
      </c>
      <c r="V81">
        <f>HYPERLINK("https://klasma.github.io/Logging_0360/klagomål/A 33753-2019 FSC-klagomål.docx", "A 33753-2019")</f>
        <v/>
      </c>
      <c r="W81">
        <f>HYPERLINK("https://klasma.github.io/Logging_0360/klagomålsmail/A 33753-2019 FSC-klagomål mail.docx", "A 33753-2019")</f>
        <v/>
      </c>
      <c r="X81">
        <f>HYPERLINK("https://klasma.github.io/Logging_0360/tillsyn/A 33753-2019 tillsynsbegäran.docx", "A 33753-2019")</f>
        <v/>
      </c>
      <c r="Y81">
        <f>HYPERLINK("https://klasma.github.io/Logging_0360/tillsynsmail/A 33753-2019 tillsynsbegäran mail.docx", "A 33753-2019")</f>
        <v/>
      </c>
    </row>
    <row r="82" ht="15" customHeight="1">
      <c r="A82" t="inlineStr">
        <is>
          <t>A 2391-2020</t>
        </is>
      </c>
      <c r="B82" s="1" t="n">
        <v>43847</v>
      </c>
      <c r="C82" s="1" t="n">
        <v>45827</v>
      </c>
      <c r="D82" t="inlineStr">
        <is>
          <t>UPPSALA LÄN</t>
        </is>
      </c>
      <c r="E82" t="inlineStr">
        <is>
          <t>TIERP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Äggspindling</t>
        </is>
      </c>
      <c r="S82">
        <f>HYPERLINK("https://klasma.github.io/Logging_0360/artfynd/A 2391-2020 artfynd.xlsx", "A 2391-2020")</f>
        <v/>
      </c>
      <c r="T82">
        <f>HYPERLINK("https://klasma.github.io/Logging_0360/kartor/A 2391-2020 karta.png", "A 2391-2020")</f>
        <v/>
      </c>
      <c r="V82">
        <f>HYPERLINK("https://klasma.github.io/Logging_0360/klagomål/A 2391-2020 FSC-klagomål.docx", "A 2391-2020")</f>
        <v/>
      </c>
      <c r="W82">
        <f>HYPERLINK("https://klasma.github.io/Logging_0360/klagomålsmail/A 2391-2020 FSC-klagomål mail.docx", "A 2391-2020")</f>
        <v/>
      </c>
      <c r="X82">
        <f>HYPERLINK("https://klasma.github.io/Logging_0360/tillsyn/A 2391-2020 tillsynsbegäran.docx", "A 2391-2020")</f>
        <v/>
      </c>
      <c r="Y82">
        <f>HYPERLINK("https://klasma.github.io/Logging_0360/tillsynsmail/A 2391-2020 tillsynsbegäran mail.docx", "A 2391-2020")</f>
        <v/>
      </c>
    </row>
    <row r="83" ht="15" customHeight="1">
      <c r="A83" t="inlineStr">
        <is>
          <t>A 2835-2020</t>
        </is>
      </c>
      <c r="B83" s="1" t="n">
        <v>43850</v>
      </c>
      <c r="C83" s="1" t="n">
        <v>45827</v>
      </c>
      <c r="D83" t="inlineStr">
        <is>
          <t>UPPSALA LÄN</t>
        </is>
      </c>
      <c r="E83" t="inlineStr">
        <is>
          <t>TIERP</t>
        </is>
      </c>
      <c r="G83" t="n">
        <v>7.6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HYPERLINK("https://klasma.github.io/Logging_0360/artfynd/A 2835-2020 artfynd.xlsx", "A 2835-2020")</f>
        <v/>
      </c>
      <c r="T83">
        <f>HYPERLINK("https://klasma.github.io/Logging_0360/kartor/A 2835-2020 karta.png", "A 2835-2020")</f>
        <v/>
      </c>
      <c r="V83">
        <f>HYPERLINK("https://klasma.github.io/Logging_0360/klagomål/A 2835-2020 FSC-klagomål.docx", "A 2835-2020")</f>
        <v/>
      </c>
      <c r="W83">
        <f>HYPERLINK("https://klasma.github.io/Logging_0360/klagomålsmail/A 2835-2020 FSC-klagomål mail.docx", "A 2835-2020")</f>
        <v/>
      </c>
      <c r="X83">
        <f>HYPERLINK("https://klasma.github.io/Logging_0360/tillsyn/A 2835-2020 tillsynsbegäran.docx", "A 2835-2020")</f>
        <v/>
      </c>
      <c r="Y83">
        <f>HYPERLINK("https://klasma.github.io/Logging_0360/tillsynsmail/A 2835-2020 tillsynsbegäran mail.docx", "A 2835-2020")</f>
        <v/>
      </c>
    </row>
    <row r="84" ht="15" customHeight="1">
      <c r="A84" t="inlineStr">
        <is>
          <t>A 5316-2020</t>
        </is>
      </c>
      <c r="B84" s="1" t="n">
        <v>43860</v>
      </c>
      <c r="C84" s="1" t="n">
        <v>45827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HYPERLINK("https://klasma.github.io/Logging_0360/artfynd/A 5316-2020 artfynd.xlsx", "A 5316-2020")</f>
        <v/>
      </c>
      <c r="T84">
        <f>HYPERLINK("https://klasma.github.io/Logging_0360/kartor/A 5316-2020 karta.png", "A 5316-2020")</f>
        <v/>
      </c>
      <c r="V84">
        <f>HYPERLINK("https://klasma.github.io/Logging_0360/klagomål/A 5316-2020 FSC-klagomål.docx", "A 5316-2020")</f>
        <v/>
      </c>
      <c r="W84">
        <f>HYPERLINK("https://klasma.github.io/Logging_0360/klagomålsmail/A 5316-2020 FSC-klagomål mail.docx", "A 5316-2020")</f>
        <v/>
      </c>
      <c r="X84">
        <f>HYPERLINK("https://klasma.github.io/Logging_0360/tillsyn/A 5316-2020 tillsynsbegäran.docx", "A 5316-2020")</f>
        <v/>
      </c>
      <c r="Y84">
        <f>HYPERLINK("https://klasma.github.io/Logging_0360/tillsynsmail/A 5316-2020 tillsynsbegäran mail.docx", "A 5316-2020")</f>
        <v/>
      </c>
      <c r="Z84">
        <f>HYPERLINK("https://klasma.github.io/Logging_0360/fåglar/A 5316-2020 prioriterade fågelarter.docx", "A 5316-2020")</f>
        <v/>
      </c>
    </row>
    <row r="85" ht="15" customHeight="1">
      <c r="A85" t="inlineStr">
        <is>
          <t>A 14008-2020</t>
        </is>
      </c>
      <c r="B85" s="1" t="n">
        <v>43906</v>
      </c>
      <c r="C85" s="1" t="n">
        <v>45827</v>
      </c>
      <c r="D85" t="inlineStr">
        <is>
          <t>UPPSALA LÄN</t>
        </is>
      </c>
      <c r="E85" t="inlineStr">
        <is>
          <t>TIERP</t>
        </is>
      </c>
      <c r="G85" t="n">
        <v>22.3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14008-2020 artfynd.xlsx", "A 14008-2020")</f>
        <v/>
      </c>
      <c r="T85">
        <f>HYPERLINK("https://klasma.github.io/Logging_0360/kartor/A 14008-2020 karta.png", "A 14008-2020")</f>
        <v/>
      </c>
      <c r="V85">
        <f>HYPERLINK("https://klasma.github.io/Logging_0360/klagomål/A 14008-2020 FSC-klagomål.docx", "A 14008-2020")</f>
        <v/>
      </c>
      <c r="W85">
        <f>HYPERLINK("https://klasma.github.io/Logging_0360/klagomålsmail/A 14008-2020 FSC-klagomål mail.docx", "A 14008-2020")</f>
        <v/>
      </c>
      <c r="X85">
        <f>HYPERLINK("https://klasma.github.io/Logging_0360/tillsyn/A 14008-2020 tillsynsbegäran.docx", "A 14008-2020")</f>
        <v/>
      </c>
      <c r="Y85">
        <f>HYPERLINK("https://klasma.github.io/Logging_0360/tillsynsmail/A 14008-2020 tillsynsbegäran mail.docx", "A 14008-2020")</f>
        <v/>
      </c>
    </row>
    <row r="86" ht="15" customHeight="1">
      <c r="A86" t="inlineStr">
        <is>
          <t>A 18773-2020</t>
        </is>
      </c>
      <c r="B86" s="1" t="n">
        <v>43930</v>
      </c>
      <c r="C86" s="1" t="n">
        <v>45827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18773-2020 artfynd.xlsx", "A 18773-2020")</f>
        <v/>
      </c>
      <c r="T86">
        <f>HYPERLINK("https://klasma.github.io/Logging_0360/kartor/A 18773-2020 karta.png", "A 18773-2020")</f>
        <v/>
      </c>
      <c r="V86">
        <f>HYPERLINK("https://klasma.github.io/Logging_0360/klagomål/A 18773-2020 FSC-klagomål.docx", "A 18773-2020")</f>
        <v/>
      </c>
      <c r="W86">
        <f>HYPERLINK("https://klasma.github.io/Logging_0360/klagomålsmail/A 18773-2020 FSC-klagomål mail.docx", "A 18773-2020")</f>
        <v/>
      </c>
      <c r="X86">
        <f>HYPERLINK("https://klasma.github.io/Logging_0360/tillsyn/A 18773-2020 tillsynsbegäran.docx", "A 18773-2020")</f>
        <v/>
      </c>
      <c r="Y86">
        <f>HYPERLINK("https://klasma.github.io/Logging_0360/tillsynsmail/A 18773-2020 tillsynsbegäran mail.docx", "A 18773-2020")</f>
        <v/>
      </c>
    </row>
    <row r="87" ht="15" customHeight="1">
      <c r="A87" t="inlineStr">
        <is>
          <t>A 3444-2021</t>
        </is>
      </c>
      <c r="B87" s="1" t="n">
        <v>44218</v>
      </c>
      <c r="C87" s="1" t="n">
        <v>45827</v>
      </c>
      <c r="D87" t="inlineStr">
        <is>
          <t>UPPSALA LÄN</t>
        </is>
      </c>
      <c r="E87" t="inlineStr">
        <is>
          <t>TIERP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Fyrflikig jordstjärna</t>
        </is>
      </c>
      <c r="S87">
        <f>HYPERLINK("https://klasma.github.io/Logging_0360/artfynd/A 3444-2021 artfynd.xlsx", "A 3444-2021")</f>
        <v/>
      </c>
      <c r="T87">
        <f>HYPERLINK("https://klasma.github.io/Logging_0360/kartor/A 3444-2021 karta.png", "A 3444-2021")</f>
        <v/>
      </c>
      <c r="V87">
        <f>HYPERLINK("https://klasma.github.io/Logging_0360/klagomål/A 3444-2021 FSC-klagomål.docx", "A 3444-2021")</f>
        <v/>
      </c>
      <c r="W87">
        <f>HYPERLINK("https://klasma.github.io/Logging_0360/klagomålsmail/A 3444-2021 FSC-klagomål mail.docx", "A 3444-2021")</f>
        <v/>
      </c>
      <c r="X87">
        <f>HYPERLINK("https://klasma.github.io/Logging_0360/tillsyn/A 3444-2021 tillsynsbegäran.docx", "A 3444-2021")</f>
        <v/>
      </c>
      <c r="Y87">
        <f>HYPERLINK("https://klasma.github.io/Logging_0360/tillsynsmail/A 3444-2021 tillsynsbegäran mail.docx", "A 3444-2021")</f>
        <v/>
      </c>
    </row>
    <row r="88" ht="15" customHeight="1">
      <c r="A88" t="inlineStr">
        <is>
          <t>A 19222-2021</t>
        </is>
      </c>
      <c r="B88" s="1" t="n">
        <v>44309</v>
      </c>
      <c r="C88" s="1" t="n">
        <v>45827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HYPERLINK("https://klasma.github.io/Logging_0360/artfynd/A 19222-2021 artfynd.xlsx", "A 19222-2021")</f>
        <v/>
      </c>
      <c r="T88">
        <f>HYPERLINK("https://klasma.github.io/Logging_0360/kartor/A 19222-2021 karta.png", "A 19222-2021")</f>
        <v/>
      </c>
      <c r="V88">
        <f>HYPERLINK("https://klasma.github.io/Logging_0360/klagomål/A 19222-2021 FSC-klagomål.docx", "A 19222-2021")</f>
        <v/>
      </c>
      <c r="W88">
        <f>HYPERLINK("https://klasma.github.io/Logging_0360/klagomålsmail/A 19222-2021 FSC-klagomål mail.docx", "A 19222-2021")</f>
        <v/>
      </c>
      <c r="X88">
        <f>HYPERLINK("https://klasma.github.io/Logging_0360/tillsyn/A 19222-2021 tillsynsbegäran.docx", "A 19222-2021")</f>
        <v/>
      </c>
      <c r="Y88">
        <f>HYPERLINK("https://klasma.github.io/Logging_0360/tillsynsmail/A 19222-2021 tillsynsbegäran mail.docx", "A 19222-2021")</f>
        <v/>
      </c>
      <c r="Z88">
        <f>HYPERLINK("https://klasma.github.io/Logging_0360/fåglar/A 19222-2021 prioriterade fågelarter.docx", "A 19222-2021")</f>
        <v/>
      </c>
    </row>
    <row r="89" ht="15" customHeight="1">
      <c r="A89" t="inlineStr">
        <is>
          <t>A 50442-2021</t>
        </is>
      </c>
      <c r="B89" s="1" t="n">
        <v>44459</v>
      </c>
      <c r="C89" s="1" t="n">
        <v>45827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50442-2021 artfynd.xlsx", "A 50442-2021")</f>
        <v/>
      </c>
      <c r="T89">
        <f>HYPERLINK("https://klasma.github.io/Logging_0360/kartor/A 50442-2021 karta.png", "A 50442-2021")</f>
        <v/>
      </c>
      <c r="V89">
        <f>HYPERLINK("https://klasma.github.io/Logging_0360/klagomål/A 50442-2021 FSC-klagomål.docx", "A 50442-2021")</f>
        <v/>
      </c>
      <c r="W89">
        <f>HYPERLINK("https://klasma.github.io/Logging_0360/klagomålsmail/A 50442-2021 FSC-klagomål mail.docx", "A 50442-2021")</f>
        <v/>
      </c>
      <c r="X89">
        <f>HYPERLINK("https://klasma.github.io/Logging_0360/tillsyn/A 50442-2021 tillsynsbegäran.docx", "A 50442-2021")</f>
        <v/>
      </c>
      <c r="Y89">
        <f>HYPERLINK("https://klasma.github.io/Logging_0360/tillsynsmail/A 50442-2021 tillsynsbegäran mail.docx", "A 50442-2021")</f>
        <v/>
      </c>
      <c r="Z89">
        <f>HYPERLINK("https://klasma.github.io/Logging_0360/fåglar/A 50442-2021 prioriterade fågelarter.docx", "A 50442-2021")</f>
        <v/>
      </c>
    </row>
    <row r="90" ht="15" customHeight="1">
      <c r="A90" t="inlineStr">
        <is>
          <t>A 50429-2021</t>
        </is>
      </c>
      <c r="B90" s="1" t="n">
        <v>44459</v>
      </c>
      <c r="C90" s="1" t="n">
        <v>45827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50429-2021 artfynd.xlsx", "A 50429-2021")</f>
        <v/>
      </c>
      <c r="T90">
        <f>HYPERLINK("https://klasma.github.io/Logging_0360/kartor/A 50429-2021 karta.png", "A 50429-2021")</f>
        <v/>
      </c>
      <c r="V90">
        <f>HYPERLINK("https://klasma.github.io/Logging_0360/klagomål/A 50429-2021 FSC-klagomål.docx", "A 50429-2021")</f>
        <v/>
      </c>
      <c r="W90">
        <f>HYPERLINK("https://klasma.github.io/Logging_0360/klagomålsmail/A 50429-2021 FSC-klagomål mail.docx", "A 50429-2021")</f>
        <v/>
      </c>
      <c r="X90">
        <f>HYPERLINK("https://klasma.github.io/Logging_0360/tillsyn/A 50429-2021 tillsynsbegäran.docx", "A 50429-2021")</f>
        <v/>
      </c>
      <c r="Y90">
        <f>HYPERLINK("https://klasma.github.io/Logging_0360/tillsynsmail/A 50429-2021 tillsynsbegäran mail.docx", "A 50429-2021")</f>
        <v/>
      </c>
      <c r="Z90">
        <f>HYPERLINK("https://klasma.github.io/Logging_0360/fåglar/A 50429-2021 prioriterade fågelarter.docx", "A 50429-2021")</f>
        <v/>
      </c>
    </row>
    <row r="91" ht="15" customHeight="1">
      <c r="A91" t="inlineStr">
        <is>
          <t>A 73320-2021</t>
        </is>
      </c>
      <c r="B91" s="1" t="n">
        <v>44551</v>
      </c>
      <c r="C91" s="1" t="n">
        <v>45827</v>
      </c>
      <c r="D91" t="inlineStr">
        <is>
          <t>UPPSALA LÄN</t>
        </is>
      </c>
      <c r="E91" t="inlineStr">
        <is>
          <t>TIERP</t>
        </is>
      </c>
      <c r="G91" t="n">
        <v>8.699999999999999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HYPERLINK("https://klasma.github.io/Logging_0360/artfynd/A 73320-2021 artfynd.xlsx", "A 73320-2021")</f>
        <v/>
      </c>
      <c r="T91">
        <f>HYPERLINK("https://klasma.github.io/Logging_0360/kartor/A 73320-2021 karta.png", "A 73320-2021")</f>
        <v/>
      </c>
      <c r="V91">
        <f>HYPERLINK("https://klasma.github.io/Logging_0360/klagomål/A 73320-2021 FSC-klagomål.docx", "A 73320-2021")</f>
        <v/>
      </c>
      <c r="W91">
        <f>HYPERLINK("https://klasma.github.io/Logging_0360/klagomålsmail/A 73320-2021 FSC-klagomål mail.docx", "A 73320-2021")</f>
        <v/>
      </c>
      <c r="X91">
        <f>HYPERLINK("https://klasma.github.io/Logging_0360/tillsyn/A 73320-2021 tillsynsbegäran.docx", "A 73320-2021")</f>
        <v/>
      </c>
      <c r="Y91">
        <f>HYPERLINK("https://klasma.github.io/Logging_0360/tillsynsmail/A 73320-2021 tillsynsbegäran mail.docx", "A 73320-2021")</f>
        <v/>
      </c>
    </row>
    <row r="92" ht="15" customHeight="1">
      <c r="A92" t="inlineStr">
        <is>
          <t>A 74472-2021</t>
        </is>
      </c>
      <c r="B92" s="1" t="n">
        <v>44560</v>
      </c>
      <c r="C92" s="1" t="n">
        <v>45827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Underviol</t>
        </is>
      </c>
      <c r="S92">
        <f>HYPERLINK("https://klasma.github.io/Logging_0360/artfynd/A 74472-2021 artfynd.xlsx", "A 74472-2021")</f>
        <v/>
      </c>
      <c r="T92">
        <f>HYPERLINK("https://klasma.github.io/Logging_0360/kartor/A 74472-2021 karta.png", "A 74472-2021")</f>
        <v/>
      </c>
      <c r="V92">
        <f>HYPERLINK("https://klasma.github.io/Logging_0360/klagomål/A 74472-2021 FSC-klagomål.docx", "A 74472-2021")</f>
        <v/>
      </c>
      <c r="W92">
        <f>HYPERLINK("https://klasma.github.io/Logging_0360/klagomålsmail/A 74472-2021 FSC-klagomål mail.docx", "A 74472-2021")</f>
        <v/>
      </c>
      <c r="X92">
        <f>HYPERLINK("https://klasma.github.io/Logging_0360/tillsyn/A 74472-2021 tillsynsbegäran.docx", "A 74472-2021")</f>
        <v/>
      </c>
      <c r="Y92">
        <f>HYPERLINK("https://klasma.github.io/Logging_0360/tillsynsmail/A 74472-2021 tillsynsbegäran mail.docx", "A 74472-2021")</f>
        <v/>
      </c>
    </row>
    <row r="93" ht="15" customHeight="1">
      <c r="A93" t="inlineStr">
        <is>
          <t>A 5454-2022</t>
        </is>
      </c>
      <c r="B93" s="1" t="n">
        <v>44595</v>
      </c>
      <c r="C93" s="1" t="n">
        <v>45827</v>
      </c>
      <c r="D93" t="inlineStr">
        <is>
          <t>UPPSALA LÄN</t>
        </is>
      </c>
      <c r="E93" t="inlineStr">
        <is>
          <t>TIERP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Anisspindling</t>
        </is>
      </c>
      <c r="S93">
        <f>HYPERLINK("https://klasma.github.io/Logging_0360/artfynd/A 5454-2022 artfynd.xlsx", "A 5454-2022")</f>
        <v/>
      </c>
      <c r="T93">
        <f>HYPERLINK("https://klasma.github.io/Logging_0360/kartor/A 5454-2022 karta.png", "A 5454-2022")</f>
        <v/>
      </c>
      <c r="U93">
        <f>HYPERLINK("https://klasma.github.io/Logging_0360/knärot/A 5454-2022 karta knärot.png", "A 5454-2022")</f>
        <v/>
      </c>
      <c r="V93">
        <f>HYPERLINK("https://klasma.github.io/Logging_0360/klagomål/A 5454-2022 FSC-klagomål.docx", "A 5454-2022")</f>
        <v/>
      </c>
      <c r="W93">
        <f>HYPERLINK("https://klasma.github.io/Logging_0360/klagomålsmail/A 5454-2022 FSC-klagomål mail.docx", "A 5454-2022")</f>
        <v/>
      </c>
      <c r="X93">
        <f>HYPERLINK("https://klasma.github.io/Logging_0360/tillsyn/A 5454-2022 tillsynsbegäran.docx", "A 5454-2022")</f>
        <v/>
      </c>
      <c r="Y93">
        <f>HYPERLINK("https://klasma.github.io/Logging_0360/tillsynsmail/A 5454-2022 tillsynsbegäran mail.docx", "A 5454-2022")</f>
        <v/>
      </c>
    </row>
    <row r="94" ht="15" customHeight="1">
      <c r="A94" t="inlineStr">
        <is>
          <t>A 7505-2022</t>
        </is>
      </c>
      <c r="B94" s="1" t="n">
        <v>44607</v>
      </c>
      <c r="C94" s="1" t="n">
        <v>45827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Grentaggsvamp</t>
        </is>
      </c>
      <c r="S94">
        <f>HYPERLINK("https://klasma.github.io/Logging_0360/artfynd/A 7505-2022 artfynd.xlsx", "A 7505-2022")</f>
        <v/>
      </c>
      <c r="T94">
        <f>HYPERLINK("https://klasma.github.io/Logging_0360/kartor/A 7505-2022 karta.png", "A 7505-2022")</f>
        <v/>
      </c>
      <c r="V94">
        <f>HYPERLINK("https://klasma.github.io/Logging_0360/klagomål/A 7505-2022 FSC-klagomål.docx", "A 7505-2022")</f>
        <v/>
      </c>
      <c r="W94">
        <f>HYPERLINK("https://klasma.github.io/Logging_0360/klagomålsmail/A 7505-2022 FSC-klagomål mail.docx", "A 7505-2022")</f>
        <v/>
      </c>
      <c r="X94">
        <f>HYPERLINK("https://klasma.github.io/Logging_0360/tillsyn/A 7505-2022 tillsynsbegäran.docx", "A 7505-2022")</f>
        <v/>
      </c>
      <c r="Y94">
        <f>HYPERLINK("https://klasma.github.io/Logging_0360/tillsynsmail/A 7505-2022 tillsynsbegäran mail.docx", "A 7505-2022")</f>
        <v/>
      </c>
    </row>
    <row r="95" ht="15" customHeight="1">
      <c r="A95" t="inlineStr">
        <is>
          <t>A 33375-2022</t>
        </is>
      </c>
      <c r="B95" s="1" t="n">
        <v>44788</v>
      </c>
      <c r="C95" s="1" t="n">
        <v>45827</v>
      </c>
      <c r="D95" t="inlineStr">
        <is>
          <t>UPPSALA LÄN</t>
        </is>
      </c>
      <c r="E95" t="inlineStr">
        <is>
          <t>TIERP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Fältgentiana</t>
        </is>
      </c>
      <c r="S95">
        <f>HYPERLINK("https://klasma.github.io/Logging_0360/artfynd/A 33375-2022 artfynd.xlsx", "A 33375-2022")</f>
        <v/>
      </c>
      <c r="T95">
        <f>HYPERLINK("https://klasma.github.io/Logging_0360/kartor/A 33375-2022 karta.png", "A 33375-2022")</f>
        <v/>
      </c>
      <c r="V95">
        <f>HYPERLINK("https://klasma.github.io/Logging_0360/klagomål/A 33375-2022 FSC-klagomål.docx", "A 33375-2022")</f>
        <v/>
      </c>
      <c r="W95">
        <f>HYPERLINK("https://klasma.github.io/Logging_0360/klagomålsmail/A 33375-2022 FSC-klagomål mail.docx", "A 33375-2022")</f>
        <v/>
      </c>
      <c r="X95">
        <f>HYPERLINK("https://klasma.github.io/Logging_0360/tillsyn/A 33375-2022 tillsynsbegäran.docx", "A 33375-2022")</f>
        <v/>
      </c>
      <c r="Y95">
        <f>HYPERLINK("https://klasma.github.io/Logging_0360/tillsynsmail/A 33375-2022 tillsynsbegäran mail.docx", "A 33375-2022")</f>
        <v/>
      </c>
    </row>
    <row r="96" ht="15" customHeight="1">
      <c r="A96" t="inlineStr">
        <is>
          <t>A 40362-2022</t>
        </is>
      </c>
      <c r="B96" s="1" t="n">
        <v>44823</v>
      </c>
      <c r="C96" s="1" t="n">
        <v>45827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HYPERLINK("https://klasma.github.io/Logging_0360/artfynd/A 40362-2022 artfynd.xlsx", "A 40362-2022")</f>
        <v/>
      </c>
      <c r="T96">
        <f>HYPERLINK("https://klasma.github.io/Logging_0360/kartor/A 40362-2022 karta.png", "A 40362-2022")</f>
        <v/>
      </c>
      <c r="V96">
        <f>HYPERLINK("https://klasma.github.io/Logging_0360/klagomål/A 40362-2022 FSC-klagomål.docx", "A 40362-2022")</f>
        <v/>
      </c>
      <c r="W96">
        <f>HYPERLINK("https://klasma.github.io/Logging_0360/klagomålsmail/A 40362-2022 FSC-klagomål mail.docx", "A 40362-2022")</f>
        <v/>
      </c>
      <c r="X96">
        <f>HYPERLINK("https://klasma.github.io/Logging_0360/tillsyn/A 40362-2022 tillsynsbegäran.docx", "A 40362-2022")</f>
        <v/>
      </c>
      <c r="Y96">
        <f>HYPERLINK("https://klasma.github.io/Logging_0360/tillsynsmail/A 40362-2022 tillsynsbegäran mail.docx", "A 40362-2022")</f>
        <v/>
      </c>
    </row>
    <row r="97" ht="15" customHeight="1">
      <c r="A97" t="inlineStr">
        <is>
          <t>A 45536-2022</t>
        </is>
      </c>
      <c r="B97" s="1" t="n">
        <v>44845</v>
      </c>
      <c r="C97" s="1" t="n">
        <v>45827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HYPERLINK("https://klasma.github.io/Logging_0360/artfynd/A 45536-2022 artfynd.xlsx", "A 45536-2022")</f>
        <v/>
      </c>
      <c r="T97">
        <f>HYPERLINK("https://klasma.github.io/Logging_0360/kartor/A 45536-2022 karta.png", "A 45536-2022")</f>
        <v/>
      </c>
      <c r="V97">
        <f>HYPERLINK("https://klasma.github.io/Logging_0360/klagomål/A 45536-2022 FSC-klagomål.docx", "A 45536-2022")</f>
        <v/>
      </c>
      <c r="W97">
        <f>HYPERLINK("https://klasma.github.io/Logging_0360/klagomålsmail/A 45536-2022 FSC-klagomål mail.docx", "A 45536-2022")</f>
        <v/>
      </c>
      <c r="X97">
        <f>HYPERLINK("https://klasma.github.io/Logging_0360/tillsyn/A 45536-2022 tillsynsbegäran.docx", "A 45536-2022")</f>
        <v/>
      </c>
      <c r="Y97">
        <f>HYPERLINK("https://klasma.github.io/Logging_0360/tillsynsmail/A 45536-2022 tillsynsbegäran mail.docx", "A 45536-2022")</f>
        <v/>
      </c>
    </row>
    <row r="98" ht="15" customHeight="1">
      <c r="A98" t="inlineStr">
        <is>
          <t>A 47227-2022</t>
        </is>
      </c>
      <c r="B98" s="1" t="n">
        <v>44852</v>
      </c>
      <c r="C98" s="1" t="n">
        <v>45827</v>
      </c>
      <c r="D98" t="inlineStr">
        <is>
          <t>UPPSALA LÄN</t>
        </is>
      </c>
      <c r="E98" t="inlineStr">
        <is>
          <t>TIERP</t>
        </is>
      </c>
      <c r="G98" t="n">
        <v>5.9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47227-2022 artfynd.xlsx", "A 47227-2022")</f>
        <v/>
      </c>
      <c r="T98">
        <f>HYPERLINK("https://klasma.github.io/Logging_0360/kartor/A 47227-2022 karta.png", "A 47227-2022")</f>
        <v/>
      </c>
      <c r="V98">
        <f>HYPERLINK("https://klasma.github.io/Logging_0360/klagomål/A 47227-2022 FSC-klagomål.docx", "A 47227-2022")</f>
        <v/>
      </c>
      <c r="W98">
        <f>HYPERLINK("https://klasma.github.io/Logging_0360/klagomålsmail/A 47227-2022 FSC-klagomål mail.docx", "A 47227-2022")</f>
        <v/>
      </c>
      <c r="X98">
        <f>HYPERLINK("https://klasma.github.io/Logging_0360/tillsyn/A 47227-2022 tillsynsbegäran.docx", "A 47227-2022")</f>
        <v/>
      </c>
      <c r="Y98">
        <f>HYPERLINK("https://klasma.github.io/Logging_0360/tillsynsmail/A 47227-2022 tillsynsbegäran mail.docx", "A 47227-2022")</f>
        <v/>
      </c>
    </row>
    <row r="99" ht="15" customHeight="1">
      <c r="A99" t="inlineStr">
        <is>
          <t>A 56968-2022</t>
        </is>
      </c>
      <c r="B99" s="1" t="n">
        <v>44894</v>
      </c>
      <c r="C99" s="1" t="n">
        <v>45827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HYPERLINK("https://klasma.github.io/Logging_0360/artfynd/A 56968-2022 artfynd.xlsx", "A 56968-2022")</f>
        <v/>
      </c>
      <c r="T99">
        <f>HYPERLINK("https://klasma.github.io/Logging_0360/kartor/A 56968-2022 karta.png", "A 56968-2022")</f>
        <v/>
      </c>
      <c r="V99">
        <f>HYPERLINK("https://klasma.github.io/Logging_0360/klagomål/A 56968-2022 FSC-klagomål.docx", "A 56968-2022")</f>
        <v/>
      </c>
      <c r="W99">
        <f>HYPERLINK("https://klasma.github.io/Logging_0360/klagomålsmail/A 56968-2022 FSC-klagomål mail.docx", "A 56968-2022")</f>
        <v/>
      </c>
      <c r="X99">
        <f>HYPERLINK("https://klasma.github.io/Logging_0360/tillsyn/A 56968-2022 tillsynsbegäran.docx", "A 56968-2022")</f>
        <v/>
      </c>
      <c r="Y99">
        <f>HYPERLINK("https://klasma.github.io/Logging_0360/tillsynsmail/A 56968-2022 tillsynsbegäran mail.docx", "A 56968-2022")</f>
        <v/>
      </c>
    </row>
    <row r="100" ht="15" customHeight="1">
      <c r="A100" t="inlineStr">
        <is>
          <t>A 60555-2022</t>
        </is>
      </c>
      <c r="B100" s="1" t="n">
        <v>44911</v>
      </c>
      <c r="C100" s="1" t="n">
        <v>45827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60555-2022 artfynd.xlsx", "A 60555-2022")</f>
        <v/>
      </c>
      <c r="T100">
        <f>HYPERLINK("https://klasma.github.io/Logging_0360/kartor/A 60555-2022 karta.png", "A 60555-2022")</f>
        <v/>
      </c>
      <c r="V100">
        <f>HYPERLINK("https://klasma.github.io/Logging_0360/klagomål/A 60555-2022 FSC-klagomål.docx", "A 60555-2022")</f>
        <v/>
      </c>
      <c r="W100">
        <f>HYPERLINK("https://klasma.github.io/Logging_0360/klagomålsmail/A 60555-2022 FSC-klagomål mail.docx", "A 60555-2022")</f>
        <v/>
      </c>
      <c r="X100">
        <f>HYPERLINK("https://klasma.github.io/Logging_0360/tillsyn/A 60555-2022 tillsynsbegäran.docx", "A 60555-2022")</f>
        <v/>
      </c>
      <c r="Y100">
        <f>HYPERLINK("https://klasma.github.io/Logging_0360/tillsynsmail/A 60555-2022 tillsynsbegäran mail.docx", "A 60555-2022")</f>
        <v/>
      </c>
    </row>
    <row r="101" ht="15" customHeight="1">
      <c r="A101" t="inlineStr">
        <is>
          <t>A 4544-2023</t>
        </is>
      </c>
      <c r="B101" s="1" t="n">
        <v>44956</v>
      </c>
      <c r="C101" s="1" t="n">
        <v>45827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4544-2023 artfynd.xlsx", "A 4544-2023")</f>
        <v/>
      </c>
      <c r="T101">
        <f>HYPERLINK("https://klasma.github.io/Logging_0360/kartor/A 4544-2023 karta.png", "A 4544-2023")</f>
        <v/>
      </c>
      <c r="V101">
        <f>HYPERLINK("https://klasma.github.io/Logging_0360/klagomål/A 4544-2023 FSC-klagomål.docx", "A 4544-2023")</f>
        <v/>
      </c>
      <c r="W101">
        <f>HYPERLINK("https://klasma.github.io/Logging_0360/klagomålsmail/A 4544-2023 FSC-klagomål mail.docx", "A 4544-2023")</f>
        <v/>
      </c>
      <c r="X101">
        <f>HYPERLINK("https://klasma.github.io/Logging_0360/tillsyn/A 4544-2023 tillsynsbegäran.docx", "A 4544-2023")</f>
        <v/>
      </c>
      <c r="Y101">
        <f>HYPERLINK("https://klasma.github.io/Logging_0360/tillsynsmail/A 4544-2023 tillsynsbegäran mail.docx", "A 4544-2023")</f>
        <v/>
      </c>
    </row>
    <row r="102" ht="15" customHeight="1">
      <c r="A102" t="inlineStr">
        <is>
          <t>A 5472-2023</t>
        </is>
      </c>
      <c r="B102" s="1" t="n">
        <v>44960</v>
      </c>
      <c r="C102" s="1" t="n">
        <v>45827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5472-2023 artfynd.xlsx", "A 5472-2023")</f>
        <v/>
      </c>
      <c r="T102">
        <f>HYPERLINK("https://klasma.github.io/Logging_0360/kartor/A 5472-2023 karta.png", "A 5472-2023")</f>
        <v/>
      </c>
      <c r="V102">
        <f>HYPERLINK("https://klasma.github.io/Logging_0360/klagomål/A 5472-2023 FSC-klagomål.docx", "A 5472-2023")</f>
        <v/>
      </c>
      <c r="W102">
        <f>HYPERLINK("https://klasma.github.io/Logging_0360/klagomålsmail/A 5472-2023 FSC-klagomål mail.docx", "A 5472-2023")</f>
        <v/>
      </c>
      <c r="X102">
        <f>HYPERLINK("https://klasma.github.io/Logging_0360/tillsyn/A 5472-2023 tillsynsbegäran.docx", "A 5472-2023")</f>
        <v/>
      </c>
      <c r="Y102">
        <f>HYPERLINK("https://klasma.github.io/Logging_0360/tillsynsmail/A 5472-2023 tillsynsbegäran mail.docx", "A 5472-2023")</f>
        <v/>
      </c>
    </row>
    <row r="103" ht="15" customHeight="1">
      <c r="A103" t="inlineStr">
        <is>
          <t>A 13433-2023</t>
        </is>
      </c>
      <c r="B103" s="1" t="n">
        <v>45005</v>
      </c>
      <c r="C103" s="1" t="n">
        <v>45827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13433-2023 artfynd.xlsx", "A 13433-2023")</f>
        <v/>
      </c>
      <c r="T103">
        <f>HYPERLINK("https://klasma.github.io/Logging_0360/kartor/A 13433-2023 karta.png", "A 13433-2023")</f>
        <v/>
      </c>
      <c r="V103">
        <f>HYPERLINK("https://klasma.github.io/Logging_0360/klagomål/A 13433-2023 FSC-klagomål.docx", "A 13433-2023")</f>
        <v/>
      </c>
      <c r="W103">
        <f>HYPERLINK("https://klasma.github.io/Logging_0360/klagomålsmail/A 13433-2023 FSC-klagomål mail.docx", "A 13433-2023")</f>
        <v/>
      </c>
      <c r="X103">
        <f>HYPERLINK("https://klasma.github.io/Logging_0360/tillsyn/A 13433-2023 tillsynsbegäran.docx", "A 13433-2023")</f>
        <v/>
      </c>
      <c r="Y103">
        <f>HYPERLINK("https://klasma.github.io/Logging_0360/tillsynsmail/A 13433-2023 tillsynsbegäran mail.docx", "A 13433-2023")</f>
        <v/>
      </c>
    </row>
    <row r="104" ht="15" customHeight="1">
      <c r="A104" t="inlineStr">
        <is>
          <t>A 38151-2023</t>
        </is>
      </c>
      <c r="B104" s="1" t="n">
        <v>45160</v>
      </c>
      <c r="C104" s="1" t="n">
        <v>45827</v>
      </c>
      <c r="D104" t="inlineStr">
        <is>
          <t>UPPSALA LÄN</t>
        </is>
      </c>
      <c r="E104" t="inlineStr">
        <is>
          <t>TIERP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HYPERLINK("https://klasma.github.io/Logging_0360/artfynd/A 38151-2023 artfynd.xlsx", "A 38151-2023")</f>
        <v/>
      </c>
      <c r="T104">
        <f>HYPERLINK("https://klasma.github.io/Logging_0360/kartor/A 38151-2023 karta.png", "A 38151-2023")</f>
        <v/>
      </c>
      <c r="V104">
        <f>HYPERLINK("https://klasma.github.io/Logging_0360/klagomål/A 38151-2023 FSC-klagomål.docx", "A 38151-2023")</f>
        <v/>
      </c>
      <c r="W104">
        <f>HYPERLINK("https://klasma.github.io/Logging_0360/klagomålsmail/A 38151-2023 FSC-klagomål mail.docx", "A 38151-2023")</f>
        <v/>
      </c>
      <c r="X104">
        <f>HYPERLINK("https://klasma.github.io/Logging_0360/tillsyn/A 38151-2023 tillsynsbegäran.docx", "A 38151-2023")</f>
        <v/>
      </c>
      <c r="Y104">
        <f>HYPERLINK("https://klasma.github.io/Logging_0360/tillsynsmail/A 38151-2023 tillsynsbegäran mail.docx", "A 38151-2023")</f>
        <v/>
      </c>
      <c r="Z104">
        <f>HYPERLINK("https://klasma.github.io/Logging_0360/fåglar/A 38151-2023 prioriterade fågelarter.docx", "A 38151-2023")</f>
        <v/>
      </c>
    </row>
    <row r="105" ht="15" customHeight="1">
      <c r="A105" t="inlineStr">
        <is>
          <t>A 38105-2023</t>
        </is>
      </c>
      <c r="B105" s="1" t="n">
        <v>45161</v>
      </c>
      <c r="C105" s="1" t="n">
        <v>45827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HYPERLINK("https://klasma.github.io/Logging_0360/artfynd/A 38105-2023 artfynd.xlsx", "A 38105-2023")</f>
        <v/>
      </c>
      <c r="T105">
        <f>HYPERLINK("https://klasma.github.io/Logging_0360/kartor/A 38105-2023 karta.png", "A 38105-2023")</f>
        <v/>
      </c>
      <c r="V105">
        <f>HYPERLINK("https://klasma.github.io/Logging_0360/klagomål/A 38105-2023 FSC-klagomål.docx", "A 38105-2023")</f>
        <v/>
      </c>
      <c r="W105">
        <f>HYPERLINK("https://klasma.github.io/Logging_0360/klagomålsmail/A 38105-2023 FSC-klagomål mail.docx", "A 38105-2023")</f>
        <v/>
      </c>
      <c r="X105">
        <f>HYPERLINK("https://klasma.github.io/Logging_0360/tillsyn/A 38105-2023 tillsynsbegäran.docx", "A 38105-2023")</f>
        <v/>
      </c>
      <c r="Y105">
        <f>HYPERLINK("https://klasma.github.io/Logging_0360/tillsynsmail/A 38105-2023 tillsynsbegäran mail.docx", "A 38105-2023")</f>
        <v/>
      </c>
      <c r="Z105">
        <f>HYPERLINK("https://klasma.github.io/Logging_0360/fåglar/A 38105-2023 prioriterade fågelarter.docx", "A 38105-2023")</f>
        <v/>
      </c>
    </row>
    <row r="106" ht="15" customHeight="1">
      <c r="A106" t="inlineStr">
        <is>
          <t>A 38821-2023</t>
        </is>
      </c>
      <c r="B106" s="1" t="n">
        <v>45163</v>
      </c>
      <c r="C106" s="1" t="n">
        <v>45827</v>
      </c>
      <c r="D106" t="inlineStr">
        <is>
          <t>UPPSALA LÄN</t>
        </is>
      </c>
      <c r="E106" t="inlineStr">
        <is>
          <t>TIERP</t>
        </is>
      </c>
      <c r="G106" t="n">
        <v>20.3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HYPERLINK("https://klasma.github.io/Logging_0360/artfynd/A 38821-2023 artfynd.xlsx", "A 38821-2023")</f>
        <v/>
      </c>
      <c r="T106">
        <f>HYPERLINK("https://klasma.github.io/Logging_0360/kartor/A 38821-2023 karta.png", "A 38821-2023")</f>
        <v/>
      </c>
      <c r="V106">
        <f>HYPERLINK("https://klasma.github.io/Logging_0360/klagomål/A 38821-2023 FSC-klagomål.docx", "A 38821-2023")</f>
        <v/>
      </c>
      <c r="W106">
        <f>HYPERLINK("https://klasma.github.io/Logging_0360/klagomålsmail/A 38821-2023 FSC-klagomål mail.docx", "A 38821-2023")</f>
        <v/>
      </c>
      <c r="X106">
        <f>HYPERLINK("https://klasma.github.io/Logging_0360/tillsyn/A 38821-2023 tillsynsbegäran.docx", "A 38821-2023")</f>
        <v/>
      </c>
      <c r="Y106">
        <f>HYPERLINK("https://klasma.github.io/Logging_0360/tillsynsmail/A 38821-2023 tillsynsbegäran mail.docx", "A 38821-2023")</f>
        <v/>
      </c>
    </row>
    <row r="107" ht="15" customHeight="1">
      <c r="A107" t="inlineStr">
        <is>
          <t>A 40878-2023</t>
        </is>
      </c>
      <c r="B107" s="1" t="n">
        <v>45173</v>
      </c>
      <c r="C107" s="1" t="n">
        <v>45827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4.7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HYPERLINK("https://klasma.github.io/Logging_0360/artfynd/A 40878-2023 artfynd.xlsx", "A 40878-2023")</f>
        <v/>
      </c>
      <c r="T107">
        <f>HYPERLINK("https://klasma.github.io/Logging_0360/kartor/A 40878-2023 karta.png", "A 40878-2023")</f>
        <v/>
      </c>
      <c r="V107">
        <f>HYPERLINK("https://klasma.github.io/Logging_0360/klagomål/A 40878-2023 FSC-klagomål.docx", "A 40878-2023")</f>
        <v/>
      </c>
      <c r="W107">
        <f>HYPERLINK("https://klasma.github.io/Logging_0360/klagomålsmail/A 40878-2023 FSC-klagomål mail.docx", "A 40878-2023")</f>
        <v/>
      </c>
      <c r="X107">
        <f>HYPERLINK("https://klasma.github.io/Logging_0360/tillsyn/A 40878-2023 tillsynsbegäran.docx", "A 40878-2023")</f>
        <v/>
      </c>
      <c r="Y107">
        <f>HYPERLINK("https://klasma.github.io/Logging_0360/tillsynsmail/A 40878-2023 tillsynsbegäran mail.docx", "A 40878-2023")</f>
        <v/>
      </c>
    </row>
    <row r="108" ht="15" customHeight="1">
      <c r="A108" t="inlineStr">
        <is>
          <t>A 40940-2023</t>
        </is>
      </c>
      <c r="B108" s="1" t="n">
        <v>45173</v>
      </c>
      <c r="C108" s="1" t="n">
        <v>45827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1.3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40940-2023 artfynd.xlsx", "A 40940-2023")</f>
        <v/>
      </c>
      <c r="T108">
        <f>HYPERLINK("https://klasma.github.io/Logging_0360/kartor/A 40940-2023 karta.png", "A 40940-2023")</f>
        <v/>
      </c>
      <c r="V108">
        <f>HYPERLINK("https://klasma.github.io/Logging_0360/klagomål/A 40940-2023 FSC-klagomål.docx", "A 40940-2023")</f>
        <v/>
      </c>
      <c r="W108">
        <f>HYPERLINK("https://klasma.github.io/Logging_0360/klagomålsmail/A 40940-2023 FSC-klagomål mail.docx", "A 40940-2023")</f>
        <v/>
      </c>
      <c r="X108">
        <f>HYPERLINK("https://klasma.github.io/Logging_0360/tillsyn/A 40940-2023 tillsynsbegäran.docx", "A 40940-2023")</f>
        <v/>
      </c>
      <c r="Y108">
        <f>HYPERLINK("https://klasma.github.io/Logging_0360/tillsynsmail/A 40940-2023 tillsynsbegäran mail.docx", "A 40940-2023")</f>
        <v/>
      </c>
    </row>
    <row r="109" ht="15" customHeight="1">
      <c r="A109" t="inlineStr">
        <is>
          <t>A 43162-2023</t>
        </is>
      </c>
      <c r="B109" s="1" t="n">
        <v>45183</v>
      </c>
      <c r="C109" s="1" t="n">
        <v>45827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15.7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43162-2023 artfynd.xlsx", "A 43162-2023")</f>
        <v/>
      </c>
      <c r="T109">
        <f>HYPERLINK("https://klasma.github.io/Logging_0360/kartor/A 43162-2023 karta.png", "A 43162-2023")</f>
        <v/>
      </c>
      <c r="V109">
        <f>HYPERLINK("https://klasma.github.io/Logging_0360/klagomål/A 43162-2023 FSC-klagomål.docx", "A 43162-2023")</f>
        <v/>
      </c>
      <c r="W109">
        <f>HYPERLINK("https://klasma.github.io/Logging_0360/klagomålsmail/A 43162-2023 FSC-klagomål mail.docx", "A 43162-2023")</f>
        <v/>
      </c>
      <c r="X109">
        <f>HYPERLINK("https://klasma.github.io/Logging_0360/tillsyn/A 43162-2023 tillsynsbegäran.docx", "A 43162-2023")</f>
        <v/>
      </c>
      <c r="Y109">
        <f>HYPERLINK("https://klasma.github.io/Logging_0360/tillsynsmail/A 43162-2023 tillsynsbegäran mail.docx", "A 43162-2023")</f>
        <v/>
      </c>
      <c r="Z109">
        <f>HYPERLINK("https://klasma.github.io/Logging_0360/fåglar/A 43162-2023 prioriterade fågelarter.docx", "A 43162-2023")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45827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45827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45827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45827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45827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45827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45827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45827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45827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45827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45827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45827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45827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45827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45827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45827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45827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45827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45827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45827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45827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45827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45827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45827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45827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45827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45827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45827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45827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45827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45827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45827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45827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45827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45827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45827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45827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45827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45827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45827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45827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45827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45827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45827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45827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45827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45827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45827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45827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45827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45827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45827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45827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45827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45827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45827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45827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45827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45827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45827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45827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45827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45827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45827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45827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45827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45827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45827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45827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45827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45827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45827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45827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45827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45827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45827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45827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45827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45827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45827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45827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45827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45827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45827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45827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45827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45827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45827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45827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45827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45827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45827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45827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45827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45827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45827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45827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45827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45827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45827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45827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45827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45827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45827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45827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45827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45827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45827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45827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45827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45827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45827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45827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45827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45827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45827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45827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45827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45827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45827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45827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45827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45827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45827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45827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45827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45827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45827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45827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45827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45827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45827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45827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45827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45827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45827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45827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45827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45827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45827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45827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45827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45827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45827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45827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45827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45827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45827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45827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45827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45827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45827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45827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45827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45827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45827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45827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45827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45827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45827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45827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45827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45827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45827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45827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45827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45827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45827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45827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45827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45827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45827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45827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45827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45827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45827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45827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45827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45827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45827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45827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45827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45827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45827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45827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45827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45827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45827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45827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45827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45827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45827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45827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45827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45827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45827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45827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45827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45827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45827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45827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45827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45827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45827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45827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45827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45827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45827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45827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45827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45827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45827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45827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45827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45827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45827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45827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45827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45827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45827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45827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45827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45827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45827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45827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45827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45827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45827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45827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45827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45827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45827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45827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45827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45827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45827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45827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45827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45827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45827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45827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45827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45827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45827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45827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45827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45827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45827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45827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45827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45827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45827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45827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45827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45827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45827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45827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45827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45827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45827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45827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45827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45827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45827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45827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45827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45827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45827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45827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45827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45827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45827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45827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45827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45827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45827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45827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45827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45827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45827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45827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45827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45827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45827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45827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45827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45827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45827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45827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45827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45827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45827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45827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45827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45827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45827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45827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45827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45827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45827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45827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45827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45827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45827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45827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45827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45827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45827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45827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45827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45827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45827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45827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45827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45827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45827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45827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45827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45827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45827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45827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45827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45827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45827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45827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45827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45827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45827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45827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45827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45827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45827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45827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45827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45827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45827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45827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45827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45827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45827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45827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45827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45827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45827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45827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45827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45827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45827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45827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45827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45827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45827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45827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45827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45827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45827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45827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45827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45827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45827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45827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45827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45827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45827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45827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45827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45827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45827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45827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45827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45827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45827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45827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45827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45827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45827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45827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45827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45827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45827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45827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45827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45827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45827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45827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45827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45827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45827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45827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45827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45827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45827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45827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45827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45827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45827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45827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45827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45827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45827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45827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45827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45827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45827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45827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45827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45827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45827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45827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45827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45827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45827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45827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45827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45827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45827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45827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45827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45827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45827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45827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45827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45827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45827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45827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45827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45827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45827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45827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45827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45827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45827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45827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45827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45827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45827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45827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45827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45827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45827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45827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45827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45827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45827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45827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45827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45827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45827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45827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45827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45827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45827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45827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45827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45827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45827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45827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45827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45827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45827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45827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45827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45827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45827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45827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45827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45827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45827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45827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45827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45827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45827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45827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45827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45827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45827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45827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45827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45827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45827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45827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45827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45827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45827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45827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45827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45827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45827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45827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45827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45827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45827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45827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45827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45827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45827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45827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45827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45827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45827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45827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45827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45827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45827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45827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45827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45827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45827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45827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45827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45827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45827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45827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45827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45827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45827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45827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45827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45827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45827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45827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45827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45827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45827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45827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45827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45827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45827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45827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45827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45827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45827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45827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45827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45827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45827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45827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45827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45827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45827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45827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45827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45827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45827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45827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45827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45827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45827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45827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45827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45827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45827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45827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45827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45827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45827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45827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45827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45827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45827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45827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45827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45827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45827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45827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45827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45827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45827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45827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45827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45827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45827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45827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45827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45827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45827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45827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45827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45827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45827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45827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45827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45827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45827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45827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45827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45827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45827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45827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45827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45827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45827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45827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45827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45827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45827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45827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45827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45827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45827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45827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45827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45827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45827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45827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45827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45827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45827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45827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45827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45827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45827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45827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45827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45827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45827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45827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45827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45827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45827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45827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45827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45827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45827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45827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45827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45827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45827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45827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45827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45827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45827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45827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45827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45827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45827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45827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45827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45827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45827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45827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45827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45827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45827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45827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45827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45827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45827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45827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45827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45827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45827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45827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45827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45827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45827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45827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45827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45827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45827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45827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45827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45827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45827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45827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45827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45827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45827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45827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45827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45827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45827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45827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45827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45827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45827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45827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45827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45827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45827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45827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45827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45827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45827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45827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45827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45827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45827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45827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45827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45827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45827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45827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45827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45827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45827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45827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45827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45827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45827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45827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45827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45827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45827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45827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45827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45827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45827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45827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45827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45827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45827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45827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45827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45827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45827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45827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45827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45827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45827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45827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45827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45827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45827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45827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45827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45827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45827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45827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45827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45827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45827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45827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45827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45827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45827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45827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45827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45827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45827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45827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45827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45827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45827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45827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45827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45827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45827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45827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45827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45827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45827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45827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45827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45827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45827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45827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45827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45827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45827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45827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45827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45827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45827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45827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45827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45827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45827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45827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45827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45827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45827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45827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45827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45827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45827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45827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45827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45827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45827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45827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45827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45827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45827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45827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45827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45827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45827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45827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45827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45827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45827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45827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45827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45827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45827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45827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45827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45827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45827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45827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45827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45827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45827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45827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45827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45827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45827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45827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45827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45827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45827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45827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45827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45827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45827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45827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45827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45827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45827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45827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45827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45827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45827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45827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45827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45827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45827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45827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45827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45827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45827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45827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45827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45827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45827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45827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45827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45827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45827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45827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45827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45827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45827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45827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45827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45827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45827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45827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45827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45827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45827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45827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45827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45827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45827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45827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45827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45827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45827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45827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45827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45827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45827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45827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45827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45827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45827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45827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45827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45827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45827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45827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45827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45827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45827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45827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45827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45827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45827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45827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45827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45827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45827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45827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45827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45827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45827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45827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45827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45827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45827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45827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45827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45827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45827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45827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45827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45827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45827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45827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45827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45827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45827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45827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45827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45827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45827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45827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45827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45827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45827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45827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45827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45827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45827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45827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45827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45827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45827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45827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45827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45827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45827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45827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45827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45827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45827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45827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45827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45827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45827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45827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45827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45827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45827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45827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45827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45827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45827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45827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45827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45827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45827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45827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45827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45827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45827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45827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45827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45827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45827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45827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45827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45827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45827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45827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45827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45827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45827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45827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45827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45827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45827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45827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45827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45827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45827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45827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45827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45827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45827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45827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45827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45827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45827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45827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45827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45827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45827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45827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45827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45827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45827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45827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45827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45827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45827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45827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45827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45827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45827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45827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45827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45827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45827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45827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45827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45827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45827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45827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45827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45827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45827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45827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45827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45827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45827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45827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45827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45827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45827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45827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45827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45827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45827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45827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45827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45827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45827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45827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45827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45827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45827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45827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45827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45827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45827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45827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45827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45827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45827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45827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45827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45827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45827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45827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45827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45827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45827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45827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45827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45827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45827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45827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45827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45827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45827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45827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45827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45827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45827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45827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45827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45827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45827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45827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45827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45827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45827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45827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45827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45827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45827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45827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45827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45827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45827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45827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45827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45827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45827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45827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45827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45827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45827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45827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45827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45827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45827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45827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45827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45827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45827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45827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45827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45827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45827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45827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45827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45827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45827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45827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45827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45827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45827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45827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45827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45827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45827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45827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45827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45827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45827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45827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45827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45827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45827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45827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45827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45827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45827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45827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45827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45827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45827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45827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45827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45827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45827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45827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45827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45827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45827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45827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45827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45827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45827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45827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45827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45827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45827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45827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45827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45827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45827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45827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45827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45827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45827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45827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45827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45827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45827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45827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45827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45827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45827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45827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45827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45827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45827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45827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45827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45827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45827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45827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45827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45827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45827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45827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45827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45827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24837-2025</t>
        </is>
      </c>
      <c r="B1273" s="1" t="n">
        <v>45799</v>
      </c>
      <c r="C1273" s="1" t="n">
        <v>45827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24841-2025</t>
        </is>
      </c>
      <c r="B1274" s="1" t="n">
        <v>45799</v>
      </c>
      <c r="C1274" s="1" t="n">
        <v>45827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24975-2025</t>
        </is>
      </c>
      <c r="B1275" s="1" t="n">
        <v>45799</v>
      </c>
      <c r="C1275" s="1" t="n">
        <v>45827</v>
      </c>
      <c r="D1275" t="inlineStr">
        <is>
          <t>UPPSALA LÄN</t>
        </is>
      </c>
      <c r="E1275" t="inlineStr">
        <is>
          <t>TIERP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45827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25900-2025</t>
        </is>
      </c>
      <c r="B1277" s="1" t="n">
        <v>45804</v>
      </c>
      <c r="C1277" s="1" t="n">
        <v>45827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45827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26040-2025</t>
        </is>
      </c>
      <c r="B1279" s="1" t="n">
        <v>45804</v>
      </c>
      <c r="C1279" s="1" t="n">
        <v>45827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45827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45827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26547-2025</t>
        </is>
      </c>
      <c r="B1282" s="1" t="n">
        <v>45807</v>
      </c>
      <c r="C1282" s="1" t="n">
        <v>45827</v>
      </c>
      <c r="D1282" t="inlineStr">
        <is>
          <t>UPPSALA LÄN</t>
        </is>
      </c>
      <c r="E1282" t="inlineStr">
        <is>
          <t>TIERP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26555-2025</t>
        </is>
      </c>
      <c r="B1283" s="1" t="n">
        <v>45807</v>
      </c>
      <c r="C1283" s="1" t="n">
        <v>45827</v>
      </c>
      <c r="D1283" t="inlineStr">
        <is>
          <t>UPPSALA LÄN</t>
        </is>
      </c>
      <c r="E1283" t="inlineStr">
        <is>
          <t>TIERP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26559-2025</t>
        </is>
      </c>
      <c r="B1284" s="1" t="n">
        <v>45807</v>
      </c>
      <c r="C1284" s="1" t="n">
        <v>45827</v>
      </c>
      <c r="D1284" t="inlineStr">
        <is>
          <t>UPPSALA LÄN</t>
        </is>
      </c>
      <c r="E1284" t="inlineStr">
        <is>
          <t>TIERP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26541-2025</t>
        </is>
      </c>
      <c r="B1285" s="1" t="n">
        <v>45807</v>
      </c>
      <c r="C1285" s="1" t="n">
        <v>45827</v>
      </c>
      <c r="D1285" t="inlineStr">
        <is>
          <t>UPPSALA LÄN</t>
        </is>
      </c>
      <c r="E1285" t="inlineStr">
        <is>
          <t>TIERP</t>
        </is>
      </c>
      <c r="G1285" t="n">
        <v>10.6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26556-2025</t>
        </is>
      </c>
      <c r="B1286" s="1" t="n">
        <v>45807</v>
      </c>
      <c r="C1286" s="1" t="n">
        <v>45827</v>
      </c>
      <c r="D1286" t="inlineStr">
        <is>
          <t>UPPSALA LÄN</t>
        </is>
      </c>
      <c r="E1286" t="inlineStr">
        <is>
          <t>TIERP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45827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27270-2025</t>
        </is>
      </c>
      <c r="B1288" s="1" t="n">
        <v>45812</v>
      </c>
      <c r="C1288" s="1" t="n">
        <v>45827</v>
      </c>
      <c r="D1288" t="inlineStr">
        <is>
          <t>UPPSALA LÄN</t>
        </is>
      </c>
      <c r="E1288" t="inlineStr">
        <is>
          <t>TIERP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45827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27269-2025</t>
        </is>
      </c>
      <c r="B1290" s="1" t="n">
        <v>45812</v>
      </c>
      <c r="C1290" s="1" t="n">
        <v>45827</v>
      </c>
      <c r="D1290" t="inlineStr">
        <is>
          <t>UPPSALA LÄN</t>
        </is>
      </c>
      <c r="E1290" t="inlineStr">
        <is>
          <t>TIERP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27360-2025</t>
        </is>
      </c>
      <c r="B1291" s="1" t="n">
        <v>45812</v>
      </c>
      <c r="C1291" s="1" t="n">
        <v>45827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öst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45827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27268-2025</t>
        </is>
      </c>
      <c r="B1293" s="1" t="n">
        <v>45812</v>
      </c>
      <c r="C1293" s="1" t="n">
        <v>45827</v>
      </c>
      <c r="D1293" t="inlineStr">
        <is>
          <t>UPPSALA LÄN</t>
        </is>
      </c>
      <c r="E1293" t="inlineStr">
        <is>
          <t>TIERP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45827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45827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45827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28285-2025</t>
        </is>
      </c>
      <c r="B1297" s="1" t="n">
        <v>45818</v>
      </c>
      <c r="C1297" s="1" t="n">
        <v>45827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29056-2025</t>
        </is>
      </c>
      <c r="B1298" s="1" t="n">
        <v>45821</v>
      </c>
      <c r="C1298" s="1" t="n">
        <v>45827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45827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29282-2025</t>
        </is>
      </c>
      <c r="B1300" s="1" t="n">
        <v>45824</v>
      </c>
      <c r="C1300" s="1" t="n">
        <v>45827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väst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45827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30083-2025</t>
        </is>
      </c>
      <c r="B1302" s="1" t="n">
        <v>45826</v>
      </c>
      <c r="C1302" s="1" t="n">
        <v>45827</v>
      </c>
      <c r="D1302" t="inlineStr">
        <is>
          <t>UPPSALA LÄN</t>
        </is>
      </c>
      <c r="E1302" t="inlineStr">
        <is>
          <t>TIERP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2025-06-19T19:12:44Z</dcterms:created>
  <dcterms:modified xmlns:dcterms="http://purl.org/dc/terms/" xmlns:xsi="http://www.w3.org/2001/XMLSchema-instance" xsi:type="dcterms:W3CDTF">2025-06-19T19:12:45Z</dcterms:modified>
</cp:coreProperties>
</file>