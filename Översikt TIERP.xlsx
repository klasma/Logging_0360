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2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162-2025</t>
        </is>
      </c>
      <c r="B2" s="1" t="n">
        <v>45659</v>
      </c>
      <c r="C2" s="1" t="n">
        <v>45890</v>
      </c>
      <c r="D2" t="inlineStr">
        <is>
          <t>UPPSALA LÄN</t>
        </is>
      </c>
      <c r="E2" t="inlineStr">
        <is>
          <t>TIERP</t>
        </is>
      </c>
      <c r="F2" t="inlineStr">
        <is>
          <t>Bergvik skog öst AB</t>
        </is>
      </c>
      <c r="G2" t="n">
        <v>22.4</v>
      </c>
      <c r="H2" t="n">
        <v>6</v>
      </c>
      <c r="I2" t="n">
        <v>9</v>
      </c>
      <c r="J2" t="n">
        <v>5</v>
      </c>
      <c r="K2" t="n">
        <v>2</v>
      </c>
      <c r="L2" t="n">
        <v>0</v>
      </c>
      <c r="M2" t="n">
        <v>0</v>
      </c>
      <c r="N2" t="n">
        <v>0</v>
      </c>
      <c r="O2" t="n">
        <v>7</v>
      </c>
      <c r="P2" t="n">
        <v>2</v>
      </c>
      <c r="Q2" t="n">
        <v>18</v>
      </c>
      <c r="R2" s="2" t="inlineStr">
        <is>
          <t>Knärot
Rynkskinn
Kortskaftad ärgspik
Rosenticka
Spillkråka
Talltita
Ullticka
Blodticka
Bronshjon
Grön sköldmossa
Grönpyrola
Kattfotslav
Stubbspretmossa
Thomsons trägnagare
Vedticka
Vågbandad barkbock
Kungsfågel
Blåsippa</t>
        </is>
      </c>
      <c r="S2">
        <f>HYPERLINK("https://klasma.github.io/Logging_0360/artfynd/A 162-2025 artfynd.xlsx", "A 162-2025")</f>
        <v/>
      </c>
      <c r="T2">
        <f>HYPERLINK("https://klasma.github.io/Logging_0360/kartor/A 162-2025 karta.png", "A 162-2025")</f>
        <v/>
      </c>
      <c r="U2">
        <f>HYPERLINK("https://klasma.github.io/Logging_0360/knärot/A 162-2025 karta knärot.png", "A 162-2025")</f>
        <v/>
      </c>
      <c r="V2">
        <f>HYPERLINK("https://klasma.github.io/Logging_0360/klagomål/A 162-2025 FSC-klagomål.docx", "A 162-2025")</f>
        <v/>
      </c>
      <c r="W2">
        <f>HYPERLINK("https://klasma.github.io/Logging_0360/klagomålsmail/A 162-2025 FSC-klagomål mail.docx", "A 162-2025")</f>
        <v/>
      </c>
      <c r="X2">
        <f>HYPERLINK("https://klasma.github.io/Logging_0360/tillsyn/A 162-2025 tillsynsbegäran.docx", "A 162-2025")</f>
        <v/>
      </c>
      <c r="Y2">
        <f>HYPERLINK("https://klasma.github.io/Logging_0360/tillsynsmail/A 162-2025 tillsynsbegäran mail.docx", "A 162-2025")</f>
        <v/>
      </c>
      <c r="Z2">
        <f>HYPERLINK("https://klasma.github.io/Logging_0360/fåglar/A 162-2025 prioriterade fågelarter.docx", "A 162-2025")</f>
        <v/>
      </c>
    </row>
    <row r="3" ht="15" customHeight="1">
      <c r="A3" t="inlineStr">
        <is>
          <t>A 29232-2023</t>
        </is>
      </c>
      <c r="B3" s="1" t="n">
        <v>45105</v>
      </c>
      <c r="C3" s="1" t="n">
        <v>45890</v>
      </c>
      <c r="D3" t="inlineStr">
        <is>
          <t>UPPSALA LÄN</t>
        </is>
      </c>
      <c r="E3" t="inlineStr">
        <is>
          <t>TIERP</t>
        </is>
      </c>
      <c r="F3" t="inlineStr">
        <is>
          <t>Bergvik skog öst AB</t>
        </is>
      </c>
      <c r="G3" t="n">
        <v>6.8</v>
      </c>
      <c r="H3" t="n">
        <v>4</v>
      </c>
      <c r="I3" t="n">
        <v>7</v>
      </c>
      <c r="J3" t="n">
        <v>5</v>
      </c>
      <c r="K3" t="n">
        <v>2</v>
      </c>
      <c r="L3" t="n">
        <v>0</v>
      </c>
      <c r="M3" t="n">
        <v>0</v>
      </c>
      <c r="N3" t="n">
        <v>0</v>
      </c>
      <c r="O3" t="n">
        <v>7</v>
      </c>
      <c r="P3" t="n">
        <v>2</v>
      </c>
      <c r="Q3" t="n">
        <v>16</v>
      </c>
      <c r="R3" s="2" t="inlineStr">
        <is>
          <t>Rynkskinn
Vågticka
Dofttaggsvamp
Spillkråka
Svartvit taggsvamp
Talltita
Ullticka
Bronshjon
Fjällig taggsvamp s.str.
Grönpyrola
Rödgul trumpetsvamp
Skarp dropptaggsvamp
Vedticka
Vårärt
Vanlig padda
Blåsippa</t>
        </is>
      </c>
      <c r="S3">
        <f>HYPERLINK("https://klasma.github.io/Logging_0360/artfynd/A 29232-2023 artfynd.xlsx", "A 29232-2023")</f>
        <v/>
      </c>
      <c r="T3">
        <f>HYPERLINK("https://klasma.github.io/Logging_0360/kartor/A 29232-2023 karta.png", "A 29232-2023")</f>
        <v/>
      </c>
      <c r="V3">
        <f>HYPERLINK("https://klasma.github.io/Logging_0360/klagomål/A 29232-2023 FSC-klagomål.docx", "A 29232-2023")</f>
        <v/>
      </c>
      <c r="W3">
        <f>HYPERLINK("https://klasma.github.io/Logging_0360/klagomålsmail/A 29232-2023 FSC-klagomål mail.docx", "A 29232-2023")</f>
        <v/>
      </c>
      <c r="X3">
        <f>HYPERLINK("https://klasma.github.io/Logging_0360/tillsyn/A 29232-2023 tillsynsbegäran.docx", "A 29232-2023")</f>
        <v/>
      </c>
      <c r="Y3">
        <f>HYPERLINK("https://klasma.github.io/Logging_0360/tillsynsmail/A 29232-2023 tillsynsbegäran mail.docx", "A 29232-2023")</f>
        <v/>
      </c>
      <c r="Z3">
        <f>HYPERLINK("https://klasma.github.io/Logging_0360/fåglar/A 29232-2023 prioriterade fågelarter.docx", "A 29232-2023")</f>
        <v/>
      </c>
    </row>
    <row r="4" ht="15" customHeight="1">
      <c r="A4" t="inlineStr">
        <is>
          <t>A 43609-2023</t>
        </is>
      </c>
      <c r="B4" s="1" t="n">
        <v>45181</v>
      </c>
      <c r="C4" s="1" t="n">
        <v>45890</v>
      </c>
      <c r="D4" t="inlineStr">
        <is>
          <t>UPPSALA LÄN</t>
        </is>
      </c>
      <c r="E4" t="inlineStr">
        <is>
          <t>TIERP</t>
        </is>
      </c>
      <c r="G4" t="n">
        <v>7.9</v>
      </c>
      <c r="H4" t="n">
        <v>0</v>
      </c>
      <c r="I4" t="n">
        <v>6</v>
      </c>
      <c r="J4" t="n">
        <v>5</v>
      </c>
      <c r="K4" t="n">
        <v>2</v>
      </c>
      <c r="L4" t="n">
        <v>1</v>
      </c>
      <c r="M4" t="n">
        <v>0</v>
      </c>
      <c r="N4" t="n">
        <v>0</v>
      </c>
      <c r="O4" t="n">
        <v>8</v>
      </c>
      <c r="P4" t="n">
        <v>3</v>
      </c>
      <c r="Q4" t="n">
        <v>14</v>
      </c>
      <c r="R4" s="2" t="inlineStr">
        <is>
          <t>Raggtaggsvamp
Duvspindling
Violgubbe
Blek fingersvamp
Granticka
Odörspindling
Svart taggsvamp
Äggspindling
Anisspindling
Fjällig taggsvamp s.str.
Olivspindling
Rödgul trumpetsvamp
Skarp dropptaggsvamp
Svavelriska</t>
        </is>
      </c>
      <c r="S4">
        <f>HYPERLINK("https://klasma.github.io/Logging_0360/artfynd/A 43609-2023 artfynd.xlsx", "A 43609-2023")</f>
        <v/>
      </c>
      <c r="T4">
        <f>HYPERLINK("https://klasma.github.io/Logging_0360/kartor/A 43609-2023 karta.png", "A 43609-2023")</f>
        <v/>
      </c>
      <c r="U4">
        <f>HYPERLINK("https://klasma.github.io/Logging_0360/knärot/A 43609-2023 karta knärot.png", "A 43609-2023")</f>
        <v/>
      </c>
      <c r="V4">
        <f>HYPERLINK("https://klasma.github.io/Logging_0360/klagomål/A 43609-2023 FSC-klagomål.docx", "A 43609-2023")</f>
        <v/>
      </c>
      <c r="W4">
        <f>HYPERLINK("https://klasma.github.io/Logging_0360/klagomålsmail/A 43609-2023 FSC-klagomål mail.docx", "A 43609-2023")</f>
        <v/>
      </c>
      <c r="X4">
        <f>HYPERLINK("https://klasma.github.io/Logging_0360/tillsyn/A 43609-2023 tillsynsbegäran.docx", "A 43609-2023")</f>
        <v/>
      </c>
      <c r="Y4">
        <f>HYPERLINK("https://klasma.github.io/Logging_0360/tillsynsmail/A 43609-2023 tillsynsbegäran mail.docx", "A 43609-2023")</f>
        <v/>
      </c>
    </row>
    <row r="5" ht="15" customHeight="1">
      <c r="A5" t="inlineStr">
        <is>
          <t>A 234-2025</t>
        </is>
      </c>
      <c r="B5" s="1" t="n">
        <v>45660</v>
      </c>
      <c r="C5" s="1" t="n">
        <v>45890</v>
      </c>
      <c r="D5" t="inlineStr">
        <is>
          <t>UPPSALA LÄN</t>
        </is>
      </c>
      <c r="E5" t="inlineStr">
        <is>
          <t>TIERP</t>
        </is>
      </c>
      <c r="F5" t="inlineStr">
        <is>
          <t>Bergvik skog öst AB</t>
        </is>
      </c>
      <c r="G5" t="n">
        <v>4.5</v>
      </c>
      <c r="H5" t="n">
        <v>3</v>
      </c>
      <c r="I5" t="n">
        <v>6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12</v>
      </c>
      <c r="R5" s="2" t="inlineStr">
        <is>
          <t>Knärot
Grönhjon
Kortskaftad ärgspik
Spillkråka
Ullticka
Brandticka
Bronshjon
Grönpyrola
Kattfotslav
Vedticka
Vågbandad barkbock
Blåsippa</t>
        </is>
      </c>
      <c r="S5">
        <f>HYPERLINK("https://klasma.github.io/Logging_0360/artfynd/A 234-2025 artfynd.xlsx", "A 234-2025")</f>
        <v/>
      </c>
      <c r="T5">
        <f>HYPERLINK("https://klasma.github.io/Logging_0360/kartor/A 234-2025 karta.png", "A 234-2025")</f>
        <v/>
      </c>
      <c r="U5">
        <f>HYPERLINK("https://klasma.github.io/Logging_0360/knärot/A 234-2025 karta knärot.png", "A 234-2025")</f>
        <v/>
      </c>
      <c r="V5">
        <f>HYPERLINK("https://klasma.github.io/Logging_0360/klagomål/A 234-2025 FSC-klagomål.docx", "A 234-2025")</f>
        <v/>
      </c>
      <c r="W5">
        <f>HYPERLINK("https://klasma.github.io/Logging_0360/klagomålsmail/A 234-2025 FSC-klagomål mail.docx", "A 234-2025")</f>
        <v/>
      </c>
      <c r="X5">
        <f>HYPERLINK("https://klasma.github.io/Logging_0360/tillsyn/A 234-2025 tillsynsbegäran.docx", "A 234-2025")</f>
        <v/>
      </c>
      <c r="Y5">
        <f>HYPERLINK("https://klasma.github.io/Logging_0360/tillsynsmail/A 234-2025 tillsynsbegäran mail.docx", "A 234-2025")</f>
        <v/>
      </c>
      <c r="Z5">
        <f>HYPERLINK("https://klasma.github.io/Logging_0360/fåglar/A 234-2025 prioriterade fågelarter.docx", "A 234-2025")</f>
        <v/>
      </c>
    </row>
    <row r="6" ht="15" customHeight="1">
      <c r="A6" t="inlineStr">
        <is>
          <t>A 2802-2021</t>
        </is>
      </c>
      <c r="B6" s="1" t="n">
        <v>44215</v>
      </c>
      <c r="C6" s="1" t="n">
        <v>45890</v>
      </c>
      <c r="D6" t="inlineStr">
        <is>
          <t>UPPSALA LÄN</t>
        </is>
      </c>
      <c r="E6" t="inlineStr">
        <is>
          <t>TIERP</t>
        </is>
      </c>
      <c r="G6" t="n">
        <v>4.3</v>
      </c>
      <c r="H6" t="n">
        <v>0</v>
      </c>
      <c r="I6" t="n">
        <v>7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10</v>
      </c>
      <c r="R6" s="2" t="inlineStr">
        <is>
          <t>Kopparspindling
Puderspindling
Äggspindling
Anisspindling
Diskvaxskivling
Fjällig taggsvamp s.str.
Kantjordstjärna
Kryddspindling
Olivspindling
Rödgul trumpetsvamp</t>
        </is>
      </c>
      <c r="S6">
        <f>HYPERLINK("https://klasma.github.io/Logging_0360/artfynd/A 2802-2021 artfynd.xlsx", "A 2802-2021")</f>
        <v/>
      </c>
      <c r="T6">
        <f>HYPERLINK("https://klasma.github.io/Logging_0360/kartor/A 2802-2021 karta.png", "A 2802-2021")</f>
        <v/>
      </c>
      <c r="V6">
        <f>HYPERLINK("https://klasma.github.io/Logging_0360/klagomål/A 2802-2021 FSC-klagomål.docx", "A 2802-2021")</f>
        <v/>
      </c>
      <c r="W6">
        <f>HYPERLINK("https://klasma.github.io/Logging_0360/klagomålsmail/A 2802-2021 FSC-klagomål mail.docx", "A 2802-2021")</f>
        <v/>
      </c>
      <c r="X6">
        <f>HYPERLINK("https://klasma.github.io/Logging_0360/tillsyn/A 2802-2021 tillsynsbegäran.docx", "A 2802-2021")</f>
        <v/>
      </c>
      <c r="Y6">
        <f>HYPERLINK("https://klasma.github.io/Logging_0360/tillsynsmail/A 2802-2021 tillsynsbegäran mail.docx", "A 2802-2021")</f>
        <v/>
      </c>
    </row>
    <row r="7" ht="15" customHeight="1">
      <c r="A7" t="inlineStr">
        <is>
          <t>A 14157-2022</t>
        </is>
      </c>
      <c r="B7" s="1" t="n">
        <v>44651</v>
      </c>
      <c r="C7" s="1" t="n">
        <v>45890</v>
      </c>
      <c r="D7" t="inlineStr">
        <is>
          <t>UPPSALA LÄN</t>
        </is>
      </c>
      <c r="E7" t="inlineStr">
        <is>
          <t>TIERP</t>
        </is>
      </c>
      <c r="F7" t="inlineStr">
        <is>
          <t>Bergvik skog öst AB</t>
        </is>
      </c>
      <c r="G7" t="n">
        <v>8.1</v>
      </c>
      <c r="H7" t="n">
        <v>3</v>
      </c>
      <c r="I7" t="n">
        <v>8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10</v>
      </c>
      <c r="R7" s="2" t="inlineStr">
        <is>
          <t>Vit vedfingersvamp
Brandticka
Bårdlav
Lönnlav
Skogsknipprot
Tibast
Tvåblad
Underviol
Vårärt
Blåsippa</t>
        </is>
      </c>
      <c r="S7">
        <f>HYPERLINK("https://klasma.github.io/Logging_0360/artfynd/A 14157-2022 artfynd.xlsx", "A 14157-2022")</f>
        <v/>
      </c>
      <c r="T7">
        <f>HYPERLINK("https://klasma.github.io/Logging_0360/kartor/A 14157-2022 karta.png", "A 14157-2022")</f>
        <v/>
      </c>
      <c r="V7">
        <f>HYPERLINK("https://klasma.github.io/Logging_0360/klagomål/A 14157-2022 FSC-klagomål.docx", "A 14157-2022")</f>
        <v/>
      </c>
      <c r="W7">
        <f>HYPERLINK("https://klasma.github.io/Logging_0360/klagomålsmail/A 14157-2022 FSC-klagomål mail.docx", "A 14157-2022")</f>
        <v/>
      </c>
      <c r="X7">
        <f>HYPERLINK("https://klasma.github.io/Logging_0360/tillsyn/A 14157-2022 tillsynsbegäran.docx", "A 14157-2022")</f>
        <v/>
      </c>
      <c r="Y7">
        <f>HYPERLINK("https://klasma.github.io/Logging_0360/tillsynsmail/A 14157-2022 tillsynsbegäran mail.docx", "A 14157-2022")</f>
        <v/>
      </c>
    </row>
    <row r="8" ht="15" customHeight="1">
      <c r="A8" t="inlineStr">
        <is>
          <t>A 21038-2023</t>
        </is>
      </c>
      <c r="B8" s="1" t="n">
        <v>45061</v>
      </c>
      <c r="C8" s="1" t="n">
        <v>45890</v>
      </c>
      <c r="D8" t="inlineStr">
        <is>
          <t>UPPSALA LÄN</t>
        </is>
      </c>
      <c r="E8" t="inlineStr">
        <is>
          <t>TIERP</t>
        </is>
      </c>
      <c r="F8" t="inlineStr">
        <is>
          <t>Bergvik skog öst AB</t>
        </is>
      </c>
      <c r="G8" t="n">
        <v>7.8</v>
      </c>
      <c r="H8" t="n">
        <v>0</v>
      </c>
      <c r="I8" t="n">
        <v>5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7</v>
      </c>
      <c r="R8" s="2" t="inlineStr">
        <is>
          <t>Orange taggsvamp
Ullticka
Fjällig taggsvamp s.str.
Grönpyrola
Rödgul trumpetsvamp
Skarp dropptaggsvamp
Skogshakmossa</t>
        </is>
      </c>
      <c r="S8">
        <f>HYPERLINK("https://klasma.github.io/Logging_0360/artfynd/A 21038-2023 artfynd.xlsx", "A 21038-2023")</f>
        <v/>
      </c>
      <c r="T8">
        <f>HYPERLINK("https://klasma.github.io/Logging_0360/kartor/A 21038-2023 karta.png", "A 21038-2023")</f>
        <v/>
      </c>
      <c r="U8">
        <f>HYPERLINK("https://klasma.github.io/Logging_0360/knärot/A 21038-2023 karta knärot.png", "A 21038-2023")</f>
        <v/>
      </c>
      <c r="V8">
        <f>HYPERLINK("https://klasma.github.io/Logging_0360/klagomål/A 21038-2023 FSC-klagomål.docx", "A 21038-2023")</f>
        <v/>
      </c>
      <c r="W8">
        <f>HYPERLINK("https://klasma.github.io/Logging_0360/klagomålsmail/A 21038-2023 FSC-klagomål mail.docx", "A 21038-2023")</f>
        <v/>
      </c>
      <c r="X8">
        <f>HYPERLINK("https://klasma.github.io/Logging_0360/tillsyn/A 21038-2023 tillsynsbegäran.docx", "A 21038-2023")</f>
        <v/>
      </c>
      <c r="Y8">
        <f>HYPERLINK("https://klasma.github.io/Logging_0360/tillsynsmail/A 21038-2023 tillsynsbegäran mail.docx", "A 21038-2023")</f>
        <v/>
      </c>
    </row>
    <row r="9" ht="15" customHeight="1">
      <c r="A9" t="inlineStr">
        <is>
          <t>A 8507-2023</t>
        </is>
      </c>
      <c r="B9" s="1" t="n">
        <v>44977</v>
      </c>
      <c r="C9" s="1" t="n">
        <v>45890</v>
      </c>
      <c r="D9" t="inlineStr">
        <is>
          <t>UPPSALA LÄN</t>
        </is>
      </c>
      <c r="E9" t="inlineStr">
        <is>
          <t>TIERP</t>
        </is>
      </c>
      <c r="F9" t="inlineStr">
        <is>
          <t>Bergvik skog väst AB</t>
        </is>
      </c>
      <c r="G9" t="n">
        <v>7.6</v>
      </c>
      <c r="H9" t="n">
        <v>1</v>
      </c>
      <c r="I9" t="n">
        <v>1</v>
      </c>
      <c r="J9" t="n">
        <v>4</v>
      </c>
      <c r="K9" t="n">
        <v>1</v>
      </c>
      <c r="L9" t="n">
        <v>0</v>
      </c>
      <c r="M9" t="n">
        <v>0</v>
      </c>
      <c r="N9" t="n">
        <v>0</v>
      </c>
      <c r="O9" t="n">
        <v>5</v>
      </c>
      <c r="P9" t="n">
        <v>1</v>
      </c>
      <c r="Q9" t="n">
        <v>6</v>
      </c>
      <c r="R9" s="2" t="inlineStr">
        <is>
          <t>Violgubbe
Dofttaggsvamp
Flattoppad klubbsvamp
Orange taggsvamp
Spillkråka
Dropptaggsvamp</t>
        </is>
      </c>
      <c r="S9">
        <f>HYPERLINK("https://klasma.github.io/Logging_0360/artfynd/A 8507-2023 artfynd.xlsx", "A 8507-2023")</f>
        <v/>
      </c>
      <c r="T9">
        <f>HYPERLINK("https://klasma.github.io/Logging_0360/kartor/A 8507-2023 karta.png", "A 8507-2023")</f>
        <v/>
      </c>
      <c r="V9">
        <f>HYPERLINK("https://klasma.github.io/Logging_0360/klagomål/A 8507-2023 FSC-klagomål.docx", "A 8507-2023")</f>
        <v/>
      </c>
      <c r="W9">
        <f>HYPERLINK("https://klasma.github.io/Logging_0360/klagomålsmail/A 8507-2023 FSC-klagomål mail.docx", "A 8507-2023")</f>
        <v/>
      </c>
      <c r="X9">
        <f>HYPERLINK("https://klasma.github.io/Logging_0360/tillsyn/A 8507-2023 tillsynsbegäran.docx", "A 8507-2023")</f>
        <v/>
      </c>
      <c r="Y9">
        <f>HYPERLINK("https://klasma.github.io/Logging_0360/tillsynsmail/A 8507-2023 tillsynsbegäran mail.docx", "A 8507-2023")</f>
        <v/>
      </c>
      <c r="Z9">
        <f>HYPERLINK("https://klasma.github.io/Logging_0360/fåglar/A 8507-2023 prioriterade fågelarter.docx", "A 8507-2023")</f>
        <v/>
      </c>
    </row>
    <row r="10" ht="15" customHeight="1">
      <c r="A10" t="inlineStr">
        <is>
          <t>A 7125-2023</t>
        </is>
      </c>
      <c r="B10" s="1" t="n">
        <v>44970</v>
      </c>
      <c r="C10" s="1" t="n">
        <v>45890</v>
      </c>
      <c r="D10" t="inlineStr">
        <is>
          <t>UPPSALA LÄN</t>
        </is>
      </c>
      <c r="E10" t="inlineStr">
        <is>
          <t>TIERP</t>
        </is>
      </c>
      <c r="F10" t="inlineStr">
        <is>
          <t>Bergvik skog öst AB</t>
        </is>
      </c>
      <c r="G10" t="n">
        <v>23.2</v>
      </c>
      <c r="H10" t="n">
        <v>4</v>
      </c>
      <c r="I10" t="n">
        <v>2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5</v>
      </c>
      <c r="R10" s="2" t="inlineStr">
        <is>
          <t>Knärot
Rödgul trumpetsvamp
Skogsknipprot
Blåsippa
Revlummer</t>
        </is>
      </c>
      <c r="S10">
        <f>HYPERLINK("https://klasma.github.io/Logging_0360/artfynd/A 7125-2023 artfynd.xlsx", "A 7125-2023")</f>
        <v/>
      </c>
      <c r="T10">
        <f>HYPERLINK("https://klasma.github.io/Logging_0360/kartor/A 7125-2023 karta.png", "A 7125-2023")</f>
        <v/>
      </c>
      <c r="U10">
        <f>HYPERLINK("https://klasma.github.io/Logging_0360/knärot/A 7125-2023 karta knärot.png", "A 7125-2023")</f>
        <v/>
      </c>
      <c r="V10">
        <f>HYPERLINK("https://klasma.github.io/Logging_0360/klagomål/A 7125-2023 FSC-klagomål.docx", "A 7125-2023")</f>
        <v/>
      </c>
      <c r="W10">
        <f>HYPERLINK("https://klasma.github.io/Logging_0360/klagomålsmail/A 7125-2023 FSC-klagomål mail.docx", "A 7125-2023")</f>
        <v/>
      </c>
      <c r="X10">
        <f>HYPERLINK("https://klasma.github.io/Logging_0360/tillsyn/A 7125-2023 tillsynsbegäran.docx", "A 7125-2023")</f>
        <v/>
      </c>
      <c r="Y10">
        <f>HYPERLINK("https://klasma.github.io/Logging_0360/tillsynsmail/A 7125-2023 tillsynsbegäran mail.docx", "A 7125-2023")</f>
        <v/>
      </c>
    </row>
    <row r="11" ht="15" customHeight="1">
      <c r="A11" t="inlineStr">
        <is>
          <t>A 3511-2023</t>
        </is>
      </c>
      <c r="B11" s="1" t="n">
        <v>44950</v>
      </c>
      <c r="C11" s="1" t="n">
        <v>45890</v>
      </c>
      <c r="D11" t="inlineStr">
        <is>
          <t>UPPSALA LÄN</t>
        </is>
      </c>
      <c r="E11" t="inlineStr">
        <is>
          <t>TIERP</t>
        </is>
      </c>
      <c r="F11" t="inlineStr">
        <is>
          <t>Bergvik skog öst AB</t>
        </is>
      </c>
      <c r="G11" t="n">
        <v>20.5</v>
      </c>
      <c r="H11" t="n">
        <v>3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5</v>
      </c>
      <c r="R11" s="2" t="inlineStr">
        <is>
          <t>Rödgul trumpetsvamp
Tibast
Tjäder
Blåsippa
Revlummer</t>
        </is>
      </c>
      <c r="S11">
        <f>HYPERLINK("https://klasma.github.io/Logging_0360/artfynd/A 3511-2023 artfynd.xlsx", "A 3511-2023")</f>
        <v/>
      </c>
      <c r="T11">
        <f>HYPERLINK("https://klasma.github.io/Logging_0360/kartor/A 3511-2023 karta.png", "A 3511-2023")</f>
        <v/>
      </c>
      <c r="V11">
        <f>HYPERLINK("https://klasma.github.io/Logging_0360/klagomål/A 3511-2023 FSC-klagomål.docx", "A 3511-2023")</f>
        <v/>
      </c>
      <c r="W11">
        <f>HYPERLINK("https://klasma.github.io/Logging_0360/klagomålsmail/A 3511-2023 FSC-klagomål mail.docx", "A 3511-2023")</f>
        <v/>
      </c>
      <c r="X11">
        <f>HYPERLINK("https://klasma.github.io/Logging_0360/tillsyn/A 3511-2023 tillsynsbegäran.docx", "A 3511-2023")</f>
        <v/>
      </c>
      <c r="Y11">
        <f>HYPERLINK("https://klasma.github.io/Logging_0360/tillsynsmail/A 3511-2023 tillsynsbegäran mail.docx", "A 3511-2023")</f>
        <v/>
      </c>
      <c r="Z11">
        <f>HYPERLINK("https://klasma.github.io/Logging_0360/fåglar/A 3511-2023 prioriterade fågelarter.docx", "A 3511-2023")</f>
        <v/>
      </c>
    </row>
    <row r="12" ht="15" customHeight="1">
      <c r="A12" t="inlineStr">
        <is>
          <t>A 73761-2021</t>
        </is>
      </c>
      <c r="B12" s="1" t="n">
        <v>44552</v>
      </c>
      <c r="C12" s="1" t="n">
        <v>45890</v>
      </c>
      <c r="D12" t="inlineStr">
        <is>
          <t>UPPSALA LÄN</t>
        </is>
      </c>
      <c r="E12" t="inlineStr">
        <is>
          <t>TIERP</t>
        </is>
      </c>
      <c r="F12" t="inlineStr">
        <is>
          <t>Bergvik skog väst AB</t>
        </is>
      </c>
      <c r="G12" t="n">
        <v>1.9</v>
      </c>
      <c r="H12" t="n">
        <v>2</v>
      </c>
      <c r="I12" t="n">
        <v>2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4</v>
      </c>
      <c r="R12" s="2" t="inlineStr">
        <is>
          <t>Vedtrappmossa
Brandticka
Skogsknipprot
Fläcknycklar</t>
        </is>
      </c>
      <c r="S12">
        <f>HYPERLINK("https://klasma.github.io/Logging_0360/artfynd/A 73761-2021 artfynd.xlsx", "A 73761-2021")</f>
        <v/>
      </c>
      <c r="T12">
        <f>HYPERLINK("https://klasma.github.io/Logging_0360/kartor/A 73761-2021 karta.png", "A 73761-2021")</f>
        <v/>
      </c>
      <c r="V12">
        <f>HYPERLINK("https://klasma.github.io/Logging_0360/klagomål/A 73761-2021 FSC-klagomål.docx", "A 73761-2021")</f>
        <v/>
      </c>
      <c r="W12">
        <f>HYPERLINK("https://klasma.github.io/Logging_0360/klagomålsmail/A 73761-2021 FSC-klagomål mail.docx", "A 73761-2021")</f>
        <v/>
      </c>
      <c r="X12">
        <f>HYPERLINK("https://klasma.github.io/Logging_0360/tillsyn/A 73761-2021 tillsynsbegäran.docx", "A 73761-2021")</f>
        <v/>
      </c>
      <c r="Y12">
        <f>HYPERLINK("https://klasma.github.io/Logging_0360/tillsynsmail/A 73761-2021 tillsynsbegäran mail.docx", "A 73761-2021")</f>
        <v/>
      </c>
    </row>
    <row r="13" ht="15" customHeight="1">
      <c r="A13" t="inlineStr">
        <is>
          <t>A 220-2025</t>
        </is>
      </c>
      <c r="B13" s="1" t="n">
        <v>45660</v>
      </c>
      <c r="C13" s="1" t="n">
        <v>45890</v>
      </c>
      <c r="D13" t="inlineStr">
        <is>
          <t>UPPSALA LÄN</t>
        </is>
      </c>
      <c r="E13" t="inlineStr">
        <is>
          <t>TIERP</t>
        </is>
      </c>
      <c r="F13" t="inlineStr">
        <is>
          <t>Bergvik skog öst AB</t>
        </is>
      </c>
      <c r="G13" t="n">
        <v>3.2</v>
      </c>
      <c r="H13" t="n">
        <v>2</v>
      </c>
      <c r="I13" t="n">
        <v>1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4</v>
      </c>
      <c r="R13" s="2" t="inlineStr">
        <is>
          <t>Spillkråka
Ullticka
Bronshjon
Blåsippa</t>
        </is>
      </c>
      <c r="S13">
        <f>HYPERLINK("https://klasma.github.io/Logging_0360/artfynd/A 220-2025 artfynd.xlsx", "A 220-2025")</f>
        <v/>
      </c>
      <c r="T13">
        <f>HYPERLINK("https://klasma.github.io/Logging_0360/kartor/A 220-2025 karta.png", "A 220-2025")</f>
        <v/>
      </c>
      <c r="V13">
        <f>HYPERLINK("https://klasma.github.io/Logging_0360/klagomål/A 220-2025 FSC-klagomål.docx", "A 220-2025")</f>
        <v/>
      </c>
      <c r="W13">
        <f>HYPERLINK("https://klasma.github.io/Logging_0360/klagomålsmail/A 220-2025 FSC-klagomål mail.docx", "A 220-2025")</f>
        <v/>
      </c>
      <c r="X13">
        <f>HYPERLINK("https://klasma.github.io/Logging_0360/tillsyn/A 220-2025 tillsynsbegäran.docx", "A 220-2025")</f>
        <v/>
      </c>
      <c r="Y13">
        <f>HYPERLINK("https://klasma.github.io/Logging_0360/tillsynsmail/A 220-2025 tillsynsbegäran mail.docx", "A 220-2025")</f>
        <v/>
      </c>
      <c r="Z13">
        <f>HYPERLINK("https://klasma.github.io/Logging_0360/fåglar/A 220-2025 prioriterade fågelarter.docx", "A 220-2025")</f>
        <v/>
      </c>
    </row>
    <row r="14" ht="15" customHeight="1">
      <c r="A14" t="inlineStr">
        <is>
          <t>A 14523-2025</t>
        </is>
      </c>
      <c r="B14" s="1" t="n">
        <v>45741.64648148148</v>
      </c>
      <c r="C14" s="1" t="n">
        <v>45890</v>
      </c>
      <c r="D14" t="inlineStr">
        <is>
          <t>UPPSALA LÄN</t>
        </is>
      </c>
      <c r="E14" t="inlineStr">
        <is>
          <t>TIERP</t>
        </is>
      </c>
      <c r="F14" t="inlineStr">
        <is>
          <t>Bergvik skog väst AB</t>
        </is>
      </c>
      <c r="G14" t="n">
        <v>6.4</v>
      </c>
      <c r="H14" t="n">
        <v>0</v>
      </c>
      <c r="I14" t="n">
        <v>2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4</v>
      </c>
      <c r="R14" s="2" t="inlineStr">
        <is>
          <t>Dofttaggsvamp
Svartvit taggsvamp
Rostfläck
Skarp dropptaggsvamp</t>
        </is>
      </c>
      <c r="S14">
        <f>HYPERLINK("https://klasma.github.io/Logging_0360/artfynd/A 14523-2025 artfynd.xlsx", "A 14523-2025")</f>
        <v/>
      </c>
      <c r="T14">
        <f>HYPERLINK("https://klasma.github.io/Logging_0360/kartor/A 14523-2025 karta.png", "A 14523-2025")</f>
        <v/>
      </c>
      <c r="V14">
        <f>HYPERLINK("https://klasma.github.io/Logging_0360/klagomål/A 14523-2025 FSC-klagomål.docx", "A 14523-2025")</f>
        <v/>
      </c>
      <c r="W14">
        <f>HYPERLINK("https://klasma.github.io/Logging_0360/klagomålsmail/A 14523-2025 FSC-klagomål mail.docx", "A 14523-2025")</f>
        <v/>
      </c>
      <c r="X14">
        <f>HYPERLINK("https://klasma.github.io/Logging_0360/tillsyn/A 14523-2025 tillsynsbegäran.docx", "A 14523-2025")</f>
        <v/>
      </c>
      <c r="Y14">
        <f>HYPERLINK("https://klasma.github.io/Logging_0360/tillsynsmail/A 14523-2025 tillsynsbegäran mail.docx", "A 14523-2025")</f>
        <v/>
      </c>
    </row>
    <row r="15" ht="15" customHeight="1">
      <c r="A15" t="inlineStr">
        <is>
          <t>A 20503-2025</t>
        </is>
      </c>
      <c r="B15" s="1" t="n">
        <v>45775</v>
      </c>
      <c r="C15" s="1" t="n">
        <v>45890</v>
      </c>
      <c r="D15" t="inlineStr">
        <is>
          <t>UPPSALA LÄN</t>
        </is>
      </c>
      <c r="E15" t="inlineStr">
        <is>
          <t>TIERP</t>
        </is>
      </c>
      <c r="F15" t="inlineStr">
        <is>
          <t>Bergvik skog väst AB</t>
        </is>
      </c>
      <c r="G15" t="n">
        <v>29.8</v>
      </c>
      <c r="H15" t="n">
        <v>0</v>
      </c>
      <c r="I15" t="n">
        <v>2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4</v>
      </c>
      <c r="R15" s="2" t="inlineStr">
        <is>
          <t>Rutskinn
Rödbrun blekspik
Sotlav
Vätteros</t>
        </is>
      </c>
      <c r="S15">
        <f>HYPERLINK("https://klasma.github.io/Logging_0360/artfynd/A 20503-2025 artfynd.xlsx", "A 20503-2025")</f>
        <v/>
      </c>
      <c r="T15">
        <f>HYPERLINK("https://klasma.github.io/Logging_0360/kartor/A 20503-2025 karta.png", "A 20503-2025")</f>
        <v/>
      </c>
      <c r="V15">
        <f>HYPERLINK("https://klasma.github.io/Logging_0360/klagomål/A 20503-2025 FSC-klagomål.docx", "A 20503-2025")</f>
        <v/>
      </c>
      <c r="W15">
        <f>HYPERLINK("https://klasma.github.io/Logging_0360/klagomålsmail/A 20503-2025 FSC-klagomål mail.docx", "A 20503-2025")</f>
        <v/>
      </c>
      <c r="X15">
        <f>HYPERLINK("https://klasma.github.io/Logging_0360/tillsyn/A 20503-2025 tillsynsbegäran.docx", "A 20503-2025")</f>
        <v/>
      </c>
      <c r="Y15">
        <f>HYPERLINK("https://klasma.github.io/Logging_0360/tillsynsmail/A 20503-2025 tillsynsbegäran mail.docx", "A 20503-2025")</f>
        <v/>
      </c>
    </row>
    <row r="16" ht="15" customHeight="1">
      <c r="A16" t="inlineStr">
        <is>
          <t>A 30596-2025</t>
        </is>
      </c>
      <c r="B16" s="1" t="n">
        <v>45831.4458912037</v>
      </c>
      <c r="C16" s="1" t="n">
        <v>45890</v>
      </c>
      <c r="D16" t="inlineStr">
        <is>
          <t>UPPSALA LÄN</t>
        </is>
      </c>
      <c r="E16" t="inlineStr">
        <is>
          <t>TIERP</t>
        </is>
      </c>
      <c r="F16" t="inlineStr">
        <is>
          <t>Bergvik skog väst AB</t>
        </is>
      </c>
      <c r="G16" t="n">
        <v>32.1</v>
      </c>
      <c r="H16" t="n">
        <v>0</v>
      </c>
      <c r="I16" t="n">
        <v>2</v>
      </c>
      <c r="J16" t="n">
        <v>1</v>
      </c>
      <c r="K16" t="n">
        <v>0</v>
      </c>
      <c r="L16" t="n">
        <v>1</v>
      </c>
      <c r="M16" t="n">
        <v>0</v>
      </c>
      <c r="N16" t="n">
        <v>0</v>
      </c>
      <c r="O16" t="n">
        <v>2</v>
      </c>
      <c r="P16" t="n">
        <v>1</v>
      </c>
      <c r="Q16" t="n">
        <v>4</v>
      </c>
      <c r="R16" s="2" t="inlineStr">
        <is>
          <t>Ask
Rödbrun blekspik
Brun nållav
Kamjordstjärna</t>
        </is>
      </c>
      <c r="S16">
        <f>HYPERLINK("https://klasma.github.io/Logging_0360/artfynd/A 30596-2025 artfynd.xlsx", "A 30596-2025")</f>
        <v/>
      </c>
      <c r="T16">
        <f>HYPERLINK("https://klasma.github.io/Logging_0360/kartor/A 30596-2025 karta.png", "A 30596-2025")</f>
        <v/>
      </c>
      <c r="V16">
        <f>HYPERLINK("https://klasma.github.io/Logging_0360/klagomål/A 30596-2025 FSC-klagomål.docx", "A 30596-2025")</f>
        <v/>
      </c>
      <c r="W16">
        <f>HYPERLINK("https://klasma.github.io/Logging_0360/klagomålsmail/A 30596-2025 FSC-klagomål mail.docx", "A 30596-2025")</f>
        <v/>
      </c>
      <c r="X16">
        <f>HYPERLINK("https://klasma.github.io/Logging_0360/tillsyn/A 30596-2025 tillsynsbegäran.docx", "A 30596-2025")</f>
        <v/>
      </c>
      <c r="Y16">
        <f>HYPERLINK("https://klasma.github.io/Logging_0360/tillsynsmail/A 30596-2025 tillsynsbegäran mail.docx", "A 30596-2025")</f>
        <v/>
      </c>
    </row>
    <row r="17" ht="15" customHeight="1">
      <c r="A17" t="inlineStr">
        <is>
          <t>A 7896-2025</t>
        </is>
      </c>
      <c r="B17" s="1" t="n">
        <v>45707</v>
      </c>
      <c r="C17" s="1" t="n">
        <v>45890</v>
      </c>
      <c r="D17" t="inlineStr">
        <is>
          <t>UPPSALA LÄN</t>
        </is>
      </c>
      <c r="E17" t="inlineStr">
        <is>
          <t>TIERP</t>
        </is>
      </c>
      <c r="F17" t="inlineStr">
        <is>
          <t>Bergvik skog öst AB</t>
        </is>
      </c>
      <c r="G17" t="n">
        <v>23.9</v>
      </c>
      <c r="H17" t="n">
        <v>1</v>
      </c>
      <c r="I17" t="n">
        <v>1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4</v>
      </c>
      <c r="R17" s="2" t="inlineStr">
        <is>
          <t>Rynkskinn
Ullticka
Grönpyrola
Blåsippa</t>
        </is>
      </c>
      <c r="S17">
        <f>HYPERLINK("https://klasma.github.io/Logging_0360/artfynd/A 7896-2025 artfynd.xlsx", "A 7896-2025")</f>
        <v/>
      </c>
      <c r="T17">
        <f>HYPERLINK("https://klasma.github.io/Logging_0360/kartor/A 7896-2025 karta.png", "A 7896-2025")</f>
        <v/>
      </c>
      <c r="V17">
        <f>HYPERLINK("https://klasma.github.io/Logging_0360/klagomål/A 7896-2025 FSC-klagomål.docx", "A 7896-2025")</f>
        <v/>
      </c>
      <c r="W17">
        <f>HYPERLINK("https://klasma.github.io/Logging_0360/klagomålsmail/A 7896-2025 FSC-klagomål mail.docx", "A 7896-2025")</f>
        <v/>
      </c>
      <c r="X17">
        <f>HYPERLINK("https://klasma.github.io/Logging_0360/tillsyn/A 7896-2025 tillsynsbegäran.docx", "A 7896-2025")</f>
        <v/>
      </c>
      <c r="Y17">
        <f>HYPERLINK("https://klasma.github.io/Logging_0360/tillsynsmail/A 7896-2025 tillsynsbegäran mail.docx", "A 7896-2025")</f>
        <v/>
      </c>
    </row>
    <row r="18" ht="15" customHeight="1">
      <c r="A18" t="inlineStr">
        <is>
          <t>A 7366-2023</t>
        </is>
      </c>
      <c r="B18" s="1" t="n">
        <v>44966</v>
      </c>
      <c r="C18" s="1" t="n">
        <v>45890</v>
      </c>
      <c r="D18" t="inlineStr">
        <is>
          <t>UPPSALA LÄN</t>
        </is>
      </c>
      <c r="E18" t="inlineStr">
        <is>
          <t>TIERP</t>
        </is>
      </c>
      <c r="G18" t="n">
        <v>10.3</v>
      </c>
      <c r="H18" t="n">
        <v>2</v>
      </c>
      <c r="I18" t="n">
        <v>1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3</v>
      </c>
      <c r="R18" s="2" t="inlineStr">
        <is>
          <t>Knärot
Grönpyrola
Revlummer</t>
        </is>
      </c>
      <c r="S18">
        <f>HYPERLINK("https://klasma.github.io/Logging_0360/artfynd/A 7366-2023 artfynd.xlsx", "A 7366-2023")</f>
        <v/>
      </c>
      <c r="T18">
        <f>HYPERLINK("https://klasma.github.io/Logging_0360/kartor/A 7366-2023 karta.png", "A 7366-2023")</f>
        <v/>
      </c>
      <c r="U18">
        <f>HYPERLINK("https://klasma.github.io/Logging_0360/knärot/A 7366-2023 karta knärot.png", "A 7366-2023")</f>
        <v/>
      </c>
      <c r="V18">
        <f>HYPERLINK("https://klasma.github.io/Logging_0360/klagomål/A 7366-2023 FSC-klagomål.docx", "A 7366-2023")</f>
        <v/>
      </c>
      <c r="W18">
        <f>HYPERLINK("https://klasma.github.io/Logging_0360/klagomålsmail/A 7366-2023 FSC-klagomål mail.docx", "A 7366-2023")</f>
        <v/>
      </c>
      <c r="X18">
        <f>HYPERLINK("https://klasma.github.io/Logging_0360/tillsyn/A 7366-2023 tillsynsbegäran.docx", "A 7366-2023")</f>
        <v/>
      </c>
      <c r="Y18">
        <f>HYPERLINK("https://klasma.github.io/Logging_0360/tillsynsmail/A 7366-2023 tillsynsbegäran mail.docx", "A 7366-2023")</f>
        <v/>
      </c>
    </row>
    <row r="19" ht="15" customHeight="1">
      <c r="A19" t="inlineStr">
        <is>
          <t>A 15592-2022</t>
        </is>
      </c>
      <c r="B19" s="1" t="n">
        <v>44662</v>
      </c>
      <c r="C19" s="1" t="n">
        <v>45890</v>
      </c>
      <c r="D19" t="inlineStr">
        <is>
          <t>UPPSALA LÄN</t>
        </is>
      </c>
      <c r="E19" t="inlineStr">
        <is>
          <t>TIERP</t>
        </is>
      </c>
      <c r="F19" t="inlineStr">
        <is>
          <t>Bergvik skog väst AB</t>
        </is>
      </c>
      <c r="G19" t="n">
        <v>1.7</v>
      </c>
      <c r="H19" t="n">
        <v>2</v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3</v>
      </c>
      <c r="R19" s="2" t="inlineStr">
        <is>
          <t>Skogsknipprot
Tibast
Blåsippa</t>
        </is>
      </c>
      <c r="S19">
        <f>HYPERLINK("https://klasma.github.io/Logging_0360/artfynd/A 15592-2022 artfynd.xlsx", "A 15592-2022")</f>
        <v/>
      </c>
      <c r="T19">
        <f>HYPERLINK("https://klasma.github.io/Logging_0360/kartor/A 15592-2022 karta.png", "A 15592-2022")</f>
        <v/>
      </c>
      <c r="V19">
        <f>HYPERLINK("https://klasma.github.io/Logging_0360/klagomål/A 15592-2022 FSC-klagomål.docx", "A 15592-2022")</f>
        <v/>
      </c>
      <c r="W19">
        <f>HYPERLINK("https://klasma.github.io/Logging_0360/klagomålsmail/A 15592-2022 FSC-klagomål mail.docx", "A 15592-2022")</f>
        <v/>
      </c>
      <c r="X19">
        <f>HYPERLINK("https://klasma.github.io/Logging_0360/tillsyn/A 15592-2022 tillsynsbegäran.docx", "A 15592-2022")</f>
        <v/>
      </c>
      <c r="Y19">
        <f>HYPERLINK("https://klasma.github.io/Logging_0360/tillsynsmail/A 15592-2022 tillsynsbegäran mail.docx", "A 15592-2022")</f>
        <v/>
      </c>
    </row>
    <row r="20" ht="15" customHeight="1">
      <c r="A20" t="inlineStr">
        <is>
          <t>A 7309-2023</t>
        </is>
      </c>
      <c r="B20" s="1" t="n">
        <v>44970</v>
      </c>
      <c r="C20" s="1" t="n">
        <v>45890</v>
      </c>
      <c r="D20" t="inlineStr">
        <is>
          <t>UPPSALA LÄN</t>
        </is>
      </c>
      <c r="E20" t="inlineStr">
        <is>
          <t>TIERP</t>
        </is>
      </c>
      <c r="F20" t="inlineStr">
        <is>
          <t>Bergvik skog öst AB</t>
        </is>
      </c>
      <c r="G20" t="n">
        <v>13.7</v>
      </c>
      <c r="H20" t="n">
        <v>3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3</v>
      </c>
      <c r="R20" s="2" t="inlineStr">
        <is>
          <t>Skogsknipprot
Blåsippa
Revlummer</t>
        </is>
      </c>
      <c r="S20">
        <f>HYPERLINK("https://klasma.github.io/Logging_0360/artfynd/A 7309-2023 artfynd.xlsx", "A 7309-2023")</f>
        <v/>
      </c>
      <c r="T20">
        <f>HYPERLINK("https://klasma.github.io/Logging_0360/kartor/A 7309-2023 karta.png", "A 7309-2023")</f>
        <v/>
      </c>
      <c r="V20">
        <f>HYPERLINK("https://klasma.github.io/Logging_0360/klagomål/A 7309-2023 FSC-klagomål.docx", "A 7309-2023")</f>
        <v/>
      </c>
      <c r="W20">
        <f>HYPERLINK("https://klasma.github.io/Logging_0360/klagomålsmail/A 7309-2023 FSC-klagomål mail.docx", "A 7309-2023")</f>
        <v/>
      </c>
      <c r="X20">
        <f>HYPERLINK("https://klasma.github.io/Logging_0360/tillsyn/A 7309-2023 tillsynsbegäran.docx", "A 7309-2023")</f>
        <v/>
      </c>
      <c r="Y20">
        <f>HYPERLINK("https://klasma.github.io/Logging_0360/tillsynsmail/A 7309-2023 tillsynsbegäran mail.docx", "A 7309-2023")</f>
        <v/>
      </c>
    </row>
    <row r="21" ht="15" customHeight="1">
      <c r="A21" t="inlineStr">
        <is>
          <t>A 73325-2021</t>
        </is>
      </c>
      <c r="B21" s="1" t="n">
        <v>44551</v>
      </c>
      <c r="C21" s="1" t="n">
        <v>45890</v>
      </c>
      <c r="D21" t="inlineStr">
        <is>
          <t>UPPSALA LÄN</t>
        </is>
      </c>
      <c r="E21" t="inlineStr">
        <is>
          <t>TIERP</t>
        </is>
      </c>
      <c r="G21" t="n">
        <v>3.7</v>
      </c>
      <c r="H21" t="n">
        <v>0</v>
      </c>
      <c r="I21" t="n">
        <v>1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3</v>
      </c>
      <c r="R21" s="2" t="inlineStr">
        <is>
          <t>Taggfingersvamp
Äggspindling
Rödgul trumpetsvamp</t>
        </is>
      </c>
      <c r="S21">
        <f>HYPERLINK("https://klasma.github.io/Logging_0360/artfynd/A 73325-2021 artfynd.xlsx", "A 73325-2021")</f>
        <v/>
      </c>
      <c r="T21">
        <f>HYPERLINK("https://klasma.github.io/Logging_0360/kartor/A 73325-2021 karta.png", "A 73325-2021")</f>
        <v/>
      </c>
      <c r="V21">
        <f>HYPERLINK("https://klasma.github.io/Logging_0360/klagomål/A 73325-2021 FSC-klagomål.docx", "A 73325-2021")</f>
        <v/>
      </c>
      <c r="W21">
        <f>HYPERLINK("https://klasma.github.io/Logging_0360/klagomålsmail/A 73325-2021 FSC-klagomål mail.docx", "A 73325-2021")</f>
        <v/>
      </c>
      <c r="X21">
        <f>HYPERLINK("https://klasma.github.io/Logging_0360/tillsyn/A 73325-2021 tillsynsbegäran.docx", "A 73325-2021")</f>
        <v/>
      </c>
      <c r="Y21">
        <f>HYPERLINK("https://klasma.github.io/Logging_0360/tillsynsmail/A 73325-2021 tillsynsbegäran mail.docx", "A 73325-2021")</f>
        <v/>
      </c>
    </row>
    <row r="22" ht="15" customHeight="1">
      <c r="A22" t="inlineStr">
        <is>
          <t>A 10846-2025</t>
        </is>
      </c>
      <c r="B22" s="1" t="n">
        <v>45722.57912037037</v>
      </c>
      <c r="C22" s="1" t="n">
        <v>45890</v>
      </c>
      <c r="D22" t="inlineStr">
        <is>
          <t>UPPSALA LÄN</t>
        </is>
      </c>
      <c r="E22" t="inlineStr">
        <is>
          <t>TIERP</t>
        </is>
      </c>
      <c r="F22" t="inlineStr">
        <is>
          <t>Bergvik skog öst AB</t>
        </is>
      </c>
      <c r="G22" t="n">
        <v>1.8</v>
      </c>
      <c r="H22" t="n">
        <v>1</v>
      </c>
      <c r="I22" t="n">
        <v>2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3</v>
      </c>
      <c r="R22" s="2" t="inlineStr">
        <is>
          <t>Rödgul trumpetsvamp
Tibast
Blåsippa</t>
        </is>
      </c>
      <c r="S22">
        <f>HYPERLINK("https://klasma.github.io/Logging_0360/artfynd/A 10846-2025 artfynd.xlsx", "A 10846-2025")</f>
        <v/>
      </c>
      <c r="T22">
        <f>HYPERLINK("https://klasma.github.io/Logging_0360/kartor/A 10846-2025 karta.png", "A 10846-2025")</f>
        <v/>
      </c>
      <c r="V22">
        <f>HYPERLINK("https://klasma.github.io/Logging_0360/klagomål/A 10846-2025 FSC-klagomål.docx", "A 10846-2025")</f>
        <v/>
      </c>
      <c r="W22">
        <f>HYPERLINK("https://klasma.github.io/Logging_0360/klagomålsmail/A 10846-2025 FSC-klagomål mail.docx", "A 10846-2025")</f>
        <v/>
      </c>
      <c r="X22">
        <f>HYPERLINK("https://klasma.github.io/Logging_0360/tillsyn/A 10846-2025 tillsynsbegäran.docx", "A 10846-2025")</f>
        <v/>
      </c>
      <c r="Y22">
        <f>HYPERLINK("https://klasma.github.io/Logging_0360/tillsynsmail/A 10846-2025 tillsynsbegäran mail.docx", "A 10846-2025")</f>
        <v/>
      </c>
    </row>
    <row r="23" ht="15" customHeight="1">
      <c r="A23" t="inlineStr">
        <is>
          <t>A 14093-2022</t>
        </is>
      </c>
      <c r="B23" s="1" t="n">
        <v>44651</v>
      </c>
      <c r="C23" s="1" t="n">
        <v>45890</v>
      </c>
      <c r="D23" t="inlineStr">
        <is>
          <t>UPPSALA LÄN</t>
        </is>
      </c>
      <c r="E23" t="inlineStr">
        <is>
          <t>TIERP</t>
        </is>
      </c>
      <c r="F23" t="inlineStr">
        <is>
          <t>Bergvik skog öst AB</t>
        </is>
      </c>
      <c r="G23" t="n">
        <v>3.9</v>
      </c>
      <c r="H23" t="n">
        <v>0</v>
      </c>
      <c r="I23" t="n">
        <v>2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Björksplintborre
Jättesvampmal</t>
        </is>
      </c>
      <c r="S23">
        <f>HYPERLINK("https://klasma.github.io/Logging_0360/artfynd/A 14093-2022 artfynd.xlsx", "A 14093-2022")</f>
        <v/>
      </c>
      <c r="T23">
        <f>HYPERLINK("https://klasma.github.io/Logging_0360/kartor/A 14093-2022 karta.png", "A 14093-2022")</f>
        <v/>
      </c>
      <c r="V23">
        <f>HYPERLINK("https://klasma.github.io/Logging_0360/klagomål/A 14093-2022 FSC-klagomål.docx", "A 14093-2022")</f>
        <v/>
      </c>
      <c r="W23">
        <f>HYPERLINK("https://klasma.github.io/Logging_0360/klagomålsmail/A 14093-2022 FSC-klagomål mail.docx", "A 14093-2022")</f>
        <v/>
      </c>
      <c r="X23">
        <f>HYPERLINK("https://klasma.github.io/Logging_0360/tillsyn/A 14093-2022 tillsynsbegäran.docx", "A 14093-2022")</f>
        <v/>
      </c>
      <c r="Y23">
        <f>HYPERLINK("https://klasma.github.io/Logging_0360/tillsynsmail/A 14093-2022 tillsynsbegäran mail.docx", "A 14093-2022")</f>
        <v/>
      </c>
    </row>
    <row r="24" ht="15" customHeight="1">
      <c r="A24" t="inlineStr">
        <is>
          <t>A 45851-2022</t>
        </is>
      </c>
      <c r="B24" s="1" t="n">
        <v>44846</v>
      </c>
      <c r="C24" s="1" t="n">
        <v>45890</v>
      </c>
      <c r="D24" t="inlineStr">
        <is>
          <t>UPPSALA LÄN</t>
        </is>
      </c>
      <c r="E24" t="inlineStr">
        <is>
          <t>TIERP</t>
        </is>
      </c>
      <c r="G24" t="n">
        <v>2.6</v>
      </c>
      <c r="H24" t="n">
        <v>0</v>
      </c>
      <c r="I24" t="n">
        <v>2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Olivspindling
Rödgul trumpetsvamp</t>
        </is>
      </c>
      <c r="S24">
        <f>HYPERLINK("https://klasma.github.io/Logging_0360/artfynd/A 45851-2022 artfynd.xlsx", "A 45851-2022")</f>
        <v/>
      </c>
      <c r="T24">
        <f>HYPERLINK("https://klasma.github.io/Logging_0360/kartor/A 45851-2022 karta.png", "A 45851-2022")</f>
        <v/>
      </c>
      <c r="V24">
        <f>HYPERLINK("https://klasma.github.io/Logging_0360/klagomål/A 45851-2022 FSC-klagomål.docx", "A 45851-2022")</f>
        <v/>
      </c>
      <c r="W24">
        <f>HYPERLINK("https://klasma.github.io/Logging_0360/klagomålsmail/A 45851-2022 FSC-klagomål mail.docx", "A 45851-2022")</f>
        <v/>
      </c>
      <c r="X24">
        <f>HYPERLINK("https://klasma.github.io/Logging_0360/tillsyn/A 45851-2022 tillsynsbegäran.docx", "A 45851-2022")</f>
        <v/>
      </c>
      <c r="Y24">
        <f>HYPERLINK("https://klasma.github.io/Logging_0360/tillsynsmail/A 45851-2022 tillsynsbegäran mail.docx", "A 45851-2022")</f>
        <v/>
      </c>
    </row>
    <row r="25" ht="15" customHeight="1">
      <c r="A25" t="inlineStr">
        <is>
          <t>A 17074-2022</t>
        </is>
      </c>
      <c r="B25" s="1" t="n">
        <v>44677</v>
      </c>
      <c r="C25" s="1" t="n">
        <v>45890</v>
      </c>
      <c r="D25" t="inlineStr">
        <is>
          <t>UPPSALA LÄN</t>
        </is>
      </c>
      <c r="E25" t="inlineStr">
        <is>
          <t>TIERP</t>
        </is>
      </c>
      <c r="G25" t="n">
        <v>3.6</v>
      </c>
      <c r="H25" t="n">
        <v>2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Tvåblad
Fläcknycklar</t>
        </is>
      </c>
      <c r="S25">
        <f>HYPERLINK("https://klasma.github.io/Logging_0360/artfynd/A 17074-2022 artfynd.xlsx", "A 17074-2022")</f>
        <v/>
      </c>
      <c r="T25">
        <f>HYPERLINK("https://klasma.github.io/Logging_0360/kartor/A 17074-2022 karta.png", "A 17074-2022")</f>
        <v/>
      </c>
      <c r="V25">
        <f>HYPERLINK("https://klasma.github.io/Logging_0360/klagomål/A 17074-2022 FSC-klagomål.docx", "A 17074-2022")</f>
        <v/>
      </c>
      <c r="W25">
        <f>HYPERLINK("https://klasma.github.io/Logging_0360/klagomålsmail/A 17074-2022 FSC-klagomål mail.docx", "A 17074-2022")</f>
        <v/>
      </c>
      <c r="X25">
        <f>HYPERLINK("https://klasma.github.io/Logging_0360/tillsyn/A 17074-2022 tillsynsbegäran.docx", "A 17074-2022")</f>
        <v/>
      </c>
      <c r="Y25">
        <f>HYPERLINK("https://klasma.github.io/Logging_0360/tillsynsmail/A 17074-2022 tillsynsbegäran mail.docx", "A 17074-2022")</f>
        <v/>
      </c>
    </row>
    <row r="26" ht="15" customHeight="1">
      <c r="A26" t="inlineStr">
        <is>
          <t>A 48687-2023</t>
        </is>
      </c>
      <c r="B26" s="1" t="n">
        <v>45208</v>
      </c>
      <c r="C26" s="1" t="n">
        <v>45890</v>
      </c>
      <c r="D26" t="inlineStr">
        <is>
          <t>UPPSALA LÄN</t>
        </is>
      </c>
      <c r="E26" t="inlineStr">
        <is>
          <t>TIERP</t>
        </is>
      </c>
      <c r="F26" t="inlineStr">
        <is>
          <t>Bergvik skog öst AB</t>
        </is>
      </c>
      <c r="G26" t="n">
        <v>2.6</v>
      </c>
      <c r="H26" t="n">
        <v>1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Gulsparv
Klasefibbla</t>
        </is>
      </c>
      <c r="S26">
        <f>HYPERLINK("https://klasma.github.io/Logging_0360/artfynd/A 48687-2023 artfynd.xlsx", "A 48687-2023")</f>
        <v/>
      </c>
      <c r="T26">
        <f>HYPERLINK("https://klasma.github.io/Logging_0360/kartor/A 48687-2023 karta.png", "A 48687-2023")</f>
        <v/>
      </c>
      <c r="V26">
        <f>HYPERLINK("https://klasma.github.io/Logging_0360/klagomål/A 48687-2023 FSC-klagomål.docx", "A 48687-2023")</f>
        <v/>
      </c>
      <c r="W26">
        <f>HYPERLINK("https://klasma.github.io/Logging_0360/klagomålsmail/A 48687-2023 FSC-klagomål mail.docx", "A 48687-2023")</f>
        <v/>
      </c>
      <c r="X26">
        <f>HYPERLINK("https://klasma.github.io/Logging_0360/tillsyn/A 48687-2023 tillsynsbegäran.docx", "A 48687-2023")</f>
        <v/>
      </c>
      <c r="Y26">
        <f>HYPERLINK("https://klasma.github.io/Logging_0360/tillsynsmail/A 48687-2023 tillsynsbegäran mail.docx", "A 48687-2023")</f>
        <v/>
      </c>
      <c r="Z26">
        <f>HYPERLINK("https://klasma.github.io/Logging_0360/fåglar/A 48687-2023 prioriterade fågelarter.docx", "A 48687-2023")</f>
        <v/>
      </c>
    </row>
    <row r="27" ht="15" customHeight="1">
      <c r="A27" t="inlineStr">
        <is>
          <t>A 17748-2025</t>
        </is>
      </c>
      <c r="B27" s="1" t="n">
        <v>45758.4828125</v>
      </c>
      <c r="C27" s="1" t="n">
        <v>45890</v>
      </c>
      <c r="D27" t="inlineStr">
        <is>
          <t>UPPSALA LÄN</t>
        </is>
      </c>
      <c r="E27" t="inlineStr">
        <is>
          <t>TIERP</t>
        </is>
      </c>
      <c r="F27" t="inlineStr">
        <is>
          <t>Bergvik skog öst AB</t>
        </is>
      </c>
      <c r="G27" t="n">
        <v>9.800000000000001</v>
      </c>
      <c r="H27" t="n">
        <v>1</v>
      </c>
      <c r="I27" t="n">
        <v>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Opalfingersvamp
Skogsknipprot</t>
        </is>
      </c>
      <c r="S27">
        <f>HYPERLINK("https://klasma.github.io/Logging_0360/artfynd/A 17748-2025 artfynd.xlsx", "A 17748-2025")</f>
        <v/>
      </c>
      <c r="T27">
        <f>HYPERLINK("https://klasma.github.io/Logging_0360/kartor/A 17748-2025 karta.png", "A 17748-2025")</f>
        <v/>
      </c>
      <c r="V27">
        <f>HYPERLINK("https://klasma.github.io/Logging_0360/klagomål/A 17748-2025 FSC-klagomål.docx", "A 17748-2025")</f>
        <v/>
      </c>
      <c r="W27">
        <f>HYPERLINK("https://klasma.github.io/Logging_0360/klagomålsmail/A 17748-2025 FSC-klagomål mail.docx", "A 17748-2025")</f>
        <v/>
      </c>
      <c r="X27">
        <f>HYPERLINK("https://klasma.github.io/Logging_0360/tillsyn/A 17748-2025 tillsynsbegäran.docx", "A 17748-2025")</f>
        <v/>
      </c>
      <c r="Y27">
        <f>HYPERLINK("https://klasma.github.io/Logging_0360/tillsynsmail/A 17748-2025 tillsynsbegäran mail.docx", "A 17748-2025")</f>
        <v/>
      </c>
    </row>
    <row r="28" ht="15" customHeight="1">
      <c r="A28" t="inlineStr">
        <is>
          <t>A 140-2024</t>
        </is>
      </c>
      <c r="B28" s="1" t="n">
        <v>45294.44883101852</v>
      </c>
      <c r="C28" s="1" t="n">
        <v>45890</v>
      </c>
      <c r="D28" t="inlineStr">
        <is>
          <t>UPPSALA LÄN</t>
        </is>
      </c>
      <c r="E28" t="inlineStr">
        <is>
          <t>TIERP</t>
        </is>
      </c>
      <c r="G28" t="n">
        <v>2.9</v>
      </c>
      <c r="H28" t="n">
        <v>2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Gulsparv
Ärtsångare</t>
        </is>
      </c>
      <c r="S28">
        <f>HYPERLINK("https://klasma.github.io/Logging_0360/artfynd/A 140-2024 artfynd.xlsx", "A 140-2024")</f>
        <v/>
      </c>
      <c r="T28">
        <f>HYPERLINK("https://klasma.github.io/Logging_0360/kartor/A 140-2024 karta.png", "A 140-2024")</f>
        <v/>
      </c>
      <c r="V28">
        <f>HYPERLINK("https://klasma.github.io/Logging_0360/klagomål/A 140-2024 FSC-klagomål.docx", "A 140-2024")</f>
        <v/>
      </c>
      <c r="W28">
        <f>HYPERLINK("https://klasma.github.io/Logging_0360/klagomålsmail/A 140-2024 FSC-klagomål mail.docx", "A 140-2024")</f>
        <v/>
      </c>
      <c r="X28">
        <f>HYPERLINK("https://klasma.github.io/Logging_0360/tillsyn/A 140-2024 tillsynsbegäran.docx", "A 140-2024")</f>
        <v/>
      </c>
      <c r="Y28">
        <f>HYPERLINK("https://klasma.github.io/Logging_0360/tillsynsmail/A 140-2024 tillsynsbegäran mail.docx", "A 140-2024")</f>
        <v/>
      </c>
      <c r="Z28">
        <f>HYPERLINK("https://klasma.github.io/Logging_0360/fåglar/A 140-2024 prioriterade fågelarter.docx", "A 140-2024")</f>
        <v/>
      </c>
    </row>
    <row r="29" ht="15" customHeight="1">
      <c r="A29" t="inlineStr">
        <is>
          <t>A 34979-2023</t>
        </is>
      </c>
      <c r="B29" s="1" t="n">
        <v>45142</v>
      </c>
      <c r="C29" s="1" t="n">
        <v>45890</v>
      </c>
      <c r="D29" t="inlineStr">
        <is>
          <t>UPPSALA LÄN</t>
        </is>
      </c>
      <c r="E29" t="inlineStr">
        <is>
          <t>TIERP</t>
        </is>
      </c>
      <c r="F29" t="inlineStr">
        <is>
          <t>Bergvik skog öst AB</t>
        </is>
      </c>
      <c r="G29" t="n">
        <v>1.2</v>
      </c>
      <c r="H29" t="n">
        <v>0</v>
      </c>
      <c r="I29" t="n">
        <v>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Fjällig taggsvamp s.str.
Vedticka</t>
        </is>
      </c>
      <c r="S29">
        <f>HYPERLINK("https://klasma.github.io/Logging_0360/artfynd/A 34979-2023 artfynd.xlsx", "A 34979-2023")</f>
        <v/>
      </c>
      <c r="T29">
        <f>HYPERLINK("https://klasma.github.io/Logging_0360/kartor/A 34979-2023 karta.png", "A 34979-2023")</f>
        <v/>
      </c>
      <c r="V29">
        <f>HYPERLINK("https://klasma.github.io/Logging_0360/klagomål/A 34979-2023 FSC-klagomål.docx", "A 34979-2023")</f>
        <v/>
      </c>
      <c r="W29">
        <f>HYPERLINK("https://klasma.github.io/Logging_0360/klagomålsmail/A 34979-2023 FSC-klagomål mail.docx", "A 34979-2023")</f>
        <v/>
      </c>
      <c r="X29">
        <f>HYPERLINK("https://klasma.github.io/Logging_0360/tillsyn/A 34979-2023 tillsynsbegäran.docx", "A 34979-2023")</f>
        <v/>
      </c>
      <c r="Y29">
        <f>HYPERLINK("https://klasma.github.io/Logging_0360/tillsynsmail/A 34979-2023 tillsynsbegäran mail.docx", "A 34979-2023")</f>
        <v/>
      </c>
    </row>
    <row r="30" ht="15" customHeight="1">
      <c r="A30" t="inlineStr">
        <is>
          <t>A 39018-2024</t>
        </is>
      </c>
      <c r="B30" s="1" t="n">
        <v>45548.4465162037</v>
      </c>
      <c r="C30" s="1" t="n">
        <v>45890</v>
      </c>
      <c r="D30" t="inlineStr">
        <is>
          <t>UPPSALA LÄN</t>
        </is>
      </c>
      <c r="E30" t="inlineStr">
        <is>
          <t>TIERP</t>
        </is>
      </c>
      <c r="F30" t="inlineStr">
        <is>
          <t>Bergvik skog öst AB</t>
        </is>
      </c>
      <c r="G30" t="n">
        <v>19.1</v>
      </c>
      <c r="H30" t="n">
        <v>2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Rödvingetrast
Talltita</t>
        </is>
      </c>
      <c r="S30">
        <f>HYPERLINK("https://klasma.github.io/Logging_0360/artfynd/A 39018-2024 artfynd.xlsx", "A 39018-2024")</f>
        <v/>
      </c>
      <c r="T30">
        <f>HYPERLINK("https://klasma.github.io/Logging_0360/kartor/A 39018-2024 karta.png", "A 39018-2024")</f>
        <v/>
      </c>
      <c r="V30">
        <f>HYPERLINK("https://klasma.github.io/Logging_0360/klagomål/A 39018-2024 FSC-klagomål.docx", "A 39018-2024")</f>
        <v/>
      </c>
      <c r="W30">
        <f>HYPERLINK("https://klasma.github.io/Logging_0360/klagomålsmail/A 39018-2024 FSC-klagomål mail.docx", "A 39018-2024")</f>
        <v/>
      </c>
      <c r="X30">
        <f>HYPERLINK("https://klasma.github.io/Logging_0360/tillsyn/A 39018-2024 tillsynsbegäran.docx", "A 39018-2024")</f>
        <v/>
      </c>
      <c r="Y30">
        <f>HYPERLINK("https://klasma.github.io/Logging_0360/tillsynsmail/A 39018-2024 tillsynsbegäran mail.docx", "A 39018-2024")</f>
        <v/>
      </c>
      <c r="Z30">
        <f>HYPERLINK("https://klasma.github.io/Logging_0360/fåglar/A 39018-2024 prioriterade fågelarter.docx", "A 39018-2024")</f>
        <v/>
      </c>
    </row>
    <row r="31" ht="15" customHeight="1">
      <c r="A31" t="inlineStr">
        <is>
          <t>A 21607-2025</t>
        </is>
      </c>
      <c r="B31" s="1" t="n">
        <v>45783.38454861111</v>
      </c>
      <c r="C31" s="1" t="n">
        <v>45890</v>
      </c>
      <c r="D31" t="inlineStr">
        <is>
          <t>UPPSALA LÄN</t>
        </is>
      </c>
      <c r="E31" t="inlineStr">
        <is>
          <t>TIERP</t>
        </is>
      </c>
      <c r="F31" t="inlineStr">
        <is>
          <t>Bergvik skog öst AB</t>
        </is>
      </c>
      <c r="G31" t="n">
        <v>6.8</v>
      </c>
      <c r="H31" t="n">
        <v>1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Vanlig rörsvepemossa
Revlummer</t>
        </is>
      </c>
      <c r="S31">
        <f>HYPERLINK("https://klasma.github.io/Logging_0360/artfynd/A 21607-2025 artfynd.xlsx", "A 21607-2025")</f>
        <v/>
      </c>
      <c r="T31">
        <f>HYPERLINK("https://klasma.github.io/Logging_0360/kartor/A 21607-2025 karta.png", "A 21607-2025")</f>
        <v/>
      </c>
      <c r="V31">
        <f>HYPERLINK("https://klasma.github.io/Logging_0360/klagomål/A 21607-2025 FSC-klagomål.docx", "A 21607-2025")</f>
        <v/>
      </c>
      <c r="W31">
        <f>HYPERLINK("https://klasma.github.io/Logging_0360/klagomålsmail/A 21607-2025 FSC-klagomål mail.docx", "A 21607-2025")</f>
        <v/>
      </c>
      <c r="X31">
        <f>HYPERLINK("https://klasma.github.io/Logging_0360/tillsyn/A 21607-2025 tillsynsbegäran.docx", "A 21607-2025")</f>
        <v/>
      </c>
      <c r="Y31">
        <f>HYPERLINK("https://klasma.github.io/Logging_0360/tillsynsmail/A 21607-2025 tillsynsbegäran mail.docx", "A 21607-2025")</f>
        <v/>
      </c>
    </row>
    <row r="32" ht="15" customHeight="1">
      <c r="A32" t="inlineStr">
        <is>
          <t>A 15040-2024</t>
        </is>
      </c>
      <c r="B32" s="1" t="n">
        <v>45399.48680555556</v>
      </c>
      <c r="C32" s="1" t="n">
        <v>45890</v>
      </c>
      <c r="D32" t="inlineStr">
        <is>
          <t>UPPSALA LÄN</t>
        </is>
      </c>
      <c r="E32" t="inlineStr">
        <is>
          <t>TIERP</t>
        </is>
      </c>
      <c r="G32" t="n">
        <v>7.2</v>
      </c>
      <c r="H32" t="n">
        <v>1</v>
      </c>
      <c r="I32" t="n">
        <v>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Granbräken
Grönkulla</t>
        </is>
      </c>
      <c r="S32">
        <f>HYPERLINK("https://klasma.github.io/Logging_0360/artfynd/A 15040-2024 artfynd.xlsx", "A 15040-2024")</f>
        <v/>
      </c>
      <c r="T32">
        <f>HYPERLINK("https://klasma.github.io/Logging_0360/kartor/A 15040-2024 karta.png", "A 15040-2024")</f>
        <v/>
      </c>
      <c r="V32">
        <f>HYPERLINK("https://klasma.github.io/Logging_0360/klagomål/A 15040-2024 FSC-klagomål.docx", "A 15040-2024")</f>
        <v/>
      </c>
      <c r="W32">
        <f>HYPERLINK("https://klasma.github.io/Logging_0360/klagomålsmail/A 15040-2024 FSC-klagomål mail.docx", "A 15040-2024")</f>
        <v/>
      </c>
      <c r="X32">
        <f>HYPERLINK("https://klasma.github.io/Logging_0360/tillsyn/A 15040-2024 tillsynsbegäran.docx", "A 15040-2024")</f>
        <v/>
      </c>
      <c r="Y32">
        <f>HYPERLINK("https://klasma.github.io/Logging_0360/tillsynsmail/A 15040-2024 tillsynsbegäran mail.docx", "A 15040-2024")</f>
        <v/>
      </c>
    </row>
    <row r="33" ht="15" customHeight="1">
      <c r="A33" t="inlineStr">
        <is>
          <t>A 25013-2025</t>
        </is>
      </c>
      <c r="B33" s="1" t="n">
        <v>45799.62886574074</v>
      </c>
      <c r="C33" s="1" t="n">
        <v>45890</v>
      </c>
      <c r="D33" t="inlineStr">
        <is>
          <t>UPPSALA LÄN</t>
        </is>
      </c>
      <c r="E33" t="inlineStr">
        <is>
          <t>TIERP</t>
        </is>
      </c>
      <c r="G33" t="n">
        <v>0.5</v>
      </c>
      <c r="H33" t="n">
        <v>0</v>
      </c>
      <c r="I33" t="n">
        <v>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Gul taggsvamp
Rödgul trumpetsvamp</t>
        </is>
      </c>
      <c r="S33">
        <f>HYPERLINK("https://klasma.github.io/Logging_0360/artfynd/A 25013-2025 artfynd.xlsx", "A 25013-2025")</f>
        <v/>
      </c>
      <c r="T33">
        <f>HYPERLINK("https://klasma.github.io/Logging_0360/kartor/A 25013-2025 karta.png", "A 25013-2025")</f>
        <v/>
      </c>
      <c r="V33">
        <f>HYPERLINK("https://klasma.github.io/Logging_0360/klagomål/A 25013-2025 FSC-klagomål.docx", "A 25013-2025")</f>
        <v/>
      </c>
      <c r="W33">
        <f>HYPERLINK("https://klasma.github.io/Logging_0360/klagomålsmail/A 25013-2025 FSC-klagomål mail.docx", "A 25013-2025")</f>
        <v/>
      </c>
      <c r="X33">
        <f>HYPERLINK("https://klasma.github.io/Logging_0360/tillsyn/A 25013-2025 tillsynsbegäran.docx", "A 25013-2025")</f>
        <v/>
      </c>
      <c r="Y33">
        <f>HYPERLINK("https://klasma.github.io/Logging_0360/tillsynsmail/A 25013-2025 tillsynsbegäran mail.docx", "A 25013-2025")</f>
        <v/>
      </c>
    </row>
    <row r="34" ht="15" customHeight="1">
      <c r="A34" t="inlineStr">
        <is>
          <t>A 53324-2021</t>
        </is>
      </c>
      <c r="B34" s="1" t="n">
        <v>44468</v>
      </c>
      <c r="C34" s="1" t="n">
        <v>45890</v>
      </c>
      <c r="D34" t="inlineStr">
        <is>
          <t>UPPSALA LÄN</t>
        </is>
      </c>
      <c r="E34" t="inlineStr">
        <is>
          <t>TIERP</t>
        </is>
      </c>
      <c r="G34" t="n">
        <v>0.8</v>
      </c>
      <c r="H34" t="n">
        <v>0</v>
      </c>
      <c r="I34" t="n">
        <v>1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Granticka
Stor aspticka</t>
        </is>
      </c>
      <c r="S34">
        <f>HYPERLINK("https://klasma.github.io/Logging_0360/artfynd/A 53324-2021 artfynd.xlsx", "A 53324-2021")</f>
        <v/>
      </c>
      <c r="T34">
        <f>HYPERLINK("https://klasma.github.io/Logging_0360/kartor/A 53324-2021 karta.png", "A 53324-2021")</f>
        <v/>
      </c>
      <c r="V34">
        <f>HYPERLINK("https://klasma.github.io/Logging_0360/klagomål/A 53324-2021 FSC-klagomål.docx", "A 53324-2021")</f>
        <v/>
      </c>
      <c r="W34">
        <f>HYPERLINK("https://klasma.github.io/Logging_0360/klagomålsmail/A 53324-2021 FSC-klagomål mail.docx", "A 53324-2021")</f>
        <v/>
      </c>
      <c r="X34">
        <f>HYPERLINK("https://klasma.github.io/Logging_0360/tillsyn/A 53324-2021 tillsynsbegäran.docx", "A 53324-2021")</f>
        <v/>
      </c>
      <c r="Y34">
        <f>HYPERLINK("https://klasma.github.io/Logging_0360/tillsynsmail/A 53324-2021 tillsynsbegäran mail.docx", "A 53324-2021")</f>
        <v/>
      </c>
    </row>
    <row r="35" ht="15" customHeight="1">
      <c r="A35" t="inlineStr">
        <is>
          <t>A 35188-2025</t>
        </is>
      </c>
      <c r="B35" s="1" t="n">
        <v>45853.32288194444</v>
      </c>
      <c r="C35" s="1" t="n">
        <v>45890</v>
      </c>
      <c r="D35" t="inlineStr">
        <is>
          <t>UPPSALA LÄN</t>
        </is>
      </c>
      <c r="E35" t="inlineStr">
        <is>
          <t>TIERP</t>
        </is>
      </c>
      <c r="G35" t="n">
        <v>1.8</v>
      </c>
      <c r="H35" t="n">
        <v>2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Skogsknipprot
Fläcknycklar</t>
        </is>
      </c>
      <c r="S35">
        <f>HYPERLINK("https://klasma.github.io/Logging_0360/artfynd/A 35188-2025 artfynd.xlsx", "A 35188-2025")</f>
        <v/>
      </c>
      <c r="T35">
        <f>HYPERLINK("https://klasma.github.io/Logging_0360/kartor/A 35188-2025 karta.png", "A 35188-2025")</f>
        <v/>
      </c>
      <c r="V35">
        <f>HYPERLINK("https://klasma.github.io/Logging_0360/klagomål/A 35188-2025 FSC-klagomål.docx", "A 35188-2025")</f>
        <v/>
      </c>
      <c r="W35">
        <f>HYPERLINK("https://klasma.github.io/Logging_0360/klagomålsmail/A 35188-2025 FSC-klagomål mail.docx", "A 35188-2025")</f>
        <v/>
      </c>
      <c r="X35">
        <f>HYPERLINK("https://klasma.github.io/Logging_0360/tillsyn/A 35188-2025 tillsynsbegäran.docx", "A 35188-2025")</f>
        <v/>
      </c>
      <c r="Y35">
        <f>HYPERLINK("https://klasma.github.io/Logging_0360/tillsynsmail/A 35188-2025 tillsynsbegäran mail.docx", "A 35188-2025")</f>
        <v/>
      </c>
    </row>
    <row r="36" ht="15" customHeight="1">
      <c r="A36" t="inlineStr">
        <is>
          <t>A 12971-2024</t>
        </is>
      </c>
      <c r="B36" s="1" t="n">
        <v>45385</v>
      </c>
      <c r="C36" s="1" t="n">
        <v>45890</v>
      </c>
      <c r="D36" t="inlineStr">
        <is>
          <t>UPPSALA LÄN</t>
        </is>
      </c>
      <c r="E36" t="inlineStr">
        <is>
          <t>TIERP</t>
        </is>
      </c>
      <c r="G36" t="n">
        <v>21.4</v>
      </c>
      <c r="H36" t="n">
        <v>2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2</v>
      </c>
      <c r="R36" s="2" t="inlineStr">
        <is>
          <t>Entita
Rödvingetrast</t>
        </is>
      </c>
      <c r="S36">
        <f>HYPERLINK("https://klasma.github.io/Logging_0360/artfynd/A 12971-2024 artfynd.xlsx", "A 12971-2024")</f>
        <v/>
      </c>
      <c r="T36">
        <f>HYPERLINK("https://klasma.github.io/Logging_0360/kartor/A 12971-2024 karta.png", "A 12971-2024")</f>
        <v/>
      </c>
      <c r="V36">
        <f>HYPERLINK("https://klasma.github.io/Logging_0360/klagomål/A 12971-2024 FSC-klagomål.docx", "A 12971-2024")</f>
        <v/>
      </c>
      <c r="W36">
        <f>HYPERLINK("https://klasma.github.io/Logging_0360/klagomålsmail/A 12971-2024 FSC-klagomål mail.docx", "A 12971-2024")</f>
        <v/>
      </c>
      <c r="X36">
        <f>HYPERLINK("https://klasma.github.io/Logging_0360/tillsyn/A 12971-2024 tillsynsbegäran.docx", "A 12971-2024")</f>
        <v/>
      </c>
      <c r="Y36">
        <f>HYPERLINK("https://klasma.github.io/Logging_0360/tillsynsmail/A 12971-2024 tillsynsbegäran mail.docx", "A 12971-2024")</f>
        <v/>
      </c>
      <c r="Z36">
        <f>HYPERLINK("https://klasma.github.io/Logging_0360/fåglar/A 12971-2024 prioriterade fågelarter.docx", "A 12971-2024")</f>
        <v/>
      </c>
    </row>
    <row r="37" ht="15" customHeight="1">
      <c r="A37" t="inlineStr">
        <is>
          <t>A 2535-2022</t>
        </is>
      </c>
      <c r="B37" s="1" t="n">
        <v>44579.9575</v>
      </c>
      <c r="C37" s="1" t="n">
        <v>45890</v>
      </c>
      <c r="D37" t="inlineStr">
        <is>
          <t>UPPSALA LÄN</t>
        </is>
      </c>
      <c r="E37" t="inlineStr">
        <is>
          <t>TIERP</t>
        </is>
      </c>
      <c r="G37" t="n">
        <v>2.3</v>
      </c>
      <c r="H37" t="n">
        <v>1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Knärot</t>
        </is>
      </c>
      <c r="S37">
        <f>HYPERLINK("https://klasma.github.io/Logging_0360/artfynd/A 2535-2022 artfynd.xlsx", "A 2535-2022")</f>
        <v/>
      </c>
      <c r="T37">
        <f>HYPERLINK("https://klasma.github.io/Logging_0360/kartor/A 2535-2022 karta.png", "A 2535-2022")</f>
        <v/>
      </c>
      <c r="U37">
        <f>HYPERLINK("https://klasma.github.io/Logging_0360/knärot/A 2535-2022 karta knärot.png", "A 2535-2022")</f>
        <v/>
      </c>
      <c r="V37">
        <f>HYPERLINK("https://klasma.github.io/Logging_0360/klagomål/A 2535-2022 FSC-klagomål.docx", "A 2535-2022")</f>
        <v/>
      </c>
      <c r="W37">
        <f>HYPERLINK("https://klasma.github.io/Logging_0360/klagomålsmail/A 2535-2022 FSC-klagomål mail.docx", "A 2535-2022")</f>
        <v/>
      </c>
      <c r="X37">
        <f>HYPERLINK("https://klasma.github.io/Logging_0360/tillsyn/A 2535-2022 tillsynsbegäran.docx", "A 2535-2022")</f>
        <v/>
      </c>
      <c r="Y37">
        <f>HYPERLINK("https://klasma.github.io/Logging_0360/tillsynsmail/A 2535-2022 tillsynsbegäran mail.docx", "A 2535-2022")</f>
        <v/>
      </c>
    </row>
    <row r="38" ht="15" customHeight="1">
      <c r="A38" t="inlineStr">
        <is>
          <t>A 33375-2022</t>
        </is>
      </c>
      <c r="B38" s="1" t="n">
        <v>44788</v>
      </c>
      <c r="C38" s="1" t="n">
        <v>45890</v>
      </c>
      <c r="D38" t="inlineStr">
        <is>
          <t>UPPSALA LÄN</t>
        </is>
      </c>
      <c r="E38" t="inlineStr">
        <is>
          <t>TIERP</t>
        </is>
      </c>
      <c r="G38" t="n">
        <v>4.7</v>
      </c>
      <c r="H38" t="n">
        <v>0</v>
      </c>
      <c r="I38" t="n">
        <v>0</v>
      </c>
      <c r="J38" t="n">
        <v>0</v>
      </c>
      <c r="K38" t="n">
        <v>0</v>
      </c>
      <c r="L38" t="n">
        <v>1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Fältgentiana</t>
        </is>
      </c>
      <c r="S38">
        <f>HYPERLINK("https://klasma.github.io/Logging_0360/artfynd/A 33375-2022 artfynd.xlsx", "A 33375-2022")</f>
        <v/>
      </c>
      <c r="T38">
        <f>HYPERLINK("https://klasma.github.io/Logging_0360/kartor/A 33375-2022 karta.png", "A 33375-2022")</f>
        <v/>
      </c>
      <c r="V38">
        <f>HYPERLINK("https://klasma.github.io/Logging_0360/klagomål/A 33375-2022 FSC-klagomål.docx", "A 33375-2022")</f>
        <v/>
      </c>
      <c r="W38">
        <f>HYPERLINK("https://klasma.github.io/Logging_0360/klagomålsmail/A 33375-2022 FSC-klagomål mail.docx", "A 33375-2022")</f>
        <v/>
      </c>
      <c r="X38">
        <f>HYPERLINK("https://klasma.github.io/Logging_0360/tillsyn/A 33375-2022 tillsynsbegäran.docx", "A 33375-2022")</f>
        <v/>
      </c>
      <c r="Y38">
        <f>HYPERLINK("https://klasma.github.io/Logging_0360/tillsynsmail/A 33375-2022 tillsynsbegäran mail.docx", "A 33375-2022")</f>
        <v/>
      </c>
    </row>
    <row r="39" ht="15" customHeight="1">
      <c r="A39" t="inlineStr">
        <is>
          <t>A 2298-2024</t>
        </is>
      </c>
      <c r="B39" s="1" t="n">
        <v>45310.44064814815</v>
      </c>
      <c r="C39" s="1" t="n">
        <v>45890</v>
      </c>
      <c r="D39" t="inlineStr">
        <is>
          <t>UPPSALA LÄN</t>
        </is>
      </c>
      <c r="E39" t="inlineStr">
        <is>
          <t>TIERP</t>
        </is>
      </c>
      <c r="G39" t="n">
        <v>0.7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Fyrflikig jordstjärna</t>
        </is>
      </c>
      <c r="S39">
        <f>HYPERLINK("https://klasma.github.io/Logging_0360/artfynd/A 2298-2024 artfynd.xlsx", "A 2298-2024")</f>
        <v/>
      </c>
      <c r="T39">
        <f>HYPERLINK("https://klasma.github.io/Logging_0360/kartor/A 2298-2024 karta.png", "A 2298-2024")</f>
        <v/>
      </c>
      <c r="V39">
        <f>HYPERLINK("https://klasma.github.io/Logging_0360/klagomål/A 2298-2024 FSC-klagomål.docx", "A 2298-2024")</f>
        <v/>
      </c>
      <c r="W39">
        <f>HYPERLINK("https://klasma.github.io/Logging_0360/klagomålsmail/A 2298-2024 FSC-klagomål mail.docx", "A 2298-2024")</f>
        <v/>
      </c>
      <c r="X39">
        <f>HYPERLINK("https://klasma.github.io/Logging_0360/tillsyn/A 2298-2024 tillsynsbegäran.docx", "A 2298-2024")</f>
        <v/>
      </c>
      <c r="Y39">
        <f>HYPERLINK("https://klasma.github.io/Logging_0360/tillsynsmail/A 2298-2024 tillsynsbegäran mail.docx", "A 2298-2024")</f>
        <v/>
      </c>
    </row>
    <row r="40" ht="15" customHeight="1">
      <c r="A40" t="inlineStr">
        <is>
          <t>A 2332-2024</t>
        </is>
      </c>
      <c r="B40" s="1" t="n">
        <v>45310</v>
      </c>
      <c r="C40" s="1" t="n">
        <v>45890</v>
      </c>
      <c r="D40" t="inlineStr">
        <is>
          <t>UPPSALA LÄN</t>
        </is>
      </c>
      <c r="E40" t="inlineStr">
        <is>
          <t>TIERP</t>
        </is>
      </c>
      <c r="G40" t="n">
        <v>3.7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Talltita</t>
        </is>
      </c>
      <c r="S40">
        <f>HYPERLINK("https://klasma.github.io/Logging_0360/artfynd/A 2332-2024 artfynd.xlsx", "A 2332-2024")</f>
        <v/>
      </c>
      <c r="T40">
        <f>HYPERLINK("https://klasma.github.io/Logging_0360/kartor/A 2332-2024 karta.png", "A 2332-2024")</f>
        <v/>
      </c>
      <c r="V40">
        <f>HYPERLINK("https://klasma.github.io/Logging_0360/klagomål/A 2332-2024 FSC-klagomål.docx", "A 2332-2024")</f>
        <v/>
      </c>
      <c r="W40">
        <f>HYPERLINK("https://klasma.github.io/Logging_0360/klagomålsmail/A 2332-2024 FSC-klagomål mail.docx", "A 2332-2024")</f>
        <v/>
      </c>
      <c r="X40">
        <f>HYPERLINK("https://klasma.github.io/Logging_0360/tillsyn/A 2332-2024 tillsynsbegäran.docx", "A 2332-2024")</f>
        <v/>
      </c>
      <c r="Y40">
        <f>HYPERLINK("https://klasma.github.io/Logging_0360/tillsynsmail/A 2332-2024 tillsynsbegäran mail.docx", "A 2332-2024")</f>
        <v/>
      </c>
      <c r="Z40">
        <f>HYPERLINK("https://klasma.github.io/Logging_0360/fåglar/A 2332-2024 prioriterade fågelarter.docx", "A 2332-2024")</f>
        <v/>
      </c>
    </row>
    <row r="41" ht="15" customHeight="1">
      <c r="A41" t="inlineStr">
        <is>
          <t>A 18619-2025</t>
        </is>
      </c>
      <c r="B41" s="1" t="n">
        <v>45763.51265046297</v>
      </c>
      <c r="C41" s="1" t="n">
        <v>45890</v>
      </c>
      <c r="D41" t="inlineStr">
        <is>
          <t>UPPSALA LÄN</t>
        </is>
      </c>
      <c r="E41" t="inlineStr">
        <is>
          <t>TIERP</t>
        </is>
      </c>
      <c r="G41" t="n">
        <v>4.6</v>
      </c>
      <c r="H41" t="n">
        <v>1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Nästrot</t>
        </is>
      </c>
      <c r="S41">
        <f>HYPERLINK("https://klasma.github.io/Logging_0360/artfynd/A 18619-2025 artfynd.xlsx", "A 18619-2025")</f>
        <v/>
      </c>
      <c r="T41">
        <f>HYPERLINK("https://klasma.github.io/Logging_0360/kartor/A 18619-2025 karta.png", "A 18619-2025")</f>
        <v/>
      </c>
      <c r="V41">
        <f>HYPERLINK("https://klasma.github.io/Logging_0360/klagomål/A 18619-2025 FSC-klagomål.docx", "A 18619-2025")</f>
        <v/>
      </c>
      <c r="W41">
        <f>HYPERLINK("https://klasma.github.io/Logging_0360/klagomålsmail/A 18619-2025 FSC-klagomål mail.docx", "A 18619-2025")</f>
        <v/>
      </c>
      <c r="X41">
        <f>HYPERLINK("https://klasma.github.io/Logging_0360/tillsyn/A 18619-2025 tillsynsbegäran.docx", "A 18619-2025")</f>
        <v/>
      </c>
      <c r="Y41">
        <f>HYPERLINK("https://klasma.github.io/Logging_0360/tillsynsmail/A 18619-2025 tillsynsbegäran mail.docx", "A 18619-2025")</f>
        <v/>
      </c>
    </row>
    <row r="42" ht="15" customHeight="1">
      <c r="A42" t="inlineStr">
        <is>
          <t>A 10848-2025</t>
        </is>
      </c>
      <c r="B42" s="1" t="n">
        <v>45722.58086805556</v>
      </c>
      <c r="C42" s="1" t="n">
        <v>45890</v>
      </c>
      <c r="D42" t="inlineStr">
        <is>
          <t>UPPSALA LÄN</t>
        </is>
      </c>
      <c r="E42" t="inlineStr">
        <is>
          <t>TIERP</t>
        </is>
      </c>
      <c r="F42" t="inlineStr">
        <is>
          <t>Bergvik skog öst AB</t>
        </is>
      </c>
      <c r="G42" t="n">
        <v>1.9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Talltita</t>
        </is>
      </c>
      <c r="S42">
        <f>HYPERLINK("https://klasma.github.io/Logging_0360/artfynd/A 10848-2025 artfynd.xlsx", "A 10848-2025")</f>
        <v/>
      </c>
      <c r="T42">
        <f>HYPERLINK("https://klasma.github.io/Logging_0360/kartor/A 10848-2025 karta.png", "A 10848-2025")</f>
        <v/>
      </c>
      <c r="V42">
        <f>HYPERLINK("https://klasma.github.io/Logging_0360/klagomål/A 10848-2025 FSC-klagomål.docx", "A 10848-2025")</f>
        <v/>
      </c>
      <c r="W42">
        <f>HYPERLINK("https://klasma.github.io/Logging_0360/klagomålsmail/A 10848-2025 FSC-klagomål mail.docx", "A 10848-2025")</f>
        <v/>
      </c>
      <c r="X42">
        <f>HYPERLINK("https://klasma.github.io/Logging_0360/tillsyn/A 10848-2025 tillsynsbegäran.docx", "A 10848-2025")</f>
        <v/>
      </c>
      <c r="Y42">
        <f>HYPERLINK("https://klasma.github.io/Logging_0360/tillsynsmail/A 10848-2025 tillsynsbegäran mail.docx", "A 10848-2025")</f>
        <v/>
      </c>
      <c r="Z42">
        <f>HYPERLINK("https://klasma.github.io/Logging_0360/fåglar/A 10848-2025 prioriterade fågelarter.docx", "A 10848-2025")</f>
        <v/>
      </c>
    </row>
    <row r="43" ht="15" customHeight="1">
      <c r="A43" t="inlineStr">
        <is>
          <t>A 22601-2025</t>
        </is>
      </c>
      <c r="B43" s="1" t="n">
        <v>45789</v>
      </c>
      <c r="C43" s="1" t="n">
        <v>45890</v>
      </c>
      <c r="D43" t="inlineStr">
        <is>
          <t>UPPSALA LÄN</t>
        </is>
      </c>
      <c r="E43" t="inlineStr">
        <is>
          <t>TIERP</t>
        </is>
      </c>
      <c r="F43" t="inlineStr">
        <is>
          <t>Bergvik skog väst AB</t>
        </is>
      </c>
      <c r="G43" t="n">
        <v>5.2</v>
      </c>
      <c r="H43" t="n">
        <v>0</v>
      </c>
      <c r="I43" t="n">
        <v>0</v>
      </c>
      <c r="J43" t="n">
        <v>0</v>
      </c>
      <c r="K43" t="n">
        <v>0</v>
      </c>
      <c r="L43" t="n">
        <v>1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Ask</t>
        </is>
      </c>
      <c r="S43">
        <f>HYPERLINK("https://klasma.github.io/Logging_0360/artfynd/A 22601-2025 artfynd.xlsx", "A 22601-2025")</f>
        <v/>
      </c>
      <c r="T43">
        <f>HYPERLINK("https://klasma.github.io/Logging_0360/kartor/A 22601-2025 karta.png", "A 22601-2025")</f>
        <v/>
      </c>
      <c r="V43">
        <f>HYPERLINK("https://klasma.github.io/Logging_0360/klagomål/A 22601-2025 FSC-klagomål.docx", "A 22601-2025")</f>
        <v/>
      </c>
      <c r="W43">
        <f>HYPERLINK("https://klasma.github.io/Logging_0360/klagomålsmail/A 22601-2025 FSC-klagomål mail.docx", "A 22601-2025")</f>
        <v/>
      </c>
      <c r="X43">
        <f>HYPERLINK("https://klasma.github.io/Logging_0360/tillsyn/A 22601-2025 tillsynsbegäran.docx", "A 22601-2025")</f>
        <v/>
      </c>
      <c r="Y43">
        <f>HYPERLINK("https://klasma.github.io/Logging_0360/tillsynsmail/A 22601-2025 tillsynsbegäran mail.docx", "A 22601-2025")</f>
        <v/>
      </c>
    </row>
    <row r="44" ht="15" customHeight="1">
      <c r="A44" t="inlineStr">
        <is>
          <t>A 22777-2025</t>
        </is>
      </c>
      <c r="B44" s="1" t="n">
        <v>45789.63715277778</v>
      </c>
      <c r="C44" s="1" t="n">
        <v>45890</v>
      </c>
      <c r="D44" t="inlineStr">
        <is>
          <t>UPPSALA LÄN</t>
        </is>
      </c>
      <c r="E44" t="inlineStr">
        <is>
          <t>TIERP</t>
        </is>
      </c>
      <c r="G44" t="n">
        <v>2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Persiljespindling</t>
        </is>
      </c>
      <c r="S44">
        <f>HYPERLINK("https://klasma.github.io/Logging_0360/artfynd/A 22777-2025 artfynd.xlsx", "A 22777-2025")</f>
        <v/>
      </c>
      <c r="T44">
        <f>HYPERLINK("https://klasma.github.io/Logging_0360/kartor/A 22777-2025 karta.png", "A 22777-2025")</f>
        <v/>
      </c>
      <c r="V44">
        <f>HYPERLINK("https://klasma.github.io/Logging_0360/klagomål/A 22777-2025 FSC-klagomål.docx", "A 22777-2025")</f>
        <v/>
      </c>
      <c r="W44">
        <f>HYPERLINK("https://klasma.github.io/Logging_0360/klagomålsmail/A 22777-2025 FSC-klagomål mail.docx", "A 22777-2025")</f>
        <v/>
      </c>
      <c r="X44">
        <f>HYPERLINK("https://klasma.github.io/Logging_0360/tillsyn/A 22777-2025 tillsynsbegäran.docx", "A 22777-2025")</f>
        <v/>
      </c>
      <c r="Y44">
        <f>HYPERLINK("https://klasma.github.io/Logging_0360/tillsynsmail/A 22777-2025 tillsynsbegäran mail.docx", "A 22777-2025")</f>
        <v/>
      </c>
    </row>
    <row r="45" ht="15" customHeight="1">
      <c r="A45" t="inlineStr">
        <is>
          <t>A 15680-2025</t>
        </is>
      </c>
      <c r="B45" s="1" t="n">
        <v>45748.4525</v>
      </c>
      <c r="C45" s="1" t="n">
        <v>45890</v>
      </c>
      <c r="D45" t="inlineStr">
        <is>
          <t>UPPSALA LÄN</t>
        </is>
      </c>
      <c r="E45" t="inlineStr">
        <is>
          <t>TIERP</t>
        </is>
      </c>
      <c r="F45" t="inlineStr">
        <is>
          <t>Kyrkan</t>
        </is>
      </c>
      <c r="G45" t="n">
        <v>13.5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Mattlummer</t>
        </is>
      </c>
      <c r="S45">
        <f>HYPERLINK("https://klasma.github.io/Logging_0360/artfynd/A 15680-2025 artfynd.xlsx", "A 15680-2025")</f>
        <v/>
      </c>
      <c r="T45">
        <f>HYPERLINK("https://klasma.github.io/Logging_0360/kartor/A 15680-2025 karta.png", "A 15680-2025")</f>
        <v/>
      </c>
      <c r="V45">
        <f>HYPERLINK("https://klasma.github.io/Logging_0360/klagomål/A 15680-2025 FSC-klagomål.docx", "A 15680-2025")</f>
        <v/>
      </c>
      <c r="W45">
        <f>HYPERLINK("https://klasma.github.io/Logging_0360/klagomålsmail/A 15680-2025 FSC-klagomål mail.docx", "A 15680-2025")</f>
        <v/>
      </c>
      <c r="X45">
        <f>HYPERLINK("https://klasma.github.io/Logging_0360/tillsyn/A 15680-2025 tillsynsbegäran.docx", "A 15680-2025")</f>
        <v/>
      </c>
      <c r="Y45">
        <f>HYPERLINK("https://klasma.github.io/Logging_0360/tillsynsmail/A 15680-2025 tillsynsbegäran mail.docx", "A 15680-2025")</f>
        <v/>
      </c>
    </row>
    <row r="46" ht="15" customHeight="1">
      <c r="A46" t="inlineStr">
        <is>
          <t>A 38821-2023</t>
        </is>
      </c>
      <c r="B46" s="1" t="n">
        <v>45163</v>
      </c>
      <c r="C46" s="1" t="n">
        <v>45890</v>
      </c>
      <c r="D46" t="inlineStr">
        <is>
          <t>UPPSALA LÄN</t>
        </is>
      </c>
      <c r="E46" t="inlineStr">
        <is>
          <t>TIERP</t>
        </is>
      </c>
      <c r="G46" t="n">
        <v>20.3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Revlummer</t>
        </is>
      </c>
      <c r="S46">
        <f>HYPERLINK("https://klasma.github.io/Logging_0360/artfynd/A 38821-2023 artfynd.xlsx", "A 38821-2023")</f>
        <v/>
      </c>
      <c r="T46">
        <f>HYPERLINK("https://klasma.github.io/Logging_0360/kartor/A 38821-2023 karta.png", "A 38821-2023")</f>
        <v/>
      </c>
      <c r="V46">
        <f>HYPERLINK("https://klasma.github.io/Logging_0360/klagomål/A 38821-2023 FSC-klagomål.docx", "A 38821-2023")</f>
        <v/>
      </c>
      <c r="W46">
        <f>HYPERLINK("https://klasma.github.io/Logging_0360/klagomålsmail/A 38821-2023 FSC-klagomål mail.docx", "A 38821-2023")</f>
        <v/>
      </c>
      <c r="X46">
        <f>HYPERLINK("https://klasma.github.io/Logging_0360/tillsyn/A 38821-2023 tillsynsbegäran.docx", "A 38821-2023")</f>
        <v/>
      </c>
      <c r="Y46">
        <f>HYPERLINK("https://klasma.github.io/Logging_0360/tillsynsmail/A 38821-2023 tillsynsbegäran mail.docx", "A 38821-2023")</f>
        <v/>
      </c>
    </row>
    <row r="47" ht="15" customHeight="1">
      <c r="A47" t="inlineStr">
        <is>
          <t>A 58107-2024</t>
        </is>
      </c>
      <c r="B47" s="1" t="n">
        <v>45632</v>
      </c>
      <c r="C47" s="1" t="n">
        <v>45890</v>
      </c>
      <c r="D47" t="inlineStr">
        <is>
          <t>UPPSALA LÄN</t>
        </is>
      </c>
      <c r="E47" t="inlineStr">
        <is>
          <t>TIERP</t>
        </is>
      </c>
      <c r="G47" t="n">
        <v>0.6</v>
      </c>
      <c r="H47" t="n">
        <v>1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Skogsknipprot</t>
        </is>
      </c>
      <c r="S47">
        <f>HYPERLINK("https://klasma.github.io/Logging_0360/artfynd/A 58107-2024 artfynd.xlsx", "A 58107-2024")</f>
        <v/>
      </c>
      <c r="T47">
        <f>HYPERLINK("https://klasma.github.io/Logging_0360/kartor/A 58107-2024 karta.png", "A 58107-2024")</f>
        <v/>
      </c>
      <c r="V47">
        <f>HYPERLINK("https://klasma.github.io/Logging_0360/klagomål/A 58107-2024 FSC-klagomål.docx", "A 58107-2024")</f>
        <v/>
      </c>
      <c r="W47">
        <f>HYPERLINK("https://klasma.github.io/Logging_0360/klagomålsmail/A 58107-2024 FSC-klagomål mail.docx", "A 58107-2024")</f>
        <v/>
      </c>
      <c r="X47">
        <f>HYPERLINK("https://klasma.github.io/Logging_0360/tillsyn/A 58107-2024 tillsynsbegäran.docx", "A 58107-2024")</f>
        <v/>
      </c>
      <c r="Y47">
        <f>HYPERLINK("https://klasma.github.io/Logging_0360/tillsynsmail/A 58107-2024 tillsynsbegäran mail.docx", "A 58107-2024")</f>
        <v/>
      </c>
    </row>
    <row r="48" ht="15" customHeight="1">
      <c r="A48" t="inlineStr">
        <is>
          <t>A 55331-2024</t>
        </is>
      </c>
      <c r="B48" s="1" t="n">
        <v>45621.68104166666</v>
      </c>
      <c r="C48" s="1" t="n">
        <v>45890</v>
      </c>
      <c r="D48" t="inlineStr">
        <is>
          <t>UPPSALA LÄN</t>
        </is>
      </c>
      <c r="E48" t="inlineStr">
        <is>
          <t>TIERP</t>
        </is>
      </c>
      <c r="F48" t="inlineStr">
        <is>
          <t>Bergvik skog väst AB</t>
        </is>
      </c>
      <c r="G48" t="n">
        <v>7.3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Talltita</t>
        </is>
      </c>
      <c r="S48">
        <f>HYPERLINK("https://klasma.github.io/Logging_0360/artfynd/A 55331-2024 artfynd.xlsx", "A 55331-2024")</f>
        <v/>
      </c>
      <c r="T48">
        <f>HYPERLINK("https://klasma.github.io/Logging_0360/kartor/A 55331-2024 karta.png", "A 55331-2024")</f>
        <v/>
      </c>
      <c r="V48">
        <f>HYPERLINK("https://klasma.github.io/Logging_0360/klagomål/A 55331-2024 FSC-klagomål.docx", "A 55331-2024")</f>
        <v/>
      </c>
      <c r="W48">
        <f>HYPERLINK("https://klasma.github.io/Logging_0360/klagomålsmail/A 55331-2024 FSC-klagomål mail.docx", "A 55331-2024")</f>
        <v/>
      </c>
      <c r="X48">
        <f>HYPERLINK("https://klasma.github.io/Logging_0360/tillsyn/A 55331-2024 tillsynsbegäran.docx", "A 55331-2024")</f>
        <v/>
      </c>
      <c r="Y48">
        <f>HYPERLINK("https://klasma.github.io/Logging_0360/tillsynsmail/A 55331-2024 tillsynsbegäran mail.docx", "A 55331-2024")</f>
        <v/>
      </c>
      <c r="Z48">
        <f>HYPERLINK("https://klasma.github.io/Logging_0360/fåglar/A 55331-2024 prioriterade fågelarter.docx", "A 55331-2024")</f>
        <v/>
      </c>
    </row>
    <row r="49" ht="15" customHeight="1">
      <c r="A49" t="inlineStr">
        <is>
          <t>A 3853-2025</t>
        </is>
      </c>
      <c r="B49" s="1" t="n">
        <v>45683</v>
      </c>
      <c r="C49" s="1" t="n">
        <v>45890</v>
      </c>
      <c r="D49" t="inlineStr">
        <is>
          <t>UPPSALA LÄN</t>
        </is>
      </c>
      <c r="E49" t="inlineStr">
        <is>
          <t>TIERP</t>
        </is>
      </c>
      <c r="G49" t="n">
        <v>1.4</v>
      </c>
      <c r="H49" t="n">
        <v>1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Tvåblad</t>
        </is>
      </c>
      <c r="S49">
        <f>HYPERLINK("https://klasma.github.io/Logging_0360/artfynd/A 3853-2025 artfynd.xlsx", "A 3853-2025")</f>
        <v/>
      </c>
      <c r="T49">
        <f>HYPERLINK("https://klasma.github.io/Logging_0360/kartor/A 3853-2025 karta.png", "A 3853-2025")</f>
        <v/>
      </c>
      <c r="V49">
        <f>HYPERLINK("https://klasma.github.io/Logging_0360/klagomål/A 3853-2025 FSC-klagomål.docx", "A 3853-2025")</f>
        <v/>
      </c>
      <c r="W49">
        <f>HYPERLINK("https://klasma.github.io/Logging_0360/klagomålsmail/A 3853-2025 FSC-klagomål mail.docx", "A 3853-2025")</f>
        <v/>
      </c>
      <c r="X49">
        <f>HYPERLINK("https://klasma.github.io/Logging_0360/tillsyn/A 3853-2025 tillsynsbegäran.docx", "A 3853-2025")</f>
        <v/>
      </c>
      <c r="Y49">
        <f>HYPERLINK("https://klasma.github.io/Logging_0360/tillsynsmail/A 3853-2025 tillsynsbegäran mail.docx", "A 3853-2025")</f>
        <v/>
      </c>
    </row>
    <row r="50" ht="15" customHeight="1">
      <c r="A50" t="inlineStr">
        <is>
          <t>A 38151-2023</t>
        </is>
      </c>
      <c r="B50" s="1" t="n">
        <v>45160</v>
      </c>
      <c r="C50" s="1" t="n">
        <v>45890</v>
      </c>
      <c r="D50" t="inlineStr">
        <is>
          <t>UPPSALA LÄN</t>
        </is>
      </c>
      <c r="E50" t="inlineStr">
        <is>
          <t>TIERP</t>
        </is>
      </c>
      <c r="G50" t="n">
        <v>1.4</v>
      </c>
      <c r="H50" t="n">
        <v>1</v>
      </c>
      <c r="I50" t="n">
        <v>0</v>
      </c>
      <c r="J50" t="n">
        <v>0</v>
      </c>
      <c r="K50" t="n">
        <v>0</v>
      </c>
      <c r="L50" t="n">
        <v>1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Tornseglare</t>
        </is>
      </c>
      <c r="S50">
        <f>HYPERLINK("https://klasma.github.io/Logging_0360/artfynd/A 38151-2023 artfynd.xlsx", "A 38151-2023")</f>
        <v/>
      </c>
      <c r="T50">
        <f>HYPERLINK("https://klasma.github.io/Logging_0360/kartor/A 38151-2023 karta.png", "A 38151-2023")</f>
        <v/>
      </c>
      <c r="V50">
        <f>HYPERLINK("https://klasma.github.io/Logging_0360/klagomål/A 38151-2023 FSC-klagomål.docx", "A 38151-2023")</f>
        <v/>
      </c>
      <c r="W50">
        <f>HYPERLINK("https://klasma.github.io/Logging_0360/klagomålsmail/A 38151-2023 FSC-klagomål mail.docx", "A 38151-2023")</f>
        <v/>
      </c>
      <c r="X50">
        <f>HYPERLINK("https://klasma.github.io/Logging_0360/tillsyn/A 38151-2023 tillsynsbegäran.docx", "A 38151-2023")</f>
        <v/>
      </c>
      <c r="Y50">
        <f>HYPERLINK("https://klasma.github.io/Logging_0360/tillsynsmail/A 38151-2023 tillsynsbegäran mail.docx", "A 38151-2023")</f>
        <v/>
      </c>
      <c r="Z50">
        <f>HYPERLINK("https://klasma.github.io/Logging_0360/fåglar/A 38151-2023 prioriterade fågelarter.docx", "A 38151-2023")</f>
        <v/>
      </c>
    </row>
    <row r="51" ht="15" customHeight="1">
      <c r="A51" t="inlineStr">
        <is>
          <t>A 10853-2025</t>
        </is>
      </c>
      <c r="B51" s="1" t="n">
        <v>45722.58457175926</v>
      </c>
      <c r="C51" s="1" t="n">
        <v>45890</v>
      </c>
      <c r="D51" t="inlineStr">
        <is>
          <t>UPPSALA LÄN</t>
        </is>
      </c>
      <c r="E51" t="inlineStr">
        <is>
          <t>TIERP</t>
        </is>
      </c>
      <c r="F51" t="inlineStr">
        <is>
          <t>Bergvik skog öst AB</t>
        </is>
      </c>
      <c r="G51" t="n">
        <v>2.2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Blåsippa</t>
        </is>
      </c>
      <c r="S51">
        <f>HYPERLINK("https://klasma.github.io/Logging_0360/artfynd/A 10853-2025 artfynd.xlsx", "A 10853-2025")</f>
        <v/>
      </c>
      <c r="T51">
        <f>HYPERLINK("https://klasma.github.io/Logging_0360/kartor/A 10853-2025 karta.png", "A 10853-2025")</f>
        <v/>
      </c>
      <c r="V51">
        <f>HYPERLINK("https://klasma.github.io/Logging_0360/klagomål/A 10853-2025 FSC-klagomål.docx", "A 10853-2025")</f>
        <v/>
      </c>
      <c r="W51">
        <f>HYPERLINK("https://klasma.github.io/Logging_0360/klagomålsmail/A 10853-2025 FSC-klagomål mail.docx", "A 10853-2025")</f>
        <v/>
      </c>
      <c r="X51">
        <f>HYPERLINK("https://klasma.github.io/Logging_0360/tillsyn/A 10853-2025 tillsynsbegäran.docx", "A 10853-2025")</f>
        <v/>
      </c>
      <c r="Y51">
        <f>HYPERLINK("https://klasma.github.io/Logging_0360/tillsynsmail/A 10853-2025 tillsynsbegäran mail.docx", "A 10853-2025")</f>
        <v/>
      </c>
    </row>
    <row r="52" ht="15" customHeight="1">
      <c r="A52" t="inlineStr">
        <is>
          <t>A 57398-2024</t>
        </is>
      </c>
      <c r="B52" s="1" t="n">
        <v>45629</v>
      </c>
      <c r="C52" s="1" t="n">
        <v>45890</v>
      </c>
      <c r="D52" t="inlineStr">
        <is>
          <t>UPPSALA LÄN</t>
        </is>
      </c>
      <c r="E52" t="inlineStr">
        <is>
          <t>TIERP</t>
        </is>
      </c>
      <c r="G52" t="n">
        <v>2.2</v>
      </c>
      <c r="H52" t="n">
        <v>0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Ängsskäreplattmal</t>
        </is>
      </c>
      <c r="S52">
        <f>HYPERLINK("https://klasma.github.io/Logging_0360/artfynd/A 57398-2024 artfynd.xlsx", "A 57398-2024")</f>
        <v/>
      </c>
      <c r="T52">
        <f>HYPERLINK("https://klasma.github.io/Logging_0360/kartor/A 57398-2024 karta.png", "A 57398-2024")</f>
        <v/>
      </c>
      <c r="V52">
        <f>HYPERLINK("https://klasma.github.io/Logging_0360/klagomål/A 57398-2024 FSC-klagomål.docx", "A 57398-2024")</f>
        <v/>
      </c>
      <c r="W52">
        <f>HYPERLINK("https://klasma.github.io/Logging_0360/klagomålsmail/A 57398-2024 FSC-klagomål mail.docx", "A 57398-2024")</f>
        <v/>
      </c>
      <c r="X52">
        <f>HYPERLINK("https://klasma.github.io/Logging_0360/tillsyn/A 57398-2024 tillsynsbegäran.docx", "A 57398-2024")</f>
        <v/>
      </c>
      <c r="Y52">
        <f>HYPERLINK("https://klasma.github.io/Logging_0360/tillsynsmail/A 57398-2024 tillsynsbegäran mail.docx", "A 57398-2024")</f>
        <v/>
      </c>
    </row>
    <row r="53" ht="15" customHeight="1">
      <c r="A53" t="inlineStr">
        <is>
          <t>A 14515-2025</t>
        </is>
      </c>
      <c r="B53" s="1" t="n">
        <v>45741.63833333334</v>
      </c>
      <c r="C53" s="1" t="n">
        <v>45890</v>
      </c>
      <c r="D53" t="inlineStr">
        <is>
          <t>UPPSALA LÄN</t>
        </is>
      </c>
      <c r="E53" t="inlineStr">
        <is>
          <t>TIERP</t>
        </is>
      </c>
      <c r="F53" t="inlineStr">
        <is>
          <t>Bergvik skog väst AB</t>
        </is>
      </c>
      <c r="G53" t="n">
        <v>7.7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Talltita</t>
        </is>
      </c>
      <c r="S53">
        <f>HYPERLINK("https://klasma.github.io/Logging_0360/artfynd/A 14515-2025 artfynd.xlsx", "A 14515-2025")</f>
        <v/>
      </c>
      <c r="T53">
        <f>HYPERLINK("https://klasma.github.io/Logging_0360/kartor/A 14515-2025 karta.png", "A 14515-2025")</f>
        <v/>
      </c>
      <c r="V53">
        <f>HYPERLINK("https://klasma.github.io/Logging_0360/klagomål/A 14515-2025 FSC-klagomål.docx", "A 14515-2025")</f>
        <v/>
      </c>
      <c r="W53">
        <f>HYPERLINK("https://klasma.github.io/Logging_0360/klagomålsmail/A 14515-2025 FSC-klagomål mail.docx", "A 14515-2025")</f>
        <v/>
      </c>
      <c r="X53">
        <f>HYPERLINK("https://klasma.github.io/Logging_0360/tillsyn/A 14515-2025 tillsynsbegäran.docx", "A 14515-2025")</f>
        <v/>
      </c>
      <c r="Y53">
        <f>HYPERLINK("https://klasma.github.io/Logging_0360/tillsynsmail/A 14515-2025 tillsynsbegäran mail.docx", "A 14515-2025")</f>
        <v/>
      </c>
      <c r="Z53">
        <f>HYPERLINK("https://klasma.github.io/Logging_0360/fåglar/A 14515-2025 prioriterade fågelarter.docx", "A 14515-2025")</f>
        <v/>
      </c>
    </row>
    <row r="54" ht="15" customHeight="1">
      <c r="A54" t="inlineStr">
        <is>
          <t>A 10844-2025</t>
        </is>
      </c>
      <c r="B54" s="1" t="n">
        <v>45722.57790509259</v>
      </c>
      <c r="C54" s="1" t="n">
        <v>45890</v>
      </c>
      <c r="D54" t="inlineStr">
        <is>
          <t>UPPSALA LÄN</t>
        </is>
      </c>
      <c r="E54" t="inlineStr">
        <is>
          <t>TIERP</t>
        </is>
      </c>
      <c r="F54" t="inlineStr">
        <is>
          <t>Bergvik skog öst AB</t>
        </is>
      </c>
      <c r="G54" t="n">
        <v>4.3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Blåsippa</t>
        </is>
      </c>
      <c r="S54">
        <f>HYPERLINK("https://klasma.github.io/Logging_0360/artfynd/A 10844-2025 artfynd.xlsx", "A 10844-2025")</f>
        <v/>
      </c>
      <c r="T54">
        <f>HYPERLINK("https://klasma.github.io/Logging_0360/kartor/A 10844-2025 karta.png", "A 10844-2025")</f>
        <v/>
      </c>
      <c r="V54">
        <f>HYPERLINK("https://klasma.github.io/Logging_0360/klagomål/A 10844-2025 FSC-klagomål.docx", "A 10844-2025")</f>
        <v/>
      </c>
      <c r="W54">
        <f>HYPERLINK("https://klasma.github.io/Logging_0360/klagomålsmail/A 10844-2025 FSC-klagomål mail.docx", "A 10844-2025")</f>
        <v/>
      </c>
      <c r="X54">
        <f>HYPERLINK("https://klasma.github.io/Logging_0360/tillsyn/A 10844-2025 tillsynsbegäran.docx", "A 10844-2025")</f>
        <v/>
      </c>
      <c r="Y54">
        <f>HYPERLINK("https://klasma.github.io/Logging_0360/tillsynsmail/A 10844-2025 tillsynsbegäran mail.docx", "A 10844-2025")</f>
        <v/>
      </c>
    </row>
    <row r="55" ht="15" customHeight="1">
      <c r="A55" t="inlineStr">
        <is>
          <t>A 5700-2024</t>
        </is>
      </c>
      <c r="B55" s="1" t="n">
        <v>45335</v>
      </c>
      <c r="C55" s="1" t="n">
        <v>45890</v>
      </c>
      <c r="D55" t="inlineStr">
        <is>
          <t>UPPSALA LÄN</t>
        </is>
      </c>
      <c r="E55" t="inlineStr">
        <is>
          <t>TIERP</t>
        </is>
      </c>
      <c r="G55" t="n">
        <v>1.6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Vårärt</t>
        </is>
      </c>
      <c r="S55">
        <f>HYPERLINK("https://klasma.github.io/Logging_0360/artfynd/A 5700-2024 artfynd.xlsx", "A 5700-2024")</f>
        <v/>
      </c>
      <c r="T55">
        <f>HYPERLINK("https://klasma.github.io/Logging_0360/kartor/A 5700-2024 karta.png", "A 5700-2024")</f>
        <v/>
      </c>
      <c r="V55">
        <f>HYPERLINK("https://klasma.github.io/Logging_0360/klagomål/A 5700-2024 FSC-klagomål.docx", "A 5700-2024")</f>
        <v/>
      </c>
      <c r="W55">
        <f>HYPERLINK("https://klasma.github.io/Logging_0360/klagomålsmail/A 5700-2024 FSC-klagomål mail.docx", "A 5700-2024")</f>
        <v/>
      </c>
      <c r="X55">
        <f>HYPERLINK("https://klasma.github.io/Logging_0360/tillsyn/A 5700-2024 tillsynsbegäran.docx", "A 5700-2024")</f>
        <v/>
      </c>
      <c r="Y55">
        <f>HYPERLINK("https://klasma.github.io/Logging_0360/tillsynsmail/A 5700-2024 tillsynsbegäran mail.docx", "A 5700-2024")</f>
        <v/>
      </c>
    </row>
    <row r="56" ht="15" customHeight="1">
      <c r="A56" t="inlineStr">
        <is>
          <t>A 5454-2022</t>
        </is>
      </c>
      <c r="B56" s="1" t="n">
        <v>44595</v>
      </c>
      <c r="C56" s="1" t="n">
        <v>45890</v>
      </c>
      <c r="D56" t="inlineStr">
        <is>
          <t>UPPSALA LÄN</t>
        </is>
      </c>
      <c r="E56" t="inlineStr">
        <is>
          <t>TIERP</t>
        </is>
      </c>
      <c r="G56" t="n">
        <v>2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Anisspindling</t>
        </is>
      </c>
      <c r="S56">
        <f>HYPERLINK("https://klasma.github.io/Logging_0360/artfynd/A 5454-2022 artfynd.xlsx", "A 5454-2022")</f>
        <v/>
      </c>
      <c r="T56">
        <f>HYPERLINK("https://klasma.github.io/Logging_0360/kartor/A 5454-2022 karta.png", "A 5454-2022")</f>
        <v/>
      </c>
      <c r="U56">
        <f>HYPERLINK("https://klasma.github.io/Logging_0360/knärot/A 5454-2022 karta knärot.png", "A 5454-2022")</f>
        <v/>
      </c>
      <c r="V56">
        <f>HYPERLINK("https://klasma.github.io/Logging_0360/klagomål/A 5454-2022 FSC-klagomål.docx", "A 5454-2022")</f>
        <v/>
      </c>
      <c r="W56">
        <f>HYPERLINK("https://klasma.github.io/Logging_0360/klagomålsmail/A 5454-2022 FSC-klagomål mail.docx", "A 5454-2022")</f>
        <v/>
      </c>
      <c r="X56">
        <f>HYPERLINK("https://klasma.github.io/Logging_0360/tillsyn/A 5454-2022 tillsynsbegäran.docx", "A 5454-2022")</f>
        <v/>
      </c>
      <c r="Y56">
        <f>HYPERLINK("https://klasma.github.io/Logging_0360/tillsynsmail/A 5454-2022 tillsynsbegäran mail.docx", "A 5454-2022")</f>
        <v/>
      </c>
    </row>
    <row r="57" ht="15" customHeight="1">
      <c r="A57" t="inlineStr">
        <is>
          <t>A 19661-2025</t>
        </is>
      </c>
      <c r="B57" s="1" t="n">
        <v>45770.68395833333</v>
      </c>
      <c r="C57" s="1" t="n">
        <v>45890</v>
      </c>
      <c r="D57" t="inlineStr">
        <is>
          <t>UPPSALA LÄN</t>
        </is>
      </c>
      <c r="E57" t="inlineStr">
        <is>
          <t>TIERP</t>
        </is>
      </c>
      <c r="F57" t="inlineStr">
        <is>
          <t>Bergvik skog öst AB</t>
        </is>
      </c>
      <c r="G57" t="n">
        <v>4.2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Tibast</t>
        </is>
      </c>
      <c r="S57">
        <f>HYPERLINK("https://klasma.github.io/Logging_0360/artfynd/A 19661-2025 artfynd.xlsx", "A 19661-2025")</f>
        <v/>
      </c>
      <c r="T57">
        <f>HYPERLINK("https://klasma.github.io/Logging_0360/kartor/A 19661-2025 karta.png", "A 19661-2025")</f>
        <v/>
      </c>
      <c r="V57">
        <f>HYPERLINK("https://klasma.github.io/Logging_0360/klagomål/A 19661-2025 FSC-klagomål.docx", "A 19661-2025")</f>
        <v/>
      </c>
      <c r="W57">
        <f>HYPERLINK("https://klasma.github.io/Logging_0360/klagomålsmail/A 19661-2025 FSC-klagomål mail.docx", "A 19661-2025")</f>
        <v/>
      </c>
      <c r="X57">
        <f>HYPERLINK("https://klasma.github.io/Logging_0360/tillsyn/A 19661-2025 tillsynsbegäran.docx", "A 19661-2025")</f>
        <v/>
      </c>
      <c r="Y57">
        <f>HYPERLINK("https://klasma.github.io/Logging_0360/tillsynsmail/A 19661-2025 tillsynsbegäran mail.docx", "A 19661-2025")</f>
        <v/>
      </c>
    </row>
    <row r="58" ht="15" customHeight="1">
      <c r="A58" t="inlineStr">
        <is>
          <t>A 16733-2025</t>
        </is>
      </c>
      <c r="B58" s="1" t="n">
        <v>45754</v>
      </c>
      <c r="C58" s="1" t="n">
        <v>45890</v>
      </c>
      <c r="D58" t="inlineStr">
        <is>
          <t>UPPSALA LÄN</t>
        </is>
      </c>
      <c r="E58" t="inlineStr">
        <is>
          <t>TIERP</t>
        </is>
      </c>
      <c r="F58" t="inlineStr">
        <is>
          <t>Bergvik skog väst AB</t>
        </is>
      </c>
      <c r="G58" t="n">
        <v>4.5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Rödbrun blekspik</t>
        </is>
      </c>
      <c r="S58">
        <f>HYPERLINK("https://klasma.github.io/Logging_0360/artfynd/A 16733-2025 artfynd.xlsx", "A 16733-2025")</f>
        <v/>
      </c>
      <c r="T58">
        <f>HYPERLINK("https://klasma.github.io/Logging_0360/kartor/A 16733-2025 karta.png", "A 16733-2025")</f>
        <v/>
      </c>
      <c r="V58">
        <f>HYPERLINK("https://klasma.github.io/Logging_0360/klagomål/A 16733-2025 FSC-klagomål.docx", "A 16733-2025")</f>
        <v/>
      </c>
      <c r="W58">
        <f>HYPERLINK("https://klasma.github.io/Logging_0360/klagomålsmail/A 16733-2025 FSC-klagomål mail.docx", "A 16733-2025")</f>
        <v/>
      </c>
      <c r="X58">
        <f>HYPERLINK("https://klasma.github.io/Logging_0360/tillsyn/A 16733-2025 tillsynsbegäran.docx", "A 16733-2025")</f>
        <v/>
      </c>
      <c r="Y58">
        <f>HYPERLINK("https://klasma.github.io/Logging_0360/tillsynsmail/A 16733-2025 tillsynsbegäran mail.docx", "A 16733-2025")</f>
        <v/>
      </c>
    </row>
    <row r="59" ht="15" customHeight="1">
      <c r="A59" t="inlineStr">
        <is>
          <t>A 43680-2022</t>
        </is>
      </c>
      <c r="B59" s="1" t="n">
        <v>44837</v>
      </c>
      <c r="C59" s="1" t="n">
        <v>45890</v>
      </c>
      <c r="D59" t="inlineStr">
        <is>
          <t>UPPSALA LÄN</t>
        </is>
      </c>
      <c r="E59" t="inlineStr">
        <is>
          <t>TIERP</t>
        </is>
      </c>
      <c r="G59" t="n">
        <v>4.2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18996-2021</t>
        </is>
      </c>
      <c r="B60" s="1" t="n">
        <v>44308</v>
      </c>
      <c r="C60" s="1" t="n">
        <v>45890</v>
      </c>
      <c r="D60" t="inlineStr">
        <is>
          <t>UPPSALA LÄN</t>
        </is>
      </c>
      <c r="E60" t="inlineStr">
        <is>
          <t>TIERP</t>
        </is>
      </c>
      <c r="F60" t="inlineStr">
        <is>
          <t>Bergvik skog väst AB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53489-2020</t>
        </is>
      </c>
      <c r="B61" s="1" t="n">
        <v>44123.77354166667</v>
      </c>
      <c r="C61" s="1" t="n">
        <v>45890</v>
      </c>
      <c r="D61" t="inlineStr">
        <is>
          <t>UPPSALA LÄN</t>
        </is>
      </c>
      <c r="E61" t="inlineStr">
        <is>
          <t>TIERP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11937-2021</t>
        </is>
      </c>
      <c r="B62" s="1" t="n">
        <v>44266</v>
      </c>
      <c r="C62" s="1" t="n">
        <v>45890</v>
      </c>
      <c r="D62" t="inlineStr">
        <is>
          <t>UPPSALA LÄN</t>
        </is>
      </c>
      <c r="E62" t="inlineStr">
        <is>
          <t>TIERP</t>
        </is>
      </c>
      <c r="F62" t="inlineStr">
        <is>
          <t>Bergvik skog öst AB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24431-2021</t>
        </is>
      </c>
      <c r="B63" s="1" t="n">
        <v>44337</v>
      </c>
      <c r="C63" s="1" t="n">
        <v>45890</v>
      </c>
      <c r="D63" t="inlineStr">
        <is>
          <t>UPPSALA LÄN</t>
        </is>
      </c>
      <c r="E63" t="inlineStr">
        <is>
          <t>TIERP</t>
        </is>
      </c>
      <c r="G63" t="n">
        <v>5.2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48880-2021</t>
        </is>
      </c>
      <c r="B64" s="1" t="n">
        <v>44452</v>
      </c>
      <c r="C64" s="1" t="n">
        <v>45890</v>
      </c>
      <c r="D64" t="inlineStr">
        <is>
          <t>UPPSALA LÄN</t>
        </is>
      </c>
      <c r="E64" t="inlineStr">
        <is>
          <t>TIERP</t>
        </is>
      </c>
      <c r="G64" t="n">
        <v>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52025-2021</t>
        </is>
      </c>
      <c r="B65" s="1" t="n">
        <v>44463</v>
      </c>
      <c r="C65" s="1" t="n">
        <v>45890</v>
      </c>
      <c r="D65" t="inlineStr">
        <is>
          <t>UPPSALA LÄN</t>
        </is>
      </c>
      <c r="E65" t="inlineStr">
        <is>
          <t>TIERP</t>
        </is>
      </c>
      <c r="F65" t="inlineStr">
        <is>
          <t>Bergvik skog öst AB</t>
        </is>
      </c>
      <c r="G65" t="n">
        <v>4.8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50677-2020</t>
        </is>
      </c>
      <c r="B66" s="1" t="n">
        <v>44111</v>
      </c>
      <c r="C66" s="1" t="n">
        <v>45890</v>
      </c>
      <c r="D66" t="inlineStr">
        <is>
          <t>UPPSALA LÄN</t>
        </is>
      </c>
      <c r="E66" t="inlineStr">
        <is>
          <t>TIERP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5204-2022</t>
        </is>
      </c>
      <c r="B67" s="1" t="n">
        <v>44594.46940972222</v>
      </c>
      <c r="C67" s="1" t="n">
        <v>45890</v>
      </c>
      <c r="D67" t="inlineStr">
        <is>
          <t>UPPSALA LÄN</t>
        </is>
      </c>
      <c r="E67" t="inlineStr">
        <is>
          <t>TIERP</t>
        </is>
      </c>
      <c r="F67" t="inlineStr">
        <is>
          <t>Bergvik skog öst AB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74473-2021</t>
        </is>
      </c>
      <c r="B68" s="1" t="n">
        <v>44560</v>
      </c>
      <c r="C68" s="1" t="n">
        <v>45890</v>
      </c>
      <c r="D68" t="inlineStr">
        <is>
          <t>UPPSALA LÄN</t>
        </is>
      </c>
      <c r="E68" t="inlineStr">
        <is>
          <t>TIERP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22592-2022</t>
        </is>
      </c>
      <c r="B69" s="1" t="n">
        <v>44713</v>
      </c>
      <c r="C69" s="1" t="n">
        <v>45890</v>
      </c>
      <c r="D69" t="inlineStr">
        <is>
          <t>UPPSALA LÄN</t>
        </is>
      </c>
      <c r="E69" t="inlineStr">
        <is>
          <t>TIERP</t>
        </is>
      </c>
      <c r="F69" t="inlineStr">
        <is>
          <t>Bergvik skog väst AB</t>
        </is>
      </c>
      <c r="G69" t="n">
        <v>9.800000000000001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65491-2021</t>
        </is>
      </c>
      <c r="B70" s="1" t="n">
        <v>44516.36832175926</v>
      </c>
      <c r="C70" s="1" t="n">
        <v>45890</v>
      </c>
      <c r="D70" t="inlineStr">
        <is>
          <t>UPPSALA LÄN</t>
        </is>
      </c>
      <c r="E70" t="inlineStr">
        <is>
          <t>TIERP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65255-2021</t>
        </is>
      </c>
      <c r="B71" s="1" t="n">
        <v>44515</v>
      </c>
      <c r="C71" s="1" t="n">
        <v>45890</v>
      </c>
      <c r="D71" t="inlineStr">
        <is>
          <t>UPPSALA LÄN</t>
        </is>
      </c>
      <c r="E71" t="inlineStr">
        <is>
          <t>TIERP</t>
        </is>
      </c>
      <c r="G71" t="n">
        <v>6.3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22810-2022</t>
        </is>
      </c>
      <c r="B72" s="1" t="n">
        <v>44715.41534722222</v>
      </c>
      <c r="C72" s="1" t="n">
        <v>45890</v>
      </c>
      <c r="D72" t="inlineStr">
        <is>
          <t>UPPSALA LÄN</t>
        </is>
      </c>
      <c r="E72" t="inlineStr">
        <is>
          <t>TIERP</t>
        </is>
      </c>
      <c r="F72" t="inlineStr">
        <is>
          <t>Övriga Aktiebolag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56740-2021</t>
        </is>
      </c>
      <c r="B73" s="1" t="n">
        <v>44481</v>
      </c>
      <c r="C73" s="1" t="n">
        <v>45890</v>
      </c>
      <c r="D73" t="inlineStr">
        <is>
          <t>UPPSALA LÄN</t>
        </is>
      </c>
      <c r="E73" t="inlineStr">
        <is>
          <t>TIERP</t>
        </is>
      </c>
      <c r="F73" t="inlineStr">
        <is>
          <t>Bergvik skog öst AB</t>
        </is>
      </c>
      <c r="G73" t="n">
        <v>0.4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59488-2021</t>
        </is>
      </c>
      <c r="B74" s="1" t="n">
        <v>44491.52520833333</v>
      </c>
      <c r="C74" s="1" t="n">
        <v>45890</v>
      </c>
      <c r="D74" t="inlineStr">
        <is>
          <t>UPPSALA LÄN</t>
        </is>
      </c>
      <c r="E74" t="inlineStr">
        <is>
          <t>TIERP</t>
        </is>
      </c>
      <c r="G74" t="n">
        <v>3.1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45225-2021</t>
        </is>
      </c>
      <c r="B75" s="1" t="n">
        <v>44439.57831018518</v>
      </c>
      <c r="C75" s="1" t="n">
        <v>45890</v>
      </c>
      <c r="D75" t="inlineStr">
        <is>
          <t>UPPSALA LÄN</t>
        </is>
      </c>
      <c r="E75" t="inlineStr">
        <is>
          <t>TIERP</t>
        </is>
      </c>
      <c r="F75" t="inlineStr">
        <is>
          <t>Bergvik skog öst AB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2534-2022</t>
        </is>
      </c>
      <c r="B76" s="1" t="n">
        <v>44579</v>
      </c>
      <c r="C76" s="1" t="n">
        <v>45890</v>
      </c>
      <c r="D76" t="inlineStr">
        <is>
          <t>UPPSALA LÄN</t>
        </is>
      </c>
      <c r="E76" t="inlineStr">
        <is>
          <t>TIERP</t>
        </is>
      </c>
      <c r="G76" t="n">
        <v>7.1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2559-2022</t>
        </is>
      </c>
      <c r="B77" s="1" t="n">
        <v>44580</v>
      </c>
      <c r="C77" s="1" t="n">
        <v>45890</v>
      </c>
      <c r="D77" t="inlineStr">
        <is>
          <t>UPPSALA LÄN</t>
        </is>
      </c>
      <c r="E77" t="inlineStr">
        <is>
          <t>TIERP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21775-2022</t>
        </is>
      </c>
      <c r="B78" s="1" t="n">
        <v>44708</v>
      </c>
      <c r="C78" s="1" t="n">
        <v>45890</v>
      </c>
      <c r="D78" t="inlineStr">
        <is>
          <t>UPPSALA LÄN</t>
        </is>
      </c>
      <c r="E78" t="inlineStr">
        <is>
          <t>TIERP</t>
        </is>
      </c>
      <c r="F78" t="inlineStr">
        <is>
          <t>Bergvik skog väst AB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21776-2022</t>
        </is>
      </c>
      <c r="B79" s="1" t="n">
        <v>44708</v>
      </c>
      <c r="C79" s="1" t="n">
        <v>45890</v>
      </c>
      <c r="D79" t="inlineStr">
        <is>
          <t>UPPSALA LÄN</t>
        </is>
      </c>
      <c r="E79" t="inlineStr">
        <is>
          <t>TIERP</t>
        </is>
      </c>
      <c r="F79" t="inlineStr">
        <is>
          <t>Bergvik skog väst AB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54952-2022</t>
        </is>
      </c>
      <c r="B80" s="1" t="n">
        <v>44886.47109953704</v>
      </c>
      <c r="C80" s="1" t="n">
        <v>45890</v>
      </c>
      <c r="D80" t="inlineStr">
        <is>
          <t>UPPSALA LÄN</t>
        </is>
      </c>
      <c r="E80" t="inlineStr">
        <is>
          <t>TIERP</t>
        </is>
      </c>
      <c r="G80" t="n">
        <v>6.2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15677-2021</t>
        </is>
      </c>
      <c r="B81" s="1" t="n">
        <v>44286</v>
      </c>
      <c r="C81" s="1" t="n">
        <v>45890</v>
      </c>
      <c r="D81" t="inlineStr">
        <is>
          <t>UPPSALA LÄN</t>
        </is>
      </c>
      <c r="E81" t="inlineStr">
        <is>
          <t>TIERP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40765-2022</t>
        </is>
      </c>
      <c r="B82" s="1" t="n">
        <v>44824.59918981481</v>
      </c>
      <c r="C82" s="1" t="n">
        <v>45890</v>
      </c>
      <c r="D82" t="inlineStr">
        <is>
          <t>UPPSALA LÄN</t>
        </is>
      </c>
      <c r="E82" t="inlineStr">
        <is>
          <t>TIERP</t>
        </is>
      </c>
      <c r="G82" t="n">
        <v>2.6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249-2021</t>
        </is>
      </c>
      <c r="B83" s="1" t="n">
        <v>44200</v>
      </c>
      <c r="C83" s="1" t="n">
        <v>45890</v>
      </c>
      <c r="D83" t="inlineStr">
        <is>
          <t>UPPSALA LÄN</t>
        </is>
      </c>
      <c r="E83" t="inlineStr">
        <is>
          <t>TIERP</t>
        </is>
      </c>
      <c r="G83" t="n">
        <v>3.1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65225-2020</t>
        </is>
      </c>
      <c r="B84" s="1" t="n">
        <v>44172.8127662037</v>
      </c>
      <c r="C84" s="1" t="n">
        <v>45890</v>
      </c>
      <c r="D84" t="inlineStr">
        <is>
          <t>UPPSALA LÄN</t>
        </is>
      </c>
      <c r="E84" t="inlineStr">
        <is>
          <t>TIERP</t>
        </is>
      </c>
      <c r="G84" t="n">
        <v>0.4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44690-2021</t>
        </is>
      </c>
      <c r="B85" s="1" t="n">
        <v>44438</v>
      </c>
      <c r="C85" s="1" t="n">
        <v>45890</v>
      </c>
      <c r="D85" t="inlineStr">
        <is>
          <t>UPPSALA LÄN</t>
        </is>
      </c>
      <c r="E85" t="inlineStr">
        <is>
          <t>TIERP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10783-2022</t>
        </is>
      </c>
      <c r="B86" s="1" t="n">
        <v>44627.47141203703</v>
      </c>
      <c r="C86" s="1" t="n">
        <v>45890</v>
      </c>
      <c r="D86" t="inlineStr">
        <is>
          <t>UPPSALA LÄN</t>
        </is>
      </c>
      <c r="E86" t="inlineStr">
        <is>
          <t>TIERP</t>
        </is>
      </c>
      <c r="G86" t="n">
        <v>0.2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2795-2022</t>
        </is>
      </c>
      <c r="B87" s="1" t="n">
        <v>44581</v>
      </c>
      <c r="C87" s="1" t="n">
        <v>45890</v>
      </c>
      <c r="D87" t="inlineStr">
        <is>
          <t>UPPSALA LÄN</t>
        </is>
      </c>
      <c r="E87" t="inlineStr">
        <is>
          <t>TIERP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48982-2021</t>
        </is>
      </c>
      <c r="B88" s="1" t="n">
        <v>44453</v>
      </c>
      <c r="C88" s="1" t="n">
        <v>45890</v>
      </c>
      <c r="D88" t="inlineStr">
        <is>
          <t>UPPSALA LÄN</t>
        </is>
      </c>
      <c r="E88" t="inlineStr">
        <is>
          <t>TIERP</t>
        </is>
      </c>
      <c r="G88" t="n">
        <v>2.1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40804-2021</t>
        </is>
      </c>
      <c r="B89" s="1" t="n">
        <v>44421</v>
      </c>
      <c r="C89" s="1" t="n">
        <v>45890</v>
      </c>
      <c r="D89" t="inlineStr">
        <is>
          <t>UPPSALA LÄN</t>
        </is>
      </c>
      <c r="E89" t="inlineStr">
        <is>
          <t>TIERP</t>
        </is>
      </c>
      <c r="F89" t="inlineStr">
        <is>
          <t>Kyrkan</t>
        </is>
      </c>
      <c r="G89" t="n">
        <v>0.4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62897-2021</t>
        </is>
      </c>
      <c r="B90" s="1" t="n">
        <v>44504.63344907408</v>
      </c>
      <c r="C90" s="1" t="n">
        <v>45890</v>
      </c>
      <c r="D90" t="inlineStr">
        <is>
          <t>UPPSALA LÄN</t>
        </is>
      </c>
      <c r="E90" t="inlineStr">
        <is>
          <t>TIERP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9288-2022</t>
        </is>
      </c>
      <c r="B91" s="1" t="n">
        <v>44616</v>
      </c>
      <c r="C91" s="1" t="n">
        <v>45890</v>
      </c>
      <c r="D91" t="inlineStr">
        <is>
          <t>UPPSALA LÄN</t>
        </is>
      </c>
      <c r="E91" t="inlineStr">
        <is>
          <t>TIERP</t>
        </is>
      </c>
      <c r="G91" t="n">
        <v>7.9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10777-2022</t>
        </is>
      </c>
      <c r="B92" s="1" t="n">
        <v>44627.46730324074</v>
      </c>
      <c r="C92" s="1" t="n">
        <v>45890</v>
      </c>
      <c r="D92" t="inlineStr">
        <is>
          <t>UPPSALA LÄN</t>
        </is>
      </c>
      <c r="E92" t="inlineStr">
        <is>
          <t>TIERP</t>
        </is>
      </c>
      <c r="G92" t="n">
        <v>0.3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36166-2021</t>
        </is>
      </c>
      <c r="B93" s="1" t="n">
        <v>44389</v>
      </c>
      <c r="C93" s="1" t="n">
        <v>45890</v>
      </c>
      <c r="D93" t="inlineStr">
        <is>
          <t>UPPSALA LÄN</t>
        </is>
      </c>
      <c r="E93" t="inlineStr">
        <is>
          <t>TIERP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33890-2022</t>
        </is>
      </c>
      <c r="B94" s="1" t="n">
        <v>44790.60746527778</v>
      </c>
      <c r="C94" s="1" t="n">
        <v>45890</v>
      </c>
      <c r="D94" t="inlineStr">
        <is>
          <t>UPPSALA LÄN</t>
        </is>
      </c>
      <c r="E94" t="inlineStr">
        <is>
          <t>TIERP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2157-2021</t>
        </is>
      </c>
      <c r="B95" s="1" t="n">
        <v>44211</v>
      </c>
      <c r="C95" s="1" t="n">
        <v>45890</v>
      </c>
      <c r="D95" t="inlineStr">
        <is>
          <t>UPPSALA LÄN</t>
        </is>
      </c>
      <c r="E95" t="inlineStr">
        <is>
          <t>TIERP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41971-2022</t>
        </is>
      </c>
      <c r="B96" s="1" t="n">
        <v>44827</v>
      </c>
      <c r="C96" s="1" t="n">
        <v>45890</v>
      </c>
      <c r="D96" t="inlineStr">
        <is>
          <t>UPPSALA LÄN</t>
        </is>
      </c>
      <c r="E96" t="inlineStr">
        <is>
          <t>TIERP</t>
        </is>
      </c>
      <c r="G96" t="n">
        <v>10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65814-2021</t>
        </is>
      </c>
      <c r="B97" s="1" t="n">
        <v>44517</v>
      </c>
      <c r="C97" s="1" t="n">
        <v>45890</v>
      </c>
      <c r="D97" t="inlineStr">
        <is>
          <t>UPPSALA LÄN</t>
        </is>
      </c>
      <c r="E97" t="inlineStr">
        <is>
          <t>TIERP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53751-2021</t>
        </is>
      </c>
      <c r="B98" s="1" t="n">
        <v>44469.55407407408</v>
      </c>
      <c r="C98" s="1" t="n">
        <v>45890</v>
      </c>
      <c r="D98" t="inlineStr">
        <is>
          <t>UPPSALA LÄN</t>
        </is>
      </c>
      <c r="E98" t="inlineStr">
        <is>
          <t>TIERP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48485-2021</t>
        </is>
      </c>
      <c r="B99" s="1" t="n">
        <v>44452</v>
      </c>
      <c r="C99" s="1" t="n">
        <v>45890</v>
      </c>
      <c r="D99" t="inlineStr">
        <is>
          <t>UPPSALA LÄN</t>
        </is>
      </c>
      <c r="E99" t="inlineStr">
        <is>
          <t>TIERP</t>
        </is>
      </c>
      <c r="F99" t="inlineStr">
        <is>
          <t>Bergvik skog väst AB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2810-2021</t>
        </is>
      </c>
      <c r="B100" s="1" t="n">
        <v>44215</v>
      </c>
      <c r="C100" s="1" t="n">
        <v>45890</v>
      </c>
      <c r="D100" t="inlineStr">
        <is>
          <t>UPPSALA LÄN</t>
        </is>
      </c>
      <c r="E100" t="inlineStr">
        <is>
          <t>TIERP</t>
        </is>
      </c>
      <c r="G100" t="n">
        <v>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29983-2022</t>
        </is>
      </c>
      <c r="B101" s="1" t="n">
        <v>44756.69783564815</v>
      </c>
      <c r="C101" s="1" t="n">
        <v>45890</v>
      </c>
      <c r="D101" t="inlineStr">
        <is>
          <t>UPPSALA LÄN</t>
        </is>
      </c>
      <c r="E101" t="inlineStr">
        <is>
          <t>TIERP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26111-2022</t>
        </is>
      </c>
      <c r="B102" s="1" t="n">
        <v>44734</v>
      </c>
      <c r="C102" s="1" t="n">
        <v>45890</v>
      </c>
      <c r="D102" t="inlineStr">
        <is>
          <t>UPPSALA LÄN</t>
        </is>
      </c>
      <c r="E102" t="inlineStr">
        <is>
          <t>TIERP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2814-2022</t>
        </is>
      </c>
      <c r="B103" s="1" t="n">
        <v>44581</v>
      </c>
      <c r="C103" s="1" t="n">
        <v>45890</v>
      </c>
      <c r="D103" t="inlineStr">
        <is>
          <t>UPPSALA LÄN</t>
        </is>
      </c>
      <c r="E103" t="inlineStr">
        <is>
          <t>TIERP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56498-2021</t>
        </is>
      </c>
      <c r="B104" s="1" t="n">
        <v>44480</v>
      </c>
      <c r="C104" s="1" t="n">
        <v>45890</v>
      </c>
      <c r="D104" t="inlineStr">
        <is>
          <t>UPPSALA LÄN</t>
        </is>
      </c>
      <c r="E104" t="inlineStr">
        <is>
          <t>TIERP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24276-2021</t>
        </is>
      </c>
      <c r="B105" s="1" t="n">
        <v>44337</v>
      </c>
      <c r="C105" s="1" t="n">
        <v>45890</v>
      </c>
      <c r="D105" t="inlineStr">
        <is>
          <t>UPPSALA LÄN</t>
        </is>
      </c>
      <c r="E105" t="inlineStr">
        <is>
          <t>TIERP</t>
        </is>
      </c>
      <c r="F105" t="inlineStr">
        <is>
          <t>Bergvik skog väst AB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59625-2020</t>
        </is>
      </c>
      <c r="B106" s="1" t="n">
        <v>44150</v>
      </c>
      <c r="C106" s="1" t="n">
        <v>45890</v>
      </c>
      <c r="D106" t="inlineStr">
        <is>
          <t>UPPSALA LÄN</t>
        </is>
      </c>
      <c r="E106" t="inlineStr">
        <is>
          <t>TIERP</t>
        </is>
      </c>
      <c r="G106" t="n">
        <v>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18097-2022</t>
        </is>
      </c>
      <c r="B107" s="1" t="n">
        <v>44684.47436342593</v>
      </c>
      <c r="C107" s="1" t="n">
        <v>45890</v>
      </c>
      <c r="D107" t="inlineStr">
        <is>
          <t>UPPSALA LÄN</t>
        </is>
      </c>
      <c r="E107" t="inlineStr">
        <is>
          <t>TIERP</t>
        </is>
      </c>
      <c r="F107" t="inlineStr">
        <is>
          <t>Bergvik skog öst AB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33286-2022</t>
        </is>
      </c>
      <c r="B108" s="1" t="n">
        <v>44788</v>
      </c>
      <c r="C108" s="1" t="n">
        <v>45890</v>
      </c>
      <c r="D108" t="inlineStr">
        <is>
          <t>UPPSALA LÄN</t>
        </is>
      </c>
      <c r="E108" t="inlineStr">
        <is>
          <t>TIERP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48575-2022</t>
        </is>
      </c>
      <c r="B109" s="1" t="n">
        <v>44859</v>
      </c>
      <c r="C109" s="1" t="n">
        <v>45890</v>
      </c>
      <c r="D109" t="inlineStr">
        <is>
          <t>UPPSALA LÄN</t>
        </is>
      </c>
      <c r="E109" t="inlineStr">
        <is>
          <t>TIERP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27860-2022</t>
        </is>
      </c>
      <c r="B110" s="1" t="n">
        <v>44743</v>
      </c>
      <c r="C110" s="1" t="n">
        <v>45890</v>
      </c>
      <c r="D110" t="inlineStr">
        <is>
          <t>UPPSALA LÄN</t>
        </is>
      </c>
      <c r="E110" t="inlineStr">
        <is>
          <t>TIERP</t>
        </is>
      </c>
      <c r="G110" t="n">
        <v>5.6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47414-2022</t>
        </is>
      </c>
      <c r="B111" s="1" t="n">
        <v>44853.5450462963</v>
      </c>
      <c r="C111" s="1" t="n">
        <v>45890</v>
      </c>
      <c r="D111" t="inlineStr">
        <is>
          <t>UPPSALA LÄN</t>
        </is>
      </c>
      <c r="E111" t="inlineStr">
        <is>
          <t>TIERP</t>
        </is>
      </c>
      <c r="G111" t="n">
        <v>5.3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56509-2021</t>
        </is>
      </c>
      <c r="B112" s="1" t="n">
        <v>44480.58166666667</v>
      </c>
      <c r="C112" s="1" t="n">
        <v>45890</v>
      </c>
      <c r="D112" t="inlineStr">
        <is>
          <t>UPPSALA LÄN</t>
        </is>
      </c>
      <c r="E112" t="inlineStr">
        <is>
          <t>TIERP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21047-2022</t>
        </is>
      </c>
      <c r="B113" s="1" t="n">
        <v>44704.44180555556</v>
      </c>
      <c r="C113" s="1" t="n">
        <v>45890</v>
      </c>
      <c r="D113" t="inlineStr">
        <is>
          <t>UPPSALA LÄN</t>
        </is>
      </c>
      <c r="E113" t="inlineStr">
        <is>
          <t>TIERP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60441-2021</t>
        </is>
      </c>
      <c r="B114" s="1" t="n">
        <v>44496</v>
      </c>
      <c r="C114" s="1" t="n">
        <v>45890</v>
      </c>
      <c r="D114" t="inlineStr">
        <is>
          <t>UPPSALA LÄN</t>
        </is>
      </c>
      <c r="E114" t="inlineStr">
        <is>
          <t>TIERP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49053-2021</t>
        </is>
      </c>
      <c r="B115" s="1" t="n">
        <v>44453</v>
      </c>
      <c r="C115" s="1" t="n">
        <v>45890</v>
      </c>
      <c r="D115" t="inlineStr">
        <is>
          <t>UPPSALA LÄN</t>
        </is>
      </c>
      <c r="E115" t="inlineStr">
        <is>
          <t>TIERP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16556-2022</t>
        </is>
      </c>
      <c r="B116" s="1" t="n">
        <v>44672.41855324074</v>
      </c>
      <c r="C116" s="1" t="n">
        <v>45890</v>
      </c>
      <c r="D116" t="inlineStr">
        <is>
          <t>UPPSALA LÄN</t>
        </is>
      </c>
      <c r="E116" t="inlineStr">
        <is>
          <t>TIERP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53666-2021</t>
        </is>
      </c>
      <c r="B117" s="1" t="n">
        <v>44469</v>
      </c>
      <c r="C117" s="1" t="n">
        <v>45890</v>
      </c>
      <c r="D117" t="inlineStr">
        <is>
          <t>UPPSALA LÄN</t>
        </is>
      </c>
      <c r="E117" t="inlineStr">
        <is>
          <t>TIERP</t>
        </is>
      </c>
      <c r="F117" t="inlineStr">
        <is>
          <t>Bergvik skog öst AB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20885-2022</t>
        </is>
      </c>
      <c r="B118" s="1" t="n">
        <v>44701.57021990741</v>
      </c>
      <c r="C118" s="1" t="n">
        <v>45890</v>
      </c>
      <c r="D118" t="inlineStr">
        <is>
          <t>UPPSALA LÄN</t>
        </is>
      </c>
      <c r="E118" t="inlineStr">
        <is>
          <t>TIERP</t>
        </is>
      </c>
      <c r="F118" t="inlineStr">
        <is>
          <t>Övriga Aktiebolag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29103-2022</t>
        </is>
      </c>
      <c r="B119" s="1" t="n">
        <v>44750</v>
      </c>
      <c r="C119" s="1" t="n">
        <v>45890</v>
      </c>
      <c r="D119" t="inlineStr">
        <is>
          <t>UPPSALA LÄN</t>
        </is>
      </c>
      <c r="E119" t="inlineStr">
        <is>
          <t>TIERP</t>
        </is>
      </c>
      <c r="F119" t="inlineStr">
        <is>
          <t>Bergvik skog väst AB</t>
        </is>
      </c>
      <c r="G119" t="n">
        <v>3.1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13650-2022</t>
        </is>
      </c>
      <c r="B120" s="1" t="n">
        <v>44648.65048611111</v>
      </c>
      <c r="C120" s="1" t="n">
        <v>45890</v>
      </c>
      <c r="D120" t="inlineStr">
        <is>
          <t>UPPSALA LÄN</t>
        </is>
      </c>
      <c r="E120" t="inlineStr">
        <is>
          <t>TIERP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13656-2022</t>
        </is>
      </c>
      <c r="B121" s="1" t="n">
        <v>44648.65753472222</v>
      </c>
      <c r="C121" s="1" t="n">
        <v>45890</v>
      </c>
      <c r="D121" t="inlineStr">
        <is>
          <t>UPPSALA LÄN</t>
        </is>
      </c>
      <c r="E121" t="inlineStr">
        <is>
          <t>TIERP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1227-2021</t>
        </is>
      </c>
      <c r="B122" s="1" t="n">
        <v>44208</v>
      </c>
      <c r="C122" s="1" t="n">
        <v>45890</v>
      </c>
      <c r="D122" t="inlineStr">
        <is>
          <t>UPPSALA LÄN</t>
        </is>
      </c>
      <c r="E122" t="inlineStr">
        <is>
          <t>TIERP</t>
        </is>
      </c>
      <c r="G122" t="n">
        <v>7.3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72975-2021</t>
        </is>
      </c>
      <c r="B123" s="1" t="n">
        <v>44548</v>
      </c>
      <c r="C123" s="1" t="n">
        <v>45890</v>
      </c>
      <c r="D123" t="inlineStr">
        <is>
          <t>UPPSALA LÄN</t>
        </is>
      </c>
      <c r="E123" t="inlineStr">
        <is>
          <t>TIERP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48455-2021</t>
        </is>
      </c>
      <c r="B124" s="1" t="n">
        <v>44452</v>
      </c>
      <c r="C124" s="1" t="n">
        <v>45890</v>
      </c>
      <c r="D124" t="inlineStr">
        <is>
          <t>UPPSALA LÄN</t>
        </is>
      </c>
      <c r="E124" t="inlineStr">
        <is>
          <t>TIERP</t>
        </is>
      </c>
      <c r="G124" t="n">
        <v>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27533-2022</t>
        </is>
      </c>
      <c r="B125" s="1" t="n">
        <v>44742</v>
      </c>
      <c r="C125" s="1" t="n">
        <v>45890</v>
      </c>
      <c r="D125" t="inlineStr">
        <is>
          <t>UPPSALA LÄN</t>
        </is>
      </c>
      <c r="E125" t="inlineStr">
        <is>
          <t>TIERP</t>
        </is>
      </c>
      <c r="F125" t="inlineStr">
        <is>
          <t>Bergvik skog öst AB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11496-2022</t>
        </is>
      </c>
      <c r="B126" s="1" t="n">
        <v>44631.29655092592</v>
      </c>
      <c r="C126" s="1" t="n">
        <v>45890</v>
      </c>
      <c r="D126" t="inlineStr">
        <is>
          <t>UPPSALA LÄN</t>
        </is>
      </c>
      <c r="E126" t="inlineStr">
        <is>
          <t>TIERP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2559-2021</t>
        </is>
      </c>
      <c r="B127" s="1" t="n">
        <v>44214</v>
      </c>
      <c r="C127" s="1" t="n">
        <v>45890</v>
      </c>
      <c r="D127" t="inlineStr">
        <is>
          <t>UPPSALA LÄN</t>
        </is>
      </c>
      <c r="E127" t="inlineStr">
        <is>
          <t>TIERP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59865-2020</t>
        </is>
      </c>
      <c r="B128" s="1" t="n">
        <v>44151</v>
      </c>
      <c r="C128" s="1" t="n">
        <v>45890</v>
      </c>
      <c r="D128" t="inlineStr">
        <is>
          <t>UPPSALA LÄN</t>
        </is>
      </c>
      <c r="E128" t="inlineStr">
        <is>
          <t>TIERP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59378-2021</t>
        </is>
      </c>
      <c r="B129" s="1" t="n">
        <v>44491</v>
      </c>
      <c r="C129" s="1" t="n">
        <v>45890</v>
      </c>
      <c r="D129" t="inlineStr">
        <is>
          <t>UPPSALA LÄN</t>
        </is>
      </c>
      <c r="E129" t="inlineStr">
        <is>
          <t>TIERP</t>
        </is>
      </c>
      <c r="F129" t="inlineStr">
        <is>
          <t>Bergvik skog öst AB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53766-2021</t>
        </is>
      </c>
      <c r="B130" s="1" t="n">
        <v>44469.56458333333</v>
      </c>
      <c r="C130" s="1" t="n">
        <v>45890</v>
      </c>
      <c r="D130" t="inlineStr">
        <is>
          <t>UPPSALA LÄN</t>
        </is>
      </c>
      <c r="E130" t="inlineStr">
        <is>
          <t>TIERP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29737-2022</t>
        </is>
      </c>
      <c r="B131" s="1" t="n">
        <v>44755</v>
      </c>
      <c r="C131" s="1" t="n">
        <v>45890</v>
      </c>
      <c r="D131" t="inlineStr">
        <is>
          <t>UPPSALA LÄN</t>
        </is>
      </c>
      <c r="E131" t="inlineStr">
        <is>
          <t>TIERP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24869-2022</t>
        </is>
      </c>
      <c r="B132" s="1" t="n">
        <v>44728</v>
      </c>
      <c r="C132" s="1" t="n">
        <v>45890</v>
      </c>
      <c r="D132" t="inlineStr">
        <is>
          <t>UPPSALA LÄN</t>
        </is>
      </c>
      <c r="E132" t="inlineStr">
        <is>
          <t>TIERP</t>
        </is>
      </c>
      <c r="G132" t="n">
        <v>5.6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12194-2022</t>
        </is>
      </c>
      <c r="B133" s="1" t="n">
        <v>44636.93181712963</v>
      </c>
      <c r="C133" s="1" t="n">
        <v>45890</v>
      </c>
      <c r="D133" t="inlineStr">
        <is>
          <t>UPPSALA LÄN</t>
        </is>
      </c>
      <c r="E133" t="inlineStr">
        <is>
          <t>TIERP</t>
        </is>
      </c>
      <c r="G133" t="n">
        <v>0.4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57028-2021</t>
        </is>
      </c>
      <c r="B134" s="1" t="n">
        <v>44482</v>
      </c>
      <c r="C134" s="1" t="n">
        <v>45890</v>
      </c>
      <c r="D134" t="inlineStr">
        <is>
          <t>UPPSALA LÄN</t>
        </is>
      </c>
      <c r="E134" t="inlineStr">
        <is>
          <t>TIERP</t>
        </is>
      </c>
      <c r="F134" t="inlineStr">
        <is>
          <t>Bergvik skog väst AB</t>
        </is>
      </c>
      <c r="G134" t="n">
        <v>3.5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63504-2020</t>
        </is>
      </c>
      <c r="B135" s="1" t="n">
        <v>44165</v>
      </c>
      <c r="C135" s="1" t="n">
        <v>45890</v>
      </c>
      <c r="D135" t="inlineStr">
        <is>
          <t>UPPSALA LÄN</t>
        </is>
      </c>
      <c r="E135" t="inlineStr">
        <is>
          <t>TIERP</t>
        </is>
      </c>
      <c r="F135" t="inlineStr">
        <is>
          <t>Bergvik skog väst AB</t>
        </is>
      </c>
      <c r="G135" t="n">
        <v>50.3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13456-2025</t>
        </is>
      </c>
      <c r="B136" s="1" t="n">
        <v>45736.38332175926</v>
      </c>
      <c r="C136" s="1" t="n">
        <v>45890</v>
      </c>
      <c r="D136" t="inlineStr">
        <is>
          <t>UPPSALA LÄN</t>
        </is>
      </c>
      <c r="E136" t="inlineStr">
        <is>
          <t>TIERP</t>
        </is>
      </c>
      <c r="G136" t="n">
        <v>5.7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18039-2024</t>
        </is>
      </c>
      <c r="B137" s="1" t="n">
        <v>45420.36299768519</v>
      </c>
      <c r="C137" s="1" t="n">
        <v>45890</v>
      </c>
      <c r="D137" t="inlineStr">
        <is>
          <t>UPPSALA LÄN</t>
        </is>
      </c>
      <c r="E137" t="inlineStr">
        <is>
          <t>TIERP</t>
        </is>
      </c>
      <c r="G137" t="n">
        <v>2.8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73317-2021</t>
        </is>
      </c>
      <c r="B138" s="1" t="n">
        <v>44551</v>
      </c>
      <c r="C138" s="1" t="n">
        <v>45890</v>
      </c>
      <c r="D138" t="inlineStr">
        <is>
          <t>UPPSALA LÄN</t>
        </is>
      </c>
      <c r="E138" t="inlineStr">
        <is>
          <t>TIERP</t>
        </is>
      </c>
      <c r="G138" t="n">
        <v>2.7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51606-2022</t>
        </is>
      </c>
      <c r="B139" s="1" t="n">
        <v>44871.72850694445</v>
      </c>
      <c r="C139" s="1" t="n">
        <v>45890</v>
      </c>
      <c r="D139" t="inlineStr">
        <is>
          <t>UPPSALA LÄN</t>
        </is>
      </c>
      <c r="E139" t="inlineStr">
        <is>
          <t>TIERP</t>
        </is>
      </c>
      <c r="G139" t="n">
        <v>1.9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61280-2024</t>
        </is>
      </c>
      <c r="B140" s="1" t="n">
        <v>45645</v>
      </c>
      <c r="C140" s="1" t="n">
        <v>45890</v>
      </c>
      <c r="D140" t="inlineStr">
        <is>
          <t>UPPSALA LÄN</t>
        </is>
      </c>
      <c r="E140" t="inlineStr">
        <is>
          <t>TIERP</t>
        </is>
      </c>
      <c r="G140" t="n">
        <v>5.4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6288-2023</t>
        </is>
      </c>
      <c r="B141" s="1" t="n">
        <v>44965.42444444444</v>
      </c>
      <c r="C141" s="1" t="n">
        <v>45890</v>
      </c>
      <c r="D141" t="inlineStr">
        <is>
          <t>UPPSALA LÄN</t>
        </is>
      </c>
      <c r="E141" t="inlineStr">
        <is>
          <t>TIERP</t>
        </is>
      </c>
      <c r="F141" t="inlineStr">
        <is>
          <t>Bergvik skog öst AB</t>
        </is>
      </c>
      <c r="G141" t="n">
        <v>5.4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20552-2025</t>
        </is>
      </c>
      <c r="B142" s="1" t="n">
        <v>45775.63877314814</v>
      </c>
      <c r="C142" s="1" t="n">
        <v>45890</v>
      </c>
      <c r="D142" t="inlineStr">
        <is>
          <t>UPPSALA LÄN</t>
        </is>
      </c>
      <c r="E142" t="inlineStr">
        <is>
          <t>TIERP</t>
        </is>
      </c>
      <c r="F142" t="inlineStr">
        <is>
          <t>Bergvik skog öst AB</t>
        </is>
      </c>
      <c r="G142" t="n">
        <v>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48486-2022</t>
        </is>
      </c>
      <c r="B143" s="1" t="n">
        <v>44858.783125</v>
      </c>
      <c r="C143" s="1" t="n">
        <v>45890</v>
      </c>
      <c r="D143" t="inlineStr">
        <is>
          <t>UPPSALA LÄN</t>
        </is>
      </c>
      <c r="E143" t="inlineStr">
        <is>
          <t>TIERP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28881-2022</t>
        </is>
      </c>
      <c r="B144" s="1" t="n">
        <v>44749.52354166667</v>
      </c>
      <c r="C144" s="1" t="n">
        <v>45890</v>
      </c>
      <c r="D144" t="inlineStr">
        <is>
          <t>UPPSALA LÄN</t>
        </is>
      </c>
      <c r="E144" t="inlineStr">
        <is>
          <t>TIERP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39802-2022</t>
        </is>
      </c>
      <c r="B145" s="1" t="n">
        <v>44819.52074074074</v>
      </c>
      <c r="C145" s="1" t="n">
        <v>45890</v>
      </c>
      <c r="D145" t="inlineStr">
        <is>
          <t>UPPSALA LÄN</t>
        </is>
      </c>
      <c r="E145" t="inlineStr">
        <is>
          <t>TIERP</t>
        </is>
      </c>
      <c r="G145" t="n">
        <v>5.8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2901-2023</t>
        </is>
      </c>
      <c r="B146" s="1" t="n">
        <v>44945</v>
      </c>
      <c r="C146" s="1" t="n">
        <v>45890</v>
      </c>
      <c r="D146" t="inlineStr">
        <is>
          <t>UPPSALA LÄN</t>
        </is>
      </c>
      <c r="E146" t="inlineStr">
        <is>
          <t>TIERP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10780-2022</t>
        </is>
      </c>
      <c r="B147" s="1" t="n">
        <v>44627.4699537037</v>
      </c>
      <c r="C147" s="1" t="n">
        <v>45890</v>
      </c>
      <c r="D147" t="inlineStr">
        <is>
          <t>UPPSALA LÄN</t>
        </is>
      </c>
      <c r="E147" t="inlineStr">
        <is>
          <t>TIERP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10785-2022</t>
        </is>
      </c>
      <c r="B148" s="1" t="n">
        <v>44627.4737962963</v>
      </c>
      <c r="C148" s="1" t="n">
        <v>45890</v>
      </c>
      <c r="D148" t="inlineStr">
        <is>
          <t>UPPSALA LÄN</t>
        </is>
      </c>
      <c r="E148" t="inlineStr">
        <is>
          <t>TIERP</t>
        </is>
      </c>
      <c r="G148" t="n">
        <v>0.4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39838-2021</t>
        </is>
      </c>
      <c r="B149" s="1" t="n">
        <v>44417</v>
      </c>
      <c r="C149" s="1" t="n">
        <v>45890</v>
      </c>
      <c r="D149" t="inlineStr">
        <is>
          <t>UPPSALA LÄN</t>
        </is>
      </c>
      <c r="E149" t="inlineStr">
        <is>
          <t>TIERP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44430-2023</t>
        </is>
      </c>
      <c r="B150" s="1" t="n">
        <v>45189</v>
      </c>
      <c r="C150" s="1" t="n">
        <v>45890</v>
      </c>
      <c r="D150" t="inlineStr">
        <is>
          <t>UPPSALA LÄN</t>
        </is>
      </c>
      <c r="E150" t="inlineStr">
        <is>
          <t>TIERP</t>
        </is>
      </c>
      <c r="F150" t="inlineStr">
        <is>
          <t>Bergvik skog öst AB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49933-2022</t>
        </is>
      </c>
      <c r="B151" s="1" t="n">
        <v>44865</v>
      </c>
      <c r="C151" s="1" t="n">
        <v>45890</v>
      </c>
      <c r="D151" t="inlineStr">
        <is>
          <t>UPPSALA LÄN</t>
        </is>
      </c>
      <c r="E151" t="inlineStr">
        <is>
          <t>TIERP</t>
        </is>
      </c>
      <c r="G151" t="n">
        <v>11.3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58900-2023</t>
        </is>
      </c>
      <c r="B152" s="1" t="n">
        <v>45252</v>
      </c>
      <c r="C152" s="1" t="n">
        <v>45890</v>
      </c>
      <c r="D152" t="inlineStr">
        <is>
          <t>UPPSALA LÄN</t>
        </is>
      </c>
      <c r="E152" t="inlineStr">
        <is>
          <t>TIERP</t>
        </is>
      </c>
      <c r="G152" t="n">
        <v>25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58947-2023</t>
        </is>
      </c>
      <c r="B153" s="1" t="n">
        <v>45252.57987268519</v>
      </c>
      <c r="C153" s="1" t="n">
        <v>45890</v>
      </c>
      <c r="D153" t="inlineStr">
        <is>
          <t>UPPSALA LÄN</t>
        </is>
      </c>
      <c r="E153" t="inlineStr">
        <is>
          <t>TIERP</t>
        </is>
      </c>
      <c r="G153" t="n">
        <v>3.1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71774-2021</t>
        </is>
      </c>
      <c r="B154" s="1" t="n">
        <v>44543.52140046296</v>
      </c>
      <c r="C154" s="1" t="n">
        <v>45890</v>
      </c>
      <c r="D154" t="inlineStr">
        <is>
          <t>UPPSALA LÄN</t>
        </is>
      </c>
      <c r="E154" t="inlineStr">
        <is>
          <t>TIERP</t>
        </is>
      </c>
      <c r="G154" t="n">
        <v>12.9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18544-2025</t>
        </is>
      </c>
      <c r="B155" s="1" t="n">
        <v>45763.42081018518</v>
      </c>
      <c r="C155" s="1" t="n">
        <v>45890</v>
      </c>
      <c r="D155" t="inlineStr">
        <is>
          <t>UPPSALA LÄN</t>
        </is>
      </c>
      <c r="E155" t="inlineStr">
        <is>
          <t>TIERP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55780-2024</t>
        </is>
      </c>
      <c r="B156" s="1" t="n">
        <v>45623.41342592592</v>
      </c>
      <c r="C156" s="1" t="n">
        <v>45890</v>
      </c>
      <c r="D156" t="inlineStr">
        <is>
          <t>UPPSALA LÄN</t>
        </is>
      </c>
      <c r="E156" t="inlineStr">
        <is>
          <t>TIERP</t>
        </is>
      </c>
      <c r="G156" t="n">
        <v>5.2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55816-2024</t>
        </is>
      </c>
      <c r="B157" s="1" t="n">
        <v>45623.47248842593</v>
      </c>
      <c r="C157" s="1" t="n">
        <v>45890</v>
      </c>
      <c r="D157" t="inlineStr">
        <is>
          <t>UPPSALA LÄN</t>
        </is>
      </c>
      <c r="E157" t="inlineStr">
        <is>
          <t>TIERP</t>
        </is>
      </c>
      <c r="G157" t="n">
        <v>5.2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25363-2022</t>
        </is>
      </c>
      <c r="B158" s="1" t="n">
        <v>44732.35172453704</v>
      </c>
      <c r="C158" s="1" t="n">
        <v>45890</v>
      </c>
      <c r="D158" t="inlineStr">
        <is>
          <t>UPPSALA LÄN</t>
        </is>
      </c>
      <c r="E158" t="inlineStr">
        <is>
          <t>TIERP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59350-2021</t>
        </is>
      </c>
      <c r="B159" s="1" t="n">
        <v>44491.3346875</v>
      </c>
      <c r="C159" s="1" t="n">
        <v>45890</v>
      </c>
      <c r="D159" t="inlineStr">
        <is>
          <t>UPPSALA LÄN</t>
        </is>
      </c>
      <c r="E159" t="inlineStr">
        <is>
          <t>TIERP</t>
        </is>
      </c>
      <c r="F159" t="inlineStr">
        <is>
          <t>Bergvik skog öst AB</t>
        </is>
      </c>
      <c r="G159" t="n">
        <v>2.5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30125-2024</t>
        </is>
      </c>
      <c r="B160" s="1" t="n">
        <v>45489</v>
      </c>
      <c r="C160" s="1" t="n">
        <v>45890</v>
      </c>
      <c r="D160" t="inlineStr">
        <is>
          <t>UPPSALA LÄN</t>
        </is>
      </c>
      <c r="E160" t="inlineStr">
        <is>
          <t>TIERP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25408-2023</t>
        </is>
      </c>
      <c r="B161" s="1" t="n">
        <v>45080</v>
      </c>
      <c r="C161" s="1" t="n">
        <v>45890</v>
      </c>
      <c r="D161" t="inlineStr">
        <is>
          <t>UPPSALA LÄN</t>
        </is>
      </c>
      <c r="E161" t="inlineStr">
        <is>
          <t>TIERP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408-2024</t>
        </is>
      </c>
      <c r="B162" s="1" t="n">
        <v>45296</v>
      </c>
      <c r="C162" s="1" t="n">
        <v>45890</v>
      </c>
      <c r="D162" t="inlineStr">
        <is>
          <t>UPPSALA LÄN</t>
        </is>
      </c>
      <c r="E162" t="inlineStr">
        <is>
          <t>TIERP</t>
        </is>
      </c>
      <c r="G162" t="n">
        <v>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13354-2024</t>
        </is>
      </c>
      <c r="B163" s="1" t="n">
        <v>45387.33554398148</v>
      </c>
      <c r="C163" s="1" t="n">
        <v>45890</v>
      </c>
      <c r="D163" t="inlineStr">
        <is>
          <t>UPPSALA LÄN</t>
        </is>
      </c>
      <c r="E163" t="inlineStr">
        <is>
          <t>TIERP</t>
        </is>
      </c>
      <c r="G163" t="n">
        <v>3.9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47968-2023</t>
        </is>
      </c>
      <c r="B164" s="1" t="n">
        <v>45204</v>
      </c>
      <c r="C164" s="1" t="n">
        <v>45890</v>
      </c>
      <c r="D164" t="inlineStr">
        <is>
          <t>UPPSALA LÄN</t>
        </is>
      </c>
      <c r="E164" t="inlineStr">
        <is>
          <t>TIERP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29115-2023</t>
        </is>
      </c>
      <c r="B165" s="1" t="n">
        <v>45105.39783564815</v>
      </c>
      <c r="C165" s="1" t="n">
        <v>45890</v>
      </c>
      <c r="D165" t="inlineStr">
        <is>
          <t>UPPSALA LÄN</t>
        </is>
      </c>
      <c r="E165" t="inlineStr">
        <is>
          <t>TIERP</t>
        </is>
      </c>
      <c r="G165" t="n">
        <v>3.1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17150-2025</t>
        </is>
      </c>
      <c r="B166" s="1" t="n">
        <v>45756.32243055556</v>
      </c>
      <c r="C166" s="1" t="n">
        <v>45890</v>
      </c>
      <c r="D166" t="inlineStr">
        <is>
          <t>UPPSALA LÄN</t>
        </is>
      </c>
      <c r="E166" t="inlineStr">
        <is>
          <t>TIERP</t>
        </is>
      </c>
      <c r="G166" t="n">
        <v>1.8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54449-2024</t>
        </is>
      </c>
      <c r="B167" s="1" t="n">
        <v>45617</v>
      </c>
      <c r="C167" s="1" t="n">
        <v>45890</v>
      </c>
      <c r="D167" t="inlineStr">
        <is>
          <t>UPPSALA LÄN</t>
        </is>
      </c>
      <c r="E167" t="inlineStr">
        <is>
          <t>TIERP</t>
        </is>
      </c>
      <c r="G167" t="n">
        <v>8.5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16851-2025</t>
        </is>
      </c>
      <c r="B168" s="1" t="n">
        <v>45754.71314814815</v>
      </c>
      <c r="C168" s="1" t="n">
        <v>45890</v>
      </c>
      <c r="D168" t="inlineStr">
        <is>
          <t>UPPSALA LÄN</t>
        </is>
      </c>
      <c r="E168" t="inlineStr">
        <is>
          <t>TIERP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48735-2023</t>
        </is>
      </c>
      <c r="B169" s="1" t="n">
        <v>45203</v>
      </c>
      <c r="C169" s="1" t="n">
        <v>45890</v>
      </c>
      <c r="D169" t="inlineStr">
        <is>
          <t>UPPSALA LÄN</t>
        </is>
      </c>
      <c r="E169" t="inlineStr">
        <is>
          <t>TIERP</t>
        </is>
      </c>
      <c r="F169" t="inlineStr">
        <is>
          <t>Bergvik skog väst AB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11306-2025</t>
        </is>
      </c>
      <c r="B170" s="1" t="n">
        <v>45726.44540509259</v>
      </c>
      <c r="C170" s="1" t="n">
        <v>45890</v>
      </c>
      <c r="D170" t="inlineStr">
        <is>
          <t>UPPSALA LÄN</t>
        </is>
      </c>
      <c r="E170" t="inlineStr">
        <is>
          <t>TIERP</t>
        </is>
      </c>
      <c r="F170" t="inlineStr">
        <is>
          <t>Bergvik skog öst AB</t>
        </is>
      </c>
      <c r="G170" t="n">
        <v>5.7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45915-2024</t>
        </is>
      </c>
      <c r="B171" s="1" t="n">
        <v>45580</v>
      </c>
      <c r="C171" s="1" t="n">
        <v>45890</v>
      </c>
      <c r="D171" t="inlineStr">
        <is>
          <t>UPPSALA LÄN</t>
        </is>
      </c>
      <c r="E171" t="inlineStr">
        <is>
          <t>TIERP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23154-2023</t>
        </is>
      </c>
      <c r="B172" s="1" t="n">
        <v>45075</v>
      </c>
      <c r="C172" s="1" t="n">
        <v>45890</v>
      </c>
      <c r="D172" t="inlineStr">
        <is>
          <t>UPPSALA LÄN</t>
        </is>
      </c>
      <c r="E172" t="inlineStr">
        <is>
          <t>TIERP</t>
        </is>
      </c>
      <c r="F172" t="inlineStr">
        <is>
          <t>Kyrkan</t>
        </is>
      </c>
      <c r="G172" t="n">
        <v>3.3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51756-2023</t>
        </is>
      </c>
      <c r="B173" s="1" t="n">
        <v>45222.6916550926</v>
      </c>
      <c r="C173" s="1" t="n">
        <v>45890</v>
      </c>
      <c r="D173" t="inlineStr">
        <is>
          <t>UPPSALA LÄN</t>
        </is>
      </c>
      <c r="E173" t="inlineStr">
        <is>
          <t>TIERP</t>
        </is>
      </c>
      <c r="G173" t="n">
        <v>0.3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4314-2025</t>
        </is>
      </c>
      <c r="B174" s="1" t="n">
        <v>45685.70260416667</v>
      </c>
      <c r="C174" s="1" t="n">
        <v>45890</v>
      </c>
      <c r="D174" t="inlineStr">
        <is>
          <t>UPPSALA LÄN</t>
        </is>
      </c>
      <c r="E174" t="inlineStr">
        <is>
          <t>TIERP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4343-2025</t>
        </is>
      </c>
      <c r="B175" s="1" t="n">
        <v>45685.91146990741</v>
      </c>
      <c r="C175" s="1" t="n">
        <v>45890</v>
      </c>
      <c r="D175" t="inlineStr">
        <is>
          <t>UPPSALA LÄN</t>
        </is>
      </c>
      <c r="E175" t="inlineStr">
        <is>
          <t>TIERP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46275-2022</t>
        </is>
      </c>
      <c r="B176" s="1" t="n">
        <v>44847</v>
      </c>
      <c r="C176" s="1" t="n">
        <v>45890</v>
      </c>
      <c r="D176" t="inlineStr">
        <is>
          <t>UPPSALA LÄN</t>
        </is>
      </c>
      <c r="E176" t="inlineStr">
        <is>
          <t>TIERP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15655-2025</t>
        </is>
      </c>
      <c r="B177" s="1" t="n">
        <v>45748</v>
      </c>
      <c r="C177" s="1" t="n">
        <v>45890</v>
      </c>
      <c r="D177" t="inlineStr">
        <is>
          <t>UPPSALA LÄN</t>
        </is>
      </c>
      <c r="E177" t="inlineStr">
        <is>
          <t>TIERP</t>
        </is>
      </c>
      <c r="F177" t="inlineStr">
        <is>
          <t>Kyrkan</t>
        </is>
      </c>
      <c r="G177" t="n">
        <v>4.5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7732-2025</t>
        </is>
      </c>
      <c r="B178" s="1" t="n">
        <v>45706</v>
      </c>
      <c r="C178" s="1" t="n">
        <v>45890</v>
      </c>
      <c r="D178" t="inlineStr">
        <is>
          <t>UPPSALA LÄN</t>
        </is>
      </c>
      <c r="E178" t="inlineStr">
        <is>
          <t>TIERP</t>
        </is>
      </c>
      <c r="F178" t="inlineStr">
        <is>
          <t>Bergvik skog öst AB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24238-2024</t>
        </is>
      </c>
      <c r="B179" s="1" t="n">
        <v>45457</v>
      </c>
      <c r="C179" s="1" t="n">
        <v>45890</v>
      </c>
      <c r="D179" t="inlineStr">
        <is>
          <t>UPPSALA LÄN</t>
        </is>
      </c>
      <c r="E179" t="inlineStr">
        <is>
          <t>TIERP</t>
        </is>
      </c>
      <c r="G179" t="n">
        <v>4.2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4531-2023</t>
        </is>
      </c>
      <c r="B180" s="1" t="n">
        <v>44956.62740740741</v>
      </c>
      <c r="C180" s="1" t="n">
        <v>45890</v>
      </c>
      <c r="D180" t="inlineStr">
        <is>
          <t>UPPSALA LÄN</t>
        </is>
      </c>
      <c r="E180" t="inlineStr">
        <is>
          <t>TIERP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6254-2022</t>
        </is>
      </c>
      <c r="B181" s="1" t="n">
        <v>44600.44900462963</v>
      </c>
      <c r="C181" s="1" t="n">
        <v>45890</v>
      </c>
      <c r="D181" t="inlineStr">
        <is>
          <t>UPPSALA LÄN</t>
        </is>
      </c>
      <c r="E181" t="inlineStr">
        <is>
          <t>TIERP</t>
        </is>
      </c>
      <c r="F181" t="inlineStr">
        <is>
          <t>Bergvik skog öst AB</t>
        </is>
      </c>
      <c r="G181" t="n">
        <v>6.1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14860-2022</t>
        </is>
      </c>
      <c r="B182" s="1" t="n">
        <v>44656</v>
      </c>
      <c r="C182" s="1" t="n">
        <v>45890</v>
      </c>
      <c r="D182" t="inlineStr">
        <is>
          <t>UPPSALA LÄN</t>
        </is>
      </c>
      <c r="E182" t="inlineStr">
        <is>
          <t>TIERP</t>
        </is>
      </c>
      <c r="F182" t="inlineStr">
        <is>
          <t>Bergvik skog öst AB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36830-2024</t>
        </is>
      </c>
      <c r="B183" s="1" t="n">
        <v>45538</v>
      </c>
      <c r="C183" s="1" t="n">
        <v>45890</v>
      </c>
      <c r="D183" t="inlineStr">
        <is>
          <t>UPPSALA LÄN</t>
        </is>
      </c>
      <c r="E183" t="inlineStr">
        <is>
          <t>TIERP</t>
        </is>
      </c>
      <c r="G183" t="n">
        <v>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45938-2020</t>
        </is>
      </c>
      <c r="B184" s="1" t="n">
        <v>44088</v>
      </c>
      <c r="C184" s="1" t="n">
        <v>45890</v>
      </c>
      <c r="D184" t="inlineStr">
        <is>
          <t>UPPSALA LÄN</t>
        </is>
      </c>
      <c r="E184" t="inlineStr">
        <is>
          <t>TIERP</t>
        </is>
      </c>
      <c r="F184" t="inlineStr">
        <is>
          <t>Bergvik skog väst AB</t>
        </is>
      </c>
      <c r="G184" t="n">
        <v>18.5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5994-2023</t>
        </is>
      </c>
      <c r="B185" s="1" t="n">
        <v>44964</v>
      </c>
      <c r="C185" s="1" t="n">
        <v>45890</v>
      </c>
      <c r="D185" t="inlineStr">
        <is>
          <t>UPPSALA LÄN</t>
        </is>
      </c>
      <c r="E185" t="inlineStr">
        <is>
          <t>TIERP</t>
        </is>
      </c>
      <c r="F185" t="inlineStr">
        <is>
          <t>Bergvik skog öst AB</t>
        </is>
      </c>
      <c r="G185" t="n">
        <v>3.1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18781-2022</t>
        </is>
      </c>
      <c r="B186" s="1" t="n">
        <v>44689</v>
      </c>
      <c r="C186" s="1" t="n">
        <v>45890</v>
      </c>
      <c r="D186" t="inlineStr">
        <is>
          <t>UPPSALA LÄN</t>
        </is>
      </c>
      <c r="E186" t="inlineStr">
        <is>
          <t>TIERP</t>
        </is>
      </c>
      <c r="F186" t="inlineStr">
        <is>
          <t>Kyrkan</t>
        </is>
      </c>
      <c r="G186" t="n">
        <v>8.4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36069-2021</t>
        </is>
      </c>
      <c r="B187" s="1" t="n">
        <v>44389</v>
      </c>
      <c r="C187" s="1" t="n">
        <v>45890</v>
      </c>
      <c r="D187" t="inlineStr">
        <is>
          <t>UPPSALA LÄN</t>
        </is>
      </c>
      <c r="E187" t="inlineStr">
        <is>
          <t>TIERP</t>
        </is>
      </c>
      <c r="F187" t="inlineStr">
        <is>
          <t>Övriga Aktiebolag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40748-2024</t>
        </is>
      </c>
      <c r="B188" s="1" t="n">
        <v>45558.45347222222</v>
      </c>
      <c r="C188" s="1" t="n">
        <v>45890</v>
      </c>
      <c r="D188" t="inlineStr">
        <is>
          <t>UPPSALA LÄN</t>
        </is>
      </c>
      <c r="E188" t="inlineStr">
        <is>
          <t>TIERP</t>
        </is>
      </c>
      <c r="G188" t="n">
        <v>2.8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21032-2022</t>
        </is>
      </c>
      <c r="B189" s="1" t="n">
        <v>44704</v>
      </c>
      <c r="C189" s="1" t="n">
        <v>45890</v>
      </c>
      <c r="D189" t="inlineStr">
        <is>
          <t>UPPSALA LÄN</t>
        </is>
      </c>
      <c r="E189" t="inlineStr">
        <is>
          <t>TIERP</t>
        </is>
      </c>
      <c r="F189" t="inlineStr">
        <is>
          <t>Bergvik skog öst AB</t>
        </is>
      </c>
      <c r="G189" t="n">
        <v>3.1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60985-2024</t>
        </is>
      </c>
      <c r="B190" s="1" t="n">
        <v>45645.41540509259</v>
      </c>
      <c r="C190" s="1" t="n">
        <v>45890</v>
      </c>
      <c r="D190" t="inlineStr">
        <is>
          <t>UPPSALA LÄN</t>
        </is>
      </c>
      <c r="E190" t="inlineStr">
        <is>
          <t>TIERP</t>
        </is>
      </c>
      <c r="G190" t="n">
        <v>5.5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59589-2022</t>
        </is>
      </c>
      <c r="B191" s="1" t="n">
        <v>44907</v>
      </c>
      <c r="C191" s="1" t="n">
        <v>45890</v>
      </c>
      <c r="D191" t="inlineStr">
        <is>
          <t>UPPSALA LÄN</t>
        </is>
      </c>
      <c r="E191" t="inlineStr">
        <is>
          <t>TIERP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13447-2023</t>
        </is>
      </c>
      <c r="B192" s="1" t="n">
        <v>45005</v>
      </c>
      <c r="C192" s="1" t="n">
        <v>45890</v>
      </c>
      <c r="D192" t="inlineStr">
        <is>
          <t>UPPSALA LÄN</t>
        </is>
      </c>
      <c r="E192" t="inlineStr">
        <is>
          <t>TIERP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54764-2022</t>
        </is>
      </c>
      <c r="B193" s="1" t="n">
        <v>44883</v>
      </c>
      <c r="C193" s="1" t="n">
        <v>45890</v>
      </c>
      <c r="D193" t="inlineStr">
        <is>
          <t>UPPSALA LÄN</t>
        </is>
      </c>
      <c r="E193" t="inlineStr">
        <is>
          <t>TIERP</t>
        </is>
      </c>
      <c r="G193" t="n">
        <v>8.699999999999999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49111-2024</t>
        </is>
      </c>
      <c r="B194" s="1" t="n">
        <v>45594.65586805555</v>
      </c>
      <c r="C194" s="1" t="n">
        <v>45890</v>
      </c>
      <c r="D194" t="inlineStr">
        <is>
          <t>UPPSALA LÄN</t>
        </is>
      </c>
      <c r="E194" t="inlineStr">
        <is>
          <t>TIERP</t>
        </is>
      </c>
      <c r="G194" t="n">
        <v>1.9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2549-2025</t>
        </is>
      </c>
      <c r="B195" s="1" t="n">
        <v>45674</v>
      </c>
      <c r="C195" s="1" t="n">
        <v>45890</v>
      </c>
      <c r="D195" t="inlineStr">
        <is>
          <t>UPPSALA LÄN</t>
        </is>
      </c>
      <c r="E195" t="inlineStr">
        <is>
          <t>TIERP</t>
        </is>
      </c>
      <c r="G195" t="n">
        <v>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59482-2023</t>
        </is>
      </c>
      <c r="B196" s="1" t="n">
        <v>45253</v>
      </c>
      <c r="C196" s="1" t="n">
        <v>45890</v>
      </c>
      <c r="D196" t="inlineStr">
        <is>
          <t>UPPSALA LÄN</t>
        </is>
      </c>
      <c r="E196" t="inlineStr">
        <is>
          <t>TIERP</t>
        </is>
      </c>
      <c r="G196" t="n">
        <v>11.3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55818-2023</t>
        </is>
      </c>
      <c r="B197" s="1" t="n">
        <v>45239.58409722222</v>
      </c>
      <c r="C197" s="1" t="n">
        <v>45890</v>
      </c>
      <c r="D197" t="inlineStr">
        <is>
          <t>UPPSALA LÄN</t>
        </is>
      </c>
      <c r="E197" t="inlineStr">
        <is>
          <t>TIERP</t>
        </is>
      </c>
      <c r="G197" t="n">
        <v>0.4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59244-2024</t>
        </is>
      </c>
      <c r="B198" s="1" t="n">
        <v>45637</v>
      </c>
      <c r="C198" s="1" t="n">
        <v>45890</v>
      </c>
      <c r="D198" t="inlineStr">
        <is>
          <t>UPPSALA LÄN</t>
        </is>
      </c>
      <c r="E198" t="inlineStr">
        <is>
          <t>TIERP</t>
        </is>
      </c>
      <c r="G198" t="n">
        <v>2.1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61518-2024</t>
        </is>
      </c>
      <c r="B199" s="1" t="n">
        <v>45646.57768518518</v>
      </c>
      <c r="C199" s="1" t="n">
        <v>45890</v>
      </c>
      <c r="D199" t="inlineStr">
        <is>
          <t>UPPSALA LÄN</t>
        </is>
      </c>
      <c r="E199" t="inlineStr">
        <is>
          <t>TIERP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39928-2023</t>
        </is>
      </c>
      <c r="B200" s="1" t="n">
        <v>45167</v>
      </c>
      <c r="C200" s="1" t="n">
        <v>45890</v>
      </c>
      <c r="D200" t="inlineStr">
        <is>
          <t>UPPSALA LÄN</t>
        </is>
      </c>
      <c r="E200" t="inlineStr">
        <is>
          <t>TIERP</t>
        </is>
      </c>
      <c r="G200" t="n">
        <v>2.1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1572-2023</t>
        </is>
      </c>
      <c r="B201" s="1" t="n">
        <v>44937.61023148148</v>
      </c>
      <c r="C201" s="1" t="n">
        <v>45890</v>
      </c>
      <c r="D201" t="inlineStr">
        <is>
          <t>UPPSALA LÄN</t>
        </is>
      </c>
      <c r="E201" t="inlineStr">
        <is>
          <t>TIERP</t>
        </is>
      </c>
      <c r="G201" t="n">
        <v>7.4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14483-2024</t>
        </is>
      </c>
      <c r="B202" s="1" t="n">
        <v>45394</v>
      </c>
      <c r="C202" s="1" t="n">
        <v>45890</v>
      </c>
      <c r="D202" t="inlineStr">
        <is>
          <t>UPPSALA LÄN</t>
        </is>
      </c>
      <c r="E202" t="inlineStr">
        <is>
          <t>TIERP</t>
        </is>
      </c>
      <c r="F202" t="inlineStr">
        <is>
          <t>Bergvik skog väst AB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9893-2022</t>
        </is>
      </c>
      <c r="B203" s="1" t="n">
        <v>44620.62225694444</v>
      </c>
      <c r="C203" s="1" t="n">
        <v>45890</v>
      </c>
      <c r="D203" t="inlineStr">
        <is>
          <t>UPPSALA LÄN</t>
        </is>
      </c>
      <c r="E203" t="inlineStr">
        <is>
          <t>TIERP</t>
        </is>
      </c>
      <c r="G203" t="n">
        <v>3.1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61717-2022</t>
        </is>
      </c>
      <c r="B204" s="1" t="n">
        <v>44917</v>
      </c>
      <c r="C204" s="1" t="n">
        <v>45890</v>
      </c>
      <c r="D204" t="inlineStr">
        <is>
          <t>UPPSALA LÄN</t>
        </is>
      </c>
      <c r="E204" t="inlineStr">
        <is>
          <t>TIERP</t>
        </is>
      </c>
      <c r="G204" t="n">
        <v>3.2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40864-2023</t>
        </is>
      </c>
      <c r="B205" s="1" t="n">
        <v>45173.3516087963</v>
      </c>
      <c r="C205" s="1" t="n">
        <v>45890</v>
      </c>
      <c r="D205" t="inlineStr">
        <is>
          <t>UPPSALA LÄN</t>
        </is>
      </c>
      <c r="E205" t="inlineStr">
        <is>
          <t>TIERP</t>
        </is>
      </c>
      <c r="F205" t="inlineStr">
        <is>
          <t>Bergvik skog väst AB</t>
        </is>
      </c>
      <c r="G205" t="n">
        <v>2.1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36561-2022</t>
        </is>
      </c>
      <c r="B206" s="1" t="n">
        <v>44804</v>
      </c>
      <c r="C206" s="1" t="n">
        <v>45890</v>
      </c>
      <c r="D206" t="inlineStr">
        <is>
          <t>UPPSALA LÄN</t>
        </is>
      </c>
      <c r="E206" t="inlineStr">
        <is>
          <t>TIERP</t>
        </is>
      </c>
      <c r="G206" t="n">
        <v>0.3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19172-2023</t>
        </is>
      </c>
      <c r="B207" s="1" t="n">
        <v>45046</v>
      </c>
      <c r="C207" s="1" t="n">
        <v>45890</v>
      </c>
      <c r="D207" t="inlineStr">
        <is>
          <t>UPPSALA LÄN</t>
        </is>
      </c>
      <c r="E207" t="inlineStr">
        <is>
          <t>TIERP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14116-2024</t>
        </is>
      </c>
      <c r="B208" s="1" t="n">
        <v>45392.64703703704</v>
      </c>
      <c r="C208" s="1" t="n">
        <v>45890</v>
      </c>
      <c r="D208" t="inlineStr">
        <is>
          <t>UPPSALA LÄN</t>
        </is>
      </c>
      <c r="E208" t="inlineStr">
        <is>
          <t>TIERP</t>
        </is>
      </c>
      <c r="F208" t="inlineStr">
        <is>
          <t>Bergvik skog öst AB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19138-2025</t>
        </is>
      </c>
      <c r="B209" s="1" t="n">
        <v>45769.3231712963</v>
      </c>
      <c r="C209" s="1" t="n">
        <v>45890</v>
      </c>
      <c r="D209" t="inlineStr">
        <is>
          <t>UPPSALA LÄN</t>
        </is>
      </c>
      <c r="E209" t="inlineStr">
        <is>
          <t>TIERP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2676-2024</t>
        </is>
      </c>
      <c r="B210" s="1" t="n">
        <v>45314.43193287037</v>
      </c>
      <c r="C210" s="1" t="n">
        <v>45890</v>
      </c>
      <c r="D210" t="inlineStr">
        <is>
          <t>UPPSALA LÄN</t>
        </is>
      </c>
      <c r="E210" t="inlineStr">
        <is>
          <t>TIERP</t>
        </is>
      </c>
      <c r="G210" t="n">
        <v>6.3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22759-2024</t>
        </is>
      </c>
      <c r="B211" s="1" t="n">
        <v>45448</v>
      </c>
      <c r="C211" s="1" t="n">
        <v>45890</v>
      </c>
      <c r="D211" t="inlineStr">
        <is>
          <t>UPPSALA LÄN</t>
        </is>
      </c>
      <c r="E211" t="inlineStr">
        <is>
          <t>TIERP</t>
        </is>
      </c>
      <c r="G211" t="n">
        <v>6.9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55678-2024</t>
        </is>
      </c>
      <c r="B212" s="1" t="n">
        <v>45622.65828703704</v>
      </c>
      <c r="C212" s="1" t="n">
        <v>45890</v>
      </c>
      <c r="D212" t="inlineStr">
        <is>
          <t>UPPSALA LÄN</t>
        </is>
      </c>
      <c r="E212" t="inlineStr">
        <is>
          <t>TIERP</t>
        </is>
      </c>
      <c r="G212" t="n">
        <v>8.4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14086-2023</t>
        </is>
      </c>
      <c r="B213" s="1" t="n">
        <v>45009.33243055556</v>
      </c>
      <c r="C213" s="1" t="n">
        <v>45890</v>
      </c>
      <c r="D213" t="inlineStr">
        <is>
          <t>UPPSALA LÄN</t>
        </is>
      </c>
      <c r="E213" t="inlineStr">
        <is>
          <t>TIERP</t>
        </is>
      </c>
      <c r="F213" t="inlineStr">
        <is>
          <t>Bergvik skog väst AB</t>
        </is>
      </c>
      <c r="G213" t="n">
        <v>19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48483-2022</t>
        </is>
      </c>
      <c r="B214" s="1" t="n">
        <v>44858</v>
      </c>
      <c r="C214" s="1" t="n">
        <v>45890</v>
      </c>
      <c r="D214" t="inlineStr">
        <is>
          <t>UPPSALA LÄN</t>
        </is>
      </c>
      <c r="E214" t="inlineStr">
        <is>
          <t>TIERP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16516-2025</t>
        </is>
      </c>
      <c r="B215" s="1" t="n">
        <v>45751.63172453704</v>
      </c>
      <c r="C215" s="1" t="n">
        <v>45890</v>
      </c>
      <c r="D215" t="inlineStr">
        <is>
          <t>UPPSALA LÄN</t>
        </is>
      </c>
      <c r="E215" t="inlineStr">
        <is>
          <t>TIERP</t>
        </is>
      </c>
      <c r="G215" t="n">
        <v>3.7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7127-2024</t>
        </is>
      </c>
      <c r="B216" s="1" t="n">
        <v>45344.338125</v>
      </c>
      <c r="C216" s="1" t="n">
        <v>45890</v>
      </c>
      <c r="D216" t="inlineStr">
        <is>
          <t>UPPSALA LÄN</t>
        </is>
      </c>
      <c r="E216" t="inlineStr">
        <is>
          <t>TIERP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18368-2025</t>
        </is>
      </c>
      <c r="B217" s="1" t="n">
        <v>45762.56429398148</v>
      </c>
      <c r="C217" s="1" t="n">
        <v>45890</v>
      </c>
      <c r="D217" t="inlineStr">
        <is>
          <t>UPPSALA LÄN</t>
        </is>
      </c>
      <c r="E217" t="inlineStr">
        <is>
          <t>TIERP</t>
        </is>
      </c>
      <c r="F217" t="inlineStr">
        <is>
          <t>Bergvik skog öst AB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18423-2025</t>
        </is>
      </c>
      <c r="B218" s="1" t="n">
        <v>45762.62068287037</v>
      </c>
      <c r="C218" s="1" t="n">
        <v>45890</v>
      </c>
      <c r="D218" t="inlineStr">
        <is>
          <t>UPPSALA LÄN</t>
        </is>
      </c>
      <c r="E218" t="inlineStr">
        <is>
          <t>TIERP</t>
        </is>
      </c>
      <c r="F218" t="inlineStr">
        <is>
          <t>Bergvik skog öst AB</t>
        </is>
      </c>
      <c r="G218" t="n">
        <v>1.8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1202-2025</t>
        </is>
      </c>
      <c r="B219" s="1" t="n">
        <v>45667</v>
      </c>
      <c r="C219" s="1" t="n">
        <v>45890</v>
      </c>
      <c r="D219" t="inlineStr">
        <is>
          <t>UPPSALA LÄN</t>
        </is>
      </c>
      <c r="E219" t="inlineStr">
        <is>
          <t>TIERP</t>
        </is>
      </c>
      <c r="G219" t="n">
        <v>3.1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11568-2025</t>
        </is>
      </c>
      <c r="B220" s="1" t="n">
        <v>45727.37728009259</v>
      </c>
      <c r="C220" s="1" t="n">
        <v>45890</v>
      </c>
      <c r="D220" t="inlineStr">
        <is>
          <t>UPPSALA LÄN</t>
        </is>
      </c>
      <c r="E220" t="inlineStr">
        <is>
          <t>TIERP</t>
        </is>
      </c>
      <c r="F220" t="inlineStr">
        <is>
          <t>Bergvik skog öst AB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52380-2023</t>
        </is>
      </c>
      <c r="B221" s="1" t="n">
        <v>45224.79760416667</v>
      </c>
      <c r="C221" s="1" t="n">
        <v>45890</v>
      </c>
      <c r="D221" t="inlineStr">
        <is>
          <t>UPPSALA LÄN</t>
        </is>
      </c>
      <c r="E221" t="inlineStr">
        <is>
          <t>TIERP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26380-2023</t>
        </is>
      </c>
      <c r="B222" s="1" t="n">
        <v>45092</v>
      </c>
      <c r="C222" s="1" t="n">
        <v>45890</v>
      </c>
      <c r="D222" t="inlineStr">
        <is>
          <t>UPPSALA LÄN</t>
        </is>
      </c>
      <c r="E222" t="inlineStr">
        <is>
          <t>TIERP</t>
        </is>
      </c>
      <c r="G222" t="n">
        <v>2.2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18885-2025</t>
        </is>
      </c>
      <c r="B223" s="1" t="n">
        <v>45764.44233796297</v>
      </c>
      <c r="C223" s="1" t="n">
        <v>45890</v>
      </c>
      <c r="D223" t="inlineStr">
        <is>
          <t>UPPSALA LÄN</t>
        </is>
      </c>
      <c r="E223" t="inlineStr">
        <is>
          <t>TIERP</t>
        </is>
      </c>
      <c r="F223" t="inlineStr">
        <is>
          <t>Bergvik skog öst AB</t>
        </is>
      </c>
      <c r="G223" t="n">
        <v>4.7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18928-2025</t>
        </is>
      </c>
      <c r="B224" s="1" t="n">
        <v>45764</v>
      </c>
      <c r="C224" s="1" t="n">
        <v>45890</v>
      </c>
      <c r="D224" t="inlineStr">
        <is>
          <t>UPPSALA LÄN</t>
        </is>
      </c>
      <c r="E224" t="inlineStr">
        <is>
          <t>TIERP</t>
        </is>
      </c>
      <c r="F224" t="inlineStr">
        <is>
          <t>Bergvik skog öst AB</t>
        </is>
      </c>
      <c r="G224" t="n">
        <v>8.800000000000001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9130-2024</t>
        </is>
      </c>
      <c r="B225" s="1" t="n">
        <v>45358.3468287037</v>
      </c>
      <c r="C225" s="1" t="n">
        <v>45890</v>
      </c>
      <c r="D225" t="inlineStr">
        <is>
          <t>UPPSALA LÄN</t>
        </is>
      </c>
      <c r="E225" t="inlineStr">
        <is>
          <t>TIERP</t>
        </is>
      </c>
      <c r="G225" t="n">
        <v>6.3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15504-2025</t>
        </is>
      </c>
      <c r="B226" s="1" t="n">
        <v>45747.595</v>
      </c>
      <c r="C226" s="1" t="n">
        <v>45890</v>
      </c>
      <c r="D226" t="inlineStr">
        <is>
          <t>UPPSALA LÄN</t>
        </is>
      </c>
      <c r="E226" t="inlineStr">
        <is>
          <t>TIERP</t>
        </is>
      </c>
      <c r="F226" t="inlineStr">
        <is>
          <t>Bergvik skog väst AB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18060-2025</t>
        </is>
      </c>
      <c r="B227" s="1" t="n">
        <v>45761</v>
      </c>
      <c r="C227" s="1" t="n">
        <v>45890</v>
      </c>
      <c r="D227" t="inlineStr">
        <is>
          <t>UPPSALA LÄN</t>
        </is>
      </c>
      <c r="E227" t="inlineStr">
        <is>
          <t>TIERP</t>
        </is>
      </c>
      <c r="F227" t="inlineStr">
        <is>
          <t>Bergvik skog väst AB</t>
        </is>
      </c>
      <c r="G227" t="n">
        <v>0.3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16852-2025</t>
        </is>
      </c>
      <c r="B228" s="1" t="n">
        <v>45754.72487268518</v>
      </c>
      <c r="C228" s="1" t="n">
        <v>45890</v>
      </c>
      <c r="D228" t="inlineStr">
        <is>
          <t>UPPSALA LÄN</t>
        </is>
      </c>
      <c r="E228" t="inlineStr">
        <is>
          <t>TIERP</t>
        </is>
      </c>
      <c r="G228" t="n">
        <v>5.2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13687-2024</t>
        </is>
      </c>
      <c r="B229" s="1" t="n">
        <v>45390.5662962963</v>
      </c>
      <c r="C229" s="1" t="n">
        <v>45890</v>
      </c>
      <c r="D229" t="inlineStr">
        <is>
          <t>UPPSALA LÄN</t>
        </is>
      </c>
      <c r="E229" t="inlineStr">
        <is>
          <t>TIERP</t>
        </is>
      </c>
      <c r="F229" t="inlineStr">
        <is>
          <t>Bergvik skog väst AB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16791-2023</t>
        </is>
      </c>
      <c r="B230" s="1" t="n">
        <v>45033</v>
      </c>
      <c r="C230" s="1" t="n">
        <v>45890</v>
      </c>
      <c r="D230" t="inlineStr">
        <is>
          <t>UPPSALA LÄN</t>
        </is>
      </c>
      <c r="E230" t="inlineStr">
        <is>
          <t>TIERP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59597-2024</t>
        </is>
      </c>
      <c r="B231" s="1" t="n">
        <v>45638</v>
      </c>
      <c r="C231" s="1" t="n">
        <v>45890</v>
      </c>
      <c r="D231" t="inlineStr">
        <is>
          <t>UPPSALA LÄN</t>
        </is>
      </c>
      <c r="E231" t="inlineStr">
        <is>
          <t>TIERP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20860-2024</t>
        </is>
      </c>
      <c r="B232" s="1" t="n">
        <v>45439</v>
      </c>
      <c r="C232" s="1" t="n">
        <v>45890</v>
      </c>
      <c r="D232" t="inlineStr">
        <is>
          <t>UPPSALA LÄN</t>
        </is>
      </c>
      <c r="E232" t="inlineStr">
        <is>
          <t>TIERP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19026-2025</t>
        </is>
      </c>
      <c r="B233" s="1" t="n">
        <v>45764.63778935185</v>
      </c>
      <c r="C233" s="1" t="n">
        <v>45890</v>
      </c>
      <c r="D233" t="inlineStr">
        <is>
          <t>UPPSALA LÄN</t>
        </is>
      </c>
      <c r="E233" t="inlineStr">
        <is>
          <t>TIERP</t>
        </is>
      </c>
      <c r="F233" t="inlineStr">
        <is>
          <t>Bergvik skog öst AB</t>
        </is>
      </c>
      <c r="G233" t="n">
        <v>3.3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55688-2024</t>
        </is>
      </c>
      <c r="B234" s="1" t="n">
        <v>45622.67170138889</v>
      </c>
      <c r="C234" s="1" t="n">
        <v>45890</v>
      </c>
      <c r="D234" t="inlineStr">
        <is>
          <t>UPPSALA LÄN</t>
        </is>
      </c>
      <c r="E234" t="inlineStr">
        <is>
          <t>TIERP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63260-2020</t>
        </is>
      </c>
      <c r="B235" s="1" t="n">
        <v>44164.81450231482</v>
      </c>
      <c r="C235" s="1" t="n">
        <v>45890</v>
      </c>
      <c r="D235" t="inlineStr">
        <is>
          <t>UPPSALA LÄN</t>
        </is>
      </c>
      <c r="E235" t="inlineStr">
        <is>
          <t>TIERP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58252-2024</t>
        </is>
      </c>
      <c r="B236" s="1" t="n">
        <v>45632.55709490741</v>
      </c>
      <c r="C236" s="1" t="n">
        <v>45890</v>
      </c>
      <c r="D236" t="inlineStr">
        <is>
          <t>UPPSALA LÄN</t>
        </is>
      </c>
      <c r="E236" t="inlineStr">
        <is>
          <t>TIERP</t>
        </is>
      </c>
      <c r="G236" t="n">
        <v>3.2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5967-2023</t>
        </is>
      </c>
      <c r="B237" s="1" t="n">
        <v>44964</v>
      </c>
      <c r="C237" s="1" t="n">
        <v>45890</v>
      </c>
      <c r="D237" t="inlineStr">
        <is>
          <t>UPPSALA LÄN</t>
        </is>
      </c>
      <c r="E237" t="inlineStr">
        <is>
          <t>TIERP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59961-2023</t>
        </is>
      </c>
      <c r="B238" s="1" t="n">
        <v>45257</v>
      </c>
      <c r="C238" s="1" t="n">
        <v>45890</v>
      </c>
      <c r="D238" t="inlineStr">
        <is>
          <t>UPPSALA LÄN</t>
        </is>
      </c>
      <c r="E238" t="inlineStr">
        <is>
          <t>TIERP</t>
        </is>
      </c>
      <c r="G238" t="n">
        <v>2.7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55711-2023</t>
        </is>
      </c>
      <c r="B239" s="1" t="n">
        <v>45239.37905092593</v>
      </c>
      <c r="C239" s="1" t="n">
        <v>45890</v>
      </c>
      <c r="D239" t="inlineStr">
        <is>
          <t>UPPSALA LÄN</t>
        </is>
      </c>
      <c r="E239" t="inlineStr">
        <is>
          <t>TIERP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39333-2024</t>
        </is>
      </c>
      <c r="B240" s="1" t="n">
        <v>45551</v>
      </c>
      <c r="C240" s="1" t="n">
        <v>45890</v>
      </c>
      <c r="D240" t="inlineStr">
        <is>
          <t>UPPSALA LÄN</t>
        </is>
      </c>
      <c r="E240" t="inlineStr">
        <is>
          <t>TIERP</t>
        </is>
      </c>
      <c r="G240" t="n">
        <v>4.1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19522-2025</t>
        </is>
      </c>
      <c r="B241" s="1" t="n">
        <v>45770.45707175926</v>
      </c>
      <c r="C241" s="1" t="n">
        <v>45890</v>
      </c>
      <c r="D241" t="inlineStr">
        <is>
          <t>UPPSALA LÄN</t>
        </is>
      </c>
      <c r="E241" t="inlineStr">
        <is>
          <t>TIERP</t>
        </is>
      </c>
      <c r="F241" t="inlineStr">
        <is>
          <t>Bergvik skog öst AB</t>
        </is>
      </c>
      <c r="G241" t="n">
        <v>7.9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20641-2025</t>
        </is>
      </c>
      <c r="B242" s="1" t="n">
        <v>45776.37788194444</v>
      </c>
      <c r="C242" s="1" t="n">
        <v>45890</v>
      </c>
      <c r="D242" t="inlineStr">
        <is>
          <t>UPPSALA LÄN</t>
        </is>
      </c>
      <c r="E242" t="inlineStr">
        <is>
          <t>TIERP</t>
        </is>
      </c>
      <c r="F242" t="inlineStr">
        <is>
          <t>Bergvik skog öst AB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20644-2025</t>
        </is>
      </c>
      <c r="B243" s="1" t="n">
        <v>45776.37835648148</v>
      </c>
      <c r="C243" s="1" t="n">
        <v>45890</v>
      </c>
      <c r="D243" t="inlineStr">
        <is>
          <t>UPPSALA LÄN</t>
        </is>
      </c>
      <c r="E243" t="inlineStr">
        <is>
          <t>TIERP</t>
        </is>
      </c>
      <c r="F243" t="inlineStr">
        <is>
          <t>Bergvik skog öst AB</t>
        </is>
      </c>
      <c r="G243" t="n">
        <v>2.7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26404-2024</t>
        </is>
      </c>
      <c r="B244" s="1" t="n">
        <v>45469</v>
      </c>
      <c r="C244" s="1" t="n">
        <v>45890</v>
      </c>
      <c r="D244" t="inlineStr">
        <is>
          <t>UPPSALA LÄN</t>
        </is>
      </c>
      <c r="E244" t="inlineStr">
        <is>
          <t>TIERP</t>
        </is>
      </c>
      <c r="G244" t="n">
        <v>3.4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32871-2024</t>
        </is>
      </c>
      <c r="B245" s="1" t="n">
        <v>45516.66552083333</v>
      </c>
      <c r="C245" s="1" t="n">
        <v>45890</v>
      </c>
      <c r="D245" t="inlineStr">
        <is>
          <t>UPPSALA LÄN</t>
        </is>
      </c>
      <c r="E245" t="inlineStr">
        <is>
          <t>TIERP</t>
        </is>
      </c>
      <c r="G245" t="n">
        <v>4.8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20886-2025</t>
        </is>
      </c>
      <c r="B246" s="1" t="n">
        <v>45777.36902777778</v>
      </c>
      <c r="C246" s="1" t="n">
        <v>45890</v>
      </c>
      <c r="D246" t="inlineStr">
        <is>
          <t>UPPSALA LÄN</t>
        </is>
      </c>
      <c r="E246" t="inlineStr">
        <is>
          <t>TIERP</t>
        </is>
      </c>
      <c r="F246" t="inlineStr">
        <is>
          <t>Bergvik skog öst AB</t>
        </is>
      </c>
      <c r="G246" t="n">
        <v>6.6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20676-2025</t>
        </is>
      </c>
      <c r="B247" s="1" t="n">
        <v>45776.4450462963</v>
      </c>
      <c r="C247" s="1" t="n">
        <v>45890</v>
      </c>
      <c r="D247" t="inlineStr">
        <is>
          <t>UPPSALA LÄN</t>
        </is>
      </c>
      <c r="E247" t="inlineStr">
        <is>
          <t>TIERP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33307-2023</t>
        </is>
      </c>
      <c r="B248" s="1" t="n">
        <v>45127</v>
      </c>
      <c r="C248" s="1" t="n">
        <v>45890</v>
      </c>
      <c r="D248" t="inlineStr">
        <is>
          <t>UPPSALA LÄN</t>
        </is>
      </c>
      <c r="E248" t="inlineStr">
        <is>
          <t>TIERP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21047-2025</t>
        </is>
      </c>
      <c r="B249" s="1" t="n">
        <v>45777.55640046296</v>
      </c>
      <c r="C249" s="1" t="n">
        <v>45890</v>
      </c>
      <c r="D249" t="inlineStr">
        <is>
          <t>UPPSALA LÄN</t>
        </is>
      </c>
      <c r="E249" t="inlineStr">
        <is>
          <t>TIERP</t>
        </is>
      </c>
      <c r="G249" t="n">
        <v>2.1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17448-2025</t>
        </is>
      </c>
      <c r="B250" s="1" t="n">
        <v>45757.444375</v>
      </c>
      <c r="C250" s="1" t="n">
        <v>45890</v>
      </c>
      <c r="D250" t="inlineStr">
        <is>
          <t>UPPSALA LÄN</t>
        </is>
      </c>
      <c r="E250" t="inlineStr">
        <is>
          <t>TIERP</t>
        </is>
      </c>
      <c r="G250" t="n">
        <v>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1951-2024</t>
        </is>
      </c>
      <c r="B251" s="1" t="n">
        <v>45308.49630787037</v>
      </c>
      <c r="C251" s="1" t="n">
        <v>45890</v>
      </c>
      <c r="D251" t="inlineStr">
        <is>
          <t>UPPSALA LÄN</t>
        </is>
      </c>
      <c r="E251" t="inlineStr">
        <is>
          <t>TIERP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8958-2024</t>
        </is>
      </c>
      <c r="B252" s="1" t="n">
        <v>45357.45214120371</v>
      </c>
      <c r="C252" s="1" t="n">
        <v>45890</v>
      </c>
      <c r="D252" t="inlineStr">
        <is>
          <t>UPPSALA LÄN</t>
        </is>
      </c>
      <c r="E252" t="inlineStr">
        <is>
          <t>TIERP</t>
        </is>
      </c>
      <c r="G252" t="n">
        <v>3.8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21325-2025</t>
        </is>
      </c>
      <c r="B253" s="1" t="n">
        <v>45782.3503587963</v>
      </c>
      <c r="C253" s="1" t="n">
        <v>45890</v>
      </c>
      <c r="D253" t="inlineStr">
        <is>
          <t>UPPSALA LÄN</t>
        </is>
      </c>
      <c r="E253" t="inlineStr">
        <is>
          <t>TIERP</t>
        </is>
      </c>
      <c r="F253" t="inlineStr">
        <is>
          <t>Bergvik skog öst AB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21398-2025</t>
        </is>
      </c>
      <c r="B254" s="1" t="n">
        <v>45782.483125</v>
      </c>
      <c r="C254" s="1" t="n">
        <v>45890</v>
      </c>
      <c r="D254" t="inlineStr">
        <is>
          <t>UPPSALA LÄN</t>
        </is>
      </c>
      <c r="E254" t="inlineStr">
        <is>
          <t>TIERP</t>
        </is>
      </c>
      <c r="F254" t="inlineStr">
        <is>
          <t>Kyrkan</t>
        </is>
      </c>
      <c r="G254" t="n">
        <v>2.7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21635-2025</t>
        </is>
      </c>
      <c r="B255" s="1" t="n">
        <v>45783.4287962963</v>
      </c>
      <c r="C255" s="1" t="n">
        <v>45890</v>
      </c>
      <c r="D255" t="inlineStr">
        <is>
          <t>UPPSALA LÄN</t>
        </is>
      </c>
      <c r="E255" t="inlineStr">
        <is>
          <t>TIERP</t>
        </is>
      </c>
      <c r="F255" t="inlineStr">
        <is>
          <t>Bergvik skog öst AB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16802-2025</t>
        </is>
      </c>
      <c r="B256" s="1" t="n">
        <v>45754</v>
      </c>
      <c r="C256" s="1" t="n">
        <v>45890</v>
      </c>
      <c r="D256" t="inlineStr">
        <is>
          <t>UPPSALA LÄN</t>
        </is>
      </c>
      <c r="E256" t="inlineStr">
        <is>
          <t>TIERP</t>
        </is>
      </c>
      <c r="F256" t="inlineStr">
        <is>
          <t>Bergvik skog väst AB</t>
        </is>
      </c>
      <c r="G256" t="n">
        <v>2.6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21345-2025</t>
        </is>
      </c>
      <c r="B257" s="1" t="n">
        <v>45782.4065625</v>
      </c>
      <c r="C257" s="1" t="n">
        <v>45890</v>
      </c>
      <c r="D257" t="inlineStr">
        <is>
          <t>UPPSALA LÄN</t>
        </is>
      </c>
      <c r="E257" t="inlineStr">
        <is>
          <t>TIERP</t>
        </is>
      </c>
      <c r="F257" t="inlineStr">
        <is>
          <t>Bergvik skog öst AB</t>
        </is>
      </c>
      <c r="G257" t="n">
        <v>5.5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5987-2023</t>
        </is>
      </c>
      <c r="B258" s="1" t="n">
        <v>44964</v>
      </c>
      <c r="C258" s="1" t="n">
        <v>45890</v>
      </c>
      <c r="D258" t="inlineStr">
        <is>
          <t>UPPSALA LÄN</t>
        </is>
      </c>
      <c r="E258" t="inlineStr">
        <is>
          <t>TIERP</t>
        </is>
      </c>
      <c r="F258" t="inlineStr">
        <is>
          <t>Bergvik skog öst AB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21782-2025</t>
        </is>
      </c>
      <c r="B259" s="1" t="n">
        <v>45783.66872685185</v>
      </c>
      <c r="C259" s="1" t="n">
        <v>45890</v>
      </c>
      <c r="D259" t="inlineStr">
        <is>
          <t>UPPSALA LÄN</t>
        </is>
      </c>
      <c r="E259" t="inlineStr">
        <is>
          <t>TIERP</t>
        </is>
      </c>
      <c r="F259" t="inlineStr">
        <is>
          <t>Bergvik skog öst AB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22636-2024</t>
        </is>
      </c>
      <c r="B260" s="1" t="n">
        <v>45447</v>
      </c>
      <c r="C260" s="1" t="n">
        <v>45890</v>
      </c>
      <c r="D260" t="inlineStr">
        <is>
          <t>UPPSALA LÄN</t>
        </is>
      </c>
      <c r="E260" t="inlineStr">
        <is>
          <t>TIERP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15851-2023</t>
        </is>
      </c>
      <c r="B261" s="1" t="n">
        <v>45022</v>
      </c>
      <c r="C261" s="1" t="n">
        <v>45890</v>
      </c>
      <c r="D261" t="inlineStr">
        <is>
          <t>UPPSALA LÄN</t>
        </is>
      </c>
      <c r="E261" t="inlineStr">
        <is>
          <t>TIERP</t>
        </is>
      </c>
      <c r="G261" t="n">
        <v>2.1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15662-2025</t>
        </is>
      </c>
      <c r="B262" s="1" t="n">
        <v>45748.4287962963</v>
      </c>
      <c r="C262" s="1" t="n">
        <v>45890</v>
      </c>
      <c r="D262" t="inlineStr">
        <is>
          <t>UPPSALA LÄN</t>
        </is>
      </c>
      <c r="E262" t="inlineStr">
        <is>
          <t>TIERP</t>
        </is>
      </c>
      <c r="F262" t="inlineStr">
        <is>
          <t>Kyrkan</t>
        </is>
      </c>
      <c r="G262" t="n">
        <v>5.4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24341-2022</t>
        </is>
      </c>
      <c r="B263" s="1" t="n">
        <v>44726</v>
      </c>
      <c r="C263" s="1" t="n">
        <v>45890</v>
      </c>
      <c r="D263" t="inlineStr">
        <is>
          <t>UPPSALA LÄN</t>
        </is>
      </c>
      <c r="E263" t="inlineStr">
        <is>
          <t>TIERP</t>
        </is>
      </c>
      <c r="F263" t="inlineStr">
        <is>
          <t>Bergvik skog väst AB</t>
        </is>
      </c>
      <c r="G263" t="n">
        <v>8.4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21473-2025</t>
        </is>
      </c>
      <c r="B264" s="1" t="n">
        <v>45782.59054398148</v>
      </c>
      <c r="C264" s="1" t="n">
        <v>45890</v>
      </c>
      <c r="D264" t="inlineStr">
        <is>
          <t>UPPSALA LÄN</t>
        </is>
      </c>
      <c r="E264" t="inlineStr">
        <is>
          <t>TIERP</t>
        </is>
      </c>
      <c r="G264" t="n">
        <v>3.2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16124-2021</t>
        </is>
      </c>
      <c r="B265" s="1" t="n">
        <v>44291</v>
      </c>
      <c r="C265" s="1" t="n">
        <v>45890</v>
      </c>
      <c r="D265" t="inlineStr">
        <is>
          <t>UPPSALA LÄN</t>
        </is>
      </c>
      <c r="E265" t="inlineStr">
        <is>
          <t>TIERP</t>
        </is>
      </c>
      <c r="F265" t="inlineStr">
        <is>
          <t>Bergvik skog väst AB</t>
        </is>
      </c>
      <c r="G265" t="n">
        <v>2.4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31103-2022</t>
        </is>
      </c>
      <c r="B266" s="1" t="n">
        <v>44769.65189814815</v>
      </c>
      <c r="C266" s="1" t="n">
        <v>45890</v>
      </c>
      <c r="D266" t="inlineStr">
        <is>
          <t>UPPSALA LÄN</t>
        </is>
      </c>
      <c r="E266" t="inlineStr">
        <is>
          <t>TIERP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21636-2025</t>
        </is>
      </c>
      <c r="B267" s="1" t="n">
        <v>45783.42976851852</v>
      </c>
      <c r="C267" s="1" t="n">
        <v>45890</v>
      </c>
      <c r="D267" t="inlineStr">
        <is>
          <t>UPPSALA LÄN</t>
        </is>
      </c>
      <c r="E267" t="inlineStr">
        <is>
          <t>TIERP</t>
        </is>
      </c>
      <c r="F267" t="inlineStr">
        <is>
          <t>Bergvik skog öst AB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17579-2025</t>
        </is>
      </c>
      <c r="B268" s="1" t="n">
        <v>45757.65542824074</v>
      </c>
      <c r="C268" s="1" t="n">
        <v>45890</v>
      </c>
      <c r="D268" t="inlineStr">
        <is>
          <t>UPPSALA LÄN</t>
        </is>
      </c>
      <c r="E268" t="inlineStr">
        <is>
          <t>TIERP</t>
        </is>
      </c>
      <c r="F268" t="inlineStr">
        <is>
          <t>Bergvik skog öst AB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21876-2025</t>
        </is>
      </c>
      <c r="B269" s="1" t="n">
        <v>45784.39814814815</v>
      </c>
      <c r="C269" s="1" t="n">
        <v>45890</v>
      </c>
      <c r="D269" t="inlineStr">
        <is>
          <t>UPPSALA LÄN</t>
        </is>
      </c>
      <c r="E269" t="inlineStr">
        <is>
          <t>TIERP</t>
        </is>
      </c>
      <c r="F269" t="inlineStr">
        <is>
          <t>Bergvik skog öst AB</t>
        </is>
      </c>
      <c r="G269" t="n">
        <v>8.199999999999999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25476-2022</t>
        </is>
      </c>
      <c r="B270" s="1" t="n">
        <v>44732</v>
      </c>
      <c r="C270" s="1" t="n">
        <v>45890</v>
      </c>
      <c r="D270" t="inlineStr">
        <is>
          <t>UPPSALA LÄN</t>
        </is>
      </c>
      <c r="E270" t="inlineStr">
        <is>
          <t>TIERP</t>
        </is>
      </c>
      <c r="F270" t="inlineStr">
        <is>
          <t>Bergvik skog öst AB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21889-2025</t>
        </is>
      </c>
      <c r="B271" s="1" t="n">
        <v>45784.43336805556</v>
      </c>
      <c r="C271" s="1" t="n">
        <v>45890</v>
      </c>
      <c r="D271" t="inlineStr">
        <is>
          <t>UPPSALA LÄN</t>
        </is>
      </c>
      <c r="E271" t="inlineStr">
        <is>
          <t>TIERP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22083-2025</t>
        </is>
      </c>
      <c r="B272" s="1" t="n">
        <v>45785</v>
      </c>
      <c r="C272" s="1" t="n">
        <v>45890</v>
      </c>
      <c r="D272" t="inlineStr">
        <is>
          <t>UPPSALA LÄN</t>
        </is>
      </c>
      <c r="E272" t="inlineStr">
        <is>
          <t>TIERP</t>
        </is>
      </c>
      <c r="G272" t="n">
        <v>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21905-2025</t>
        </is>
      </c>
      <c r="B273" s="1" t="n">
        <v>45784.46221064815</v>
      </c>
      <c r="C273" s="1" t="n">
        <v>45890</v>
      </c>
      <c r="D273" t="inlineStr">
        <is>
          <t>UPPSALA LÄN</t>
        </is>
      </c>
      <c r="E273" t="inlineStr">
        <is>
          <t>TIERP</t>
        </is>
      </c>
      <c r="F273" t="inlineStr">
        <is>
          <t>Bergvik skog öst AB</t>
        </is>
      </c>
      <c r="G273" t="n">
        <v>7.6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38109-2023</t>
        </is>
      </c>
      <c r="B274" s="1" t="n">
        <v>45161.32083333333</v>
      </c>
      <c r="C274" s="1" t="n">
        <v>45890</v>
      </c>
      <c r="D274" t="inlineStr">
        <is>
          <t>UPPSALA LÄN</t>
        </is>
      </c>
      <c r="E274" t="inlineStr">
        <is>
          <t>TIERP</t>
        </is>
      </c>
      <c r="F274" t="inlineStr">
        <is>
          <t>Bergvik skog öst AB</t>
        </is>
      </c>
      <c r="G274" t="n">
        <v>2.1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49718-2020</t>
        </is>
      </c>
      <c r="B275" s="1" t="n">
        <v>44106</v>
      </c>
      <c r="C275" s="1" t="n">
        <v>45890</v>
      </c>
      <c r="D275" t="inlineStr">
        <is>
          <t>UPPSALA LÄN</t>
        </is>
      </c>
      <c r="E275" t="inlineStr">
        <is>
          <t>TIERP</t>
        </is>
      </c>
      <c r="G275" t="n">
        <v>3.9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61617-2022</t>
        </is>
      </c>
      <c r="B276" s="1" t="n">
        <v>44916.6696875</v>
      </c>
      <c r="C276" s="1" t="n">
        <v>45890</v>
      </c>
      <c r="D276" t="inlineStr">
        <is>
          <t>UPPSALA LÄN</t>
        </is>
      </c>
      <c r="E276" t="inlineStr">
        <is>
          <t>TIERP</t>
        </is>
      </c>
      <c r="G276" t="n">
        <v>0.3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44946-2022</t>
        </is>
      </c>
      <c r="B277" s="1" t="n">
        <v>44841.57192129629</v>
      </c>
      <c r="C277" s="1" t="n">
        <v>45890</v>
      </c>
      <c r="D277" t="inlineStr">
        <is>
          <t>UPPSALA LÄN</t>
        </is>
      </c>
      <c r="E277" t="inlineStr">
        <is>
          <t>TIERP</t>
        </is>
      </c>
      <c r="G277" t="n">
        <v>2.5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22135-2025</t>
        </is>
      </c>
      <c r="B278" s="1" t="n">
        <v>45785.54427083334</v>
      </c>
      <c r="C278" s="1" t="n">
        <v>45890</v>
      </c>
      <c r="D278" t="inlineStr">
        <is>
          <t>UPPSALA LÄN</t>
        </is>
      </c>
      <c r="E278" t="inlineStr">
        <is>
          <t>TIERP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11570-2025</t>
        </is>
      </c>
      <c r="B279" s="1" t="n">
        <v>45727.37976851852</v>
      </c>
      <c r="C279" s="1" t="n">
        <v>45890</v>
      </c>
      <c r="D279" t="inlineStr">
        <is>
          <t>UPPSALA LÄN</t>
        </is>
      </c>
      <c r="E279" t="inlineStr">
        <is>
          <t>TIERP</t>
        </is>
      </c>
      <c r="F279" t="inlineStr">
        <is>
          <t>Bergvik skog öst AB</t>
        </is>
      </c>
      <c r="G279" t="n">
        <v>3.7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7352-2023</t>
        </is>
      </c>
      <c r="B280" s="1" t="n">
        <v>44966</v>
      </c>
      <c r="C280" s="1" t="n">
        <v>45890</v>
      </c>
      <c r="D280" t="inlineStr">
        <is>
          <t>UPPSALA LÄN</t>
        </is>
      </c>
      <c r="E280" t="inlineStr">
        <is>
          <t>TIERP</t>
        </is>
      </c>
      <c r="G280" t="n">
        <v>3.5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60151-2022</t>
        </is>
      </c>
      <c r="B281" s="1" t="n">
        <v>44909.71309027778</v>
      </c>
      <c r="C281" s="1" t="n">
        <v>45890</v>
      </c>
      <c r="D281" t="inlineStr">
        <is>
          <t>UPPSALA LÄN</t>
        </is>
      </c>
      <c r="E281" t="inlineStr">
        <is>
          <t>TIERP</t>
        </is>
      </c>
      <c r="G281" t="n">
        <v>4.1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50413-2020</t>
        </is>
      </c>
      <c r="B282" s="1" t="n">
        <v>44110</v>
      </c>
      <c r="C282" s="1" t="n">
        <v>45890</v>
      </c>
      <c r="D282" t="inlineStr">
        <is>
          <t>UPPSALA LÄN</t>
        </is>
      </c>
      <c r="E282" t="inlineStr">
        <is>
          <t>TIERP</t>
        </is>
      </c>
      <c r="F282" t="inlineStr">
        <is>
          <t>Bergvik skog väst AB</t>
        </is>
      </c>
      <c r="G282" t="n">
        <v>2.1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47422-2022</t>
        </is>
      </c>
      <c r="B283" s="1" t="n">
        <v>44853.57118055555</v>
      </c>
      <c r="C283" s="1" t="n">
        <v>45890</v>
      </c>
      <c r="D283" t="inlineStr">
        <is>
          <t>UPPSALA LÄN</t>
        </is>
      </c>
      <c r="E283" t="inlineStr">
        <is>
          <t>TIERP</t>
        </is>
      </c>
      <c r="G283" t="n">
        <v>2.5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57536-2022</t>
        </is>
      </c>
      <c r="B284" s="1" t="n">
        <v>44896.69231481481</v>
      </c>
      <c r="C284" s="1" t="n">
        <v>45890</v>
      </c>
      <c r="D284" t="inlineStr">
        <is>
          <t>UPPSALA LÄN</t>
        </is>
      </c>
      <c r="E284" t="inlineStr">
        <is>
          <t>TIERP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22529-2025</t>
        </is>
      </c>
      <c r="B285" s="1" t="n">
        <v>45786</v>
      </c>
      <c r="C285" s="1" t="n">
        <v>45890</v>
      </c>
      <c r="D285" t="inlineStr">
        <is>
          <t>UPPSALA LÄN</t>
        </is>
      </c>
      <c r="E285" t="inlineStr">
        <is>
          <t>TIERP</t>
        </is>
      </c>
      <c r="F285" t="inlineStr">
        <is>
          <t>Övriga Aktiebolag</t>
        </is>
      </c>
      <c r="G285" t="n">
        <v>2.1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22392-2025</t>
        </is>
      </c>
      <c r="B286" s="1" t="n">
        <v>45786.5116087963</v>
      </c>
      <c r="C286" s="1" t="n">
        <v>45890</v>
      </c>
      <c r="D286" t="inlineStr">
        <is>
          <t>UPPSALA LÄN</t>
        </is>
      </c>
      <c r="E286" t="inlineStr">
        <is>
          <t>TIERP</t>
        </is>
      </c>
      <c r="F286" t="inlineStr">
        <is>
          <t>Bergvik skog öst AB</t>
        </is>
      </c>
      <c r="G286" t="n">
        <v>1.9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12591-2021</t>
        </is>
      </c>
      <c r="B287" s="1" t="n">
        <v>44270</v>
      </c>
      <c r="C287" s="1" t="n">
        <v>45890</v>
      </c>
      <c r="D287" t="inlineStr">
        <is>
          <t>UPPSALA LÄN</t>
        </is>
      </c>
      <c r="E287" t="inlineStr">
        <is>
          <t>TIERP</t>
        </is>
      </c>
      <c r="G287" t="n">
        <v>5.6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52969-2023</t>
        </is>
      </c>
      <c r="B288" s="1" t="n">
        <v>45226.60010416667</v>
      </c>
      <c r="C288" s="1" t="n">
        <v>45890</v>
      </c>
      <c r="D288" t="inlineStr">
        <is>
          <t>UPPSALA LÄN</t>
        </is>
      </c>
      <c r="E288" t="inlineStr">
        <is>
          <t>TIERP</t>
        </is>
      </c>
      <c r="G288" t="n">
        <v>5.3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5289-2023</t>
        </is>
      </c>
      <c r="B289" s="1" t="n">
        <v>44959.52206018518</v>
      </c>
      <c r="C289" s="1" t="n">
        <v>45890</v>
      </c>
      <c r="D289" t="inlineStr">
        <is>
          <t>UPPSALA LÄN</t>
        </is>
      </c>
      <c r="E289" t="inlineStr">
        <is>
          <t>TIERP</t>
        </is>
      </c>
      <c r="G289" t="n">
        <v>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29089-2021</t>
        </is>
      </c>
      <c r="B290" s="1" t="n">
        <v>44358.56138888889</v>
      </c>
      <c r="C290" s="1" t="n">
        <v>45890</v>
      </c>
      <c r="D290" t="inlineStr">
        <is>
          <t>UPPSALA LÄN</t>
        </is>
      </c>
      <c r="E290" t="inlineStr">
        <is>
          <t>TIERP</t>
        </is>
      </c>
      <c r="G290" t="n">
        <v>2.5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12861-2025</t>
        </is>
      </c>
      <c r="B291" s="1" t="n">
        <v>45733.66547453704</v>
      </c>
      <c r="C291" s="1" t="n">
        <v>45890</v>
      </c>
      <c r="D291" t="inlineStr">
        <is>
          <t>UPPSALA LÄN</t>
        </is>
      </c>
      <c r="E291" t="inlineStr">
        <is>
          <t>TIERP</t>
        </is>
      </c>
      <c r="F291" t="inlineStr">
        <is>
          <t>Bergvik skog väst AB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437-2023</t>
        </is>
      </c>
      <c r="B292" s="1" t="n">
        <v>44924</v>
      </c>
      <c r="C292" s="1" t="n">
        <v>45890</v>
      </c>
      <c r="D292" t="inlineStr">
        <is>
          <t>UPPSALA LÄN</t>
        </is>
      </c>
      <c r="E292" t="inlineStr">
        <is>
          <t>TIERP</t>
        </is>
      </c>
      <c r="G292" t="n">
        <v>3.3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47419-2022</t>
        </is>
      </c>
      <c r="B293" s="1" t="n">
        <v>44853.56622685185</v>
      </c>
      <c r="C293" s="1" t="n">
        <v>45890</v>
      </c>
      <c r="D293" t="inlineStr">
        <is>
          <t>UPPSALA LÄN</t>
        </is>
      </c>
      <c r="E293" t="inlineStr">
        <is>
          <t>TIERP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58492-2023</t>
        </is>
      </c>
      <c r="B294" s="1" t="n">
        <v>45251</v>
      </c>
      <c r="C294" s="1" t="n">
        <v>45890</v>
      </c>
      <c r="D294" t="inlineStr">
        <is>
          <t>UPPSALA LÄN</t>
        </is>
      </c>
      <c r="E294" t="inlineStr">
        <is>
          <t>TIERP</t>
        </is>
      </c>
      <c r="F294" t="inlineStr">
        <is>
          <t>Bergvik skog väst AB</t>
        </is>
      </c>
      <c r="G294" t="n">
        <v>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44775-2024</t>
        </is>
      </c>
      <c r="B295" s="1" t="n">
        <v>45574</v>
      </c>
      <c r="C295" s="1" t="n">
        <v>45890</v>
      </c>
      <c r="D295" t="inlineStr">
        <is>
          <t>UPPSALA LÄN</t>
        </is>
      </c>
      <c r="E295" t="inlineStr">
        <is>
          <t>TIERP</t>
        </is>
      </c>
      <c r="F295" t="inlineStr">
        <is>
          <t>Bergvik skog öst AB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35001-2024</t>
        </is>
      </c>
      <c r="B296" s="1" t="n">
        <v>45527</v>
      </c>
      <c r="C296" s="1" t="n">
        <v>45890</v>
      </c>
      <c r="D296" t="inlineStr">
        <is>
          <t>UPPSALA LÄN</t>
        </is>
      </c>
      <c r="E296" t="inlineStr">
        <is>
          <t>TIERP</t>
        </is>
      </c>
      <c r="F296" t="inlineStr">
        <is>
          <t>Bergvik skog väst AB</t>
        </is>
      </c>
      <c r="G296" t="n">
        <v>3.1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130-2025</t>
        </is>
      </c>
      <c r="B297" s="1" t="n">
        <v>45659.56748842593</v>
      </c>
      <c r="C297" s="1" t="n">
        <v>45890</v>
      </c>
      <c r="D297" t="inlineStr">
        <is>
          <t>UPPSALA LÄN</t>
        </is>
      </c>
      <c r="E297" t="inlineStr">
        <is>
          <t>TIERP</t>
        </is>
      </c>
      <c r="F297" t="inlineStr">
        <is>
          <t>Bergvik skog öst AB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11302-2025</t>
        </is>
      </c>
      <c r="B298" s="1" t="n">
        <v>45726.4434375</v>
      </c>
      <c r="C298" s="1" t="n">
        <v>45890</v>
      </c>
      <c r="D298" t="inlineStr">
        <is>
          <t>UPPSALA LÄN</t>
        </is>
      </c>
      <c r="E298" t="inlineStr">
        <is>
          <t>TIERP</t>
        </is>
      </c>
      <c r="F298" t="inlineStr">
        <is>
          <t>Bergvik skog öst AB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34838-2024</t>
        </is>
      </c>
      <c r="B299" s="1" t="n">
        <v>45526</v>
      </c>
      <c r="C299" s="1" t="n">
        <v>45890</v>
      </c>
      <c r="D299" t="inlineStr">
        <is>
          <t>UPPSALA LÄN</t>
        </is>
      </c>
      <c r="E299" t="inlineStr">
        <is>
          <t>TIERP</t>
        </is>
      </c>
      <c r="G299" t="n">
        <v>1.3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26656-2022</t>
        </is>
      </c>
      <c r="B300" s="1" t="n">
        <v>44739</v>
      </c>
      <c r="C300" s="1" t="n">
        <v>45890</v>
      </c>
      <c r="D300" t="inlineStr">
        <is>
          <t>UPPSALA LÄN</t>
        </is>
      </c>
      <c r="E300" t="inlineStr">
        <is>
          <t>TIERP</t>
        </is>
      </c>
      <c r="G300" t="n">
        <v>2.8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22769-2025</t>
        </is>
      </c>
      <c r="B301" s="1" t="n">
        <v>45789.63409722222</v>
      </c>
      <c r="C301" s="1" t="n">
        <v>45890</v>
      </c>
      <c r="D301" t="inlineStr">
        <is>
          <t>UPPSALA LÄN</t>
        </is>
      </c>
      <c r="E301" t="inlineStr">
        <is>
          <t>TIERP</t>
        </is>
      </c>
      <c r="G301" t="n">
        <v>1.6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22528-2025</t>
        </is>
      </c>
      <c r="B302" s="1" t="n">
        <v>45786</v>
      </c>
      <c r="C302" s="1" t="n">
        <v>45890</v>
      </c>
      <c r="D302" t="inlineStr">
        <is>
          <t>UPPSALA LÄN</t>
        </is>
      </c>
      <c r="E302" t="inlineStr">
        <is>
          <t>TIERP</t>
        </is>
      </c>
      <c r="F302" t="inlineStr">
        <is>
          <t>Övriga Aktiebolag</t>
        </is>
      </c>
      <c r="G302" t="n">
        <v>7.7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40793-2021</t>
        </is>
      </c>
      <c r="B303" s="1" t="n">
        <v>44421</v>
      </c>
      <c r="C303" s="1" t="n">
        <v>45890</v>
      </c>
      <c r="D303" t="inlineStr">
        <is>
          <t>UPPSALA LÄN</t>
        </is>
      </c>
      <c r="E303" t="inlineStr">
        <is>
          <t>TIERP</t>
        </is>
      </c>
      <c r="F303" t="inlineStr">
        <is>
          <t>Kyrkan</t>
        </is>
      </c>
      <c r="G303" t="n">
        <v>3.4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23198-2025</t>
        </is>
      </c>
      <c r="B304" s="1" t="n">
        <v>45791.45799768518</v>
      </c>
      <c r="C304" s="1" t="n">
        <v>45890</v>
      </c>
      <c r="D304" t="inlineStr">
        <is>
          <t>UPPSALA LÄN</t>
        </is>
      </c>
      <c r="E304" t="inlineStr">
        <is>
          <t>TIERP</t>
        </is>
      </c>
      <c r="G304" t="n">
        <v>2.9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23828-2021</t>
        </is>
      </c>
      <c r="B305" s="1" t="n">
        <v>44335</v>
      </c>
      <c r="C305" s="1" t="n">
        <v>45890</v>
      </c>
      <c r="D305" t="inlineStr">
        <is>
          <t>UPPSALA LÄN</t>
        </is>
      </c>
      <c r="E305" t="inlineStr">
        <is>
          <t>TIERP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12449-2022</t>
        </is>
      </c>
      <c r="B306" s="1" t="n">
        <v>44638.40253472222</v>
      </c>
      <c r="C306" s="1" t="n">
        <v>45890</v>
      </c>
      <c r="D306" t="inlineStr">
        <is>
          <t>UPPSALA LÄN</t>
        </is>
      </c>
      <c r="E306" t="inlineStr">
        <is>
          <t>TIERP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38298-2023</t>
        </is>
      </c>
      <c r="B307" s="1" t="n">
        <v>45161.64891203704</v>
      </c>
      <c r="C307" s="1" t="n">
        <v>45890</v>
      </c>
      <c r="D307" t="inlineStr">
        <is>
          <t>UPPSALA LÄN</t>
        </is>
      </c>
      <c r="E307" t="inlineStr">
        <is>
          <t>TIERP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5857-2021</t>
        </is>
      </c>
      <c r="B308" s="1" t="n">
        <v>44231</v>
      </c>
      <c r="C308" s="1" t="n">
        <v>45890</v>
      </c>
      <c r="D308" t="inlineStr">
        <is>
          <t>UPPSALA LÄN</t>
        </is>
      </c>
      <c r="E308" t="inlineStr">
        <is>
          <t>TIERP</t>
        </is>
      </c>
      <c r="F308" t="inlineStr">
        <is>
          <t>Bergvik skog väst AB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58242-2020</t>
        </is>
      </c>
      <c r="B309" s="1" t="n">
        <v>44144</v>
      </c>
      <c r="C309" s="1" t="n">
        <v>45890</v>
      </c>
      <c r="D309" t="inlineStr">
        <is>
          <t>UPPSALA LÄN</t>
        </is>
      </c>
      <c r="E309" t="inlineStr">
        <is>
          <t>TIERP</t>
        </is>
      </c>
      <c r="G309" t="n">
        <v>4.1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37476-2024</t>
        </is>
      </c>
      <c r="B310" s="1" t="n">
        <v>45541.29972222223</v>
      </c>
      <c r="C310" s="1" t="n">
        <v>45890</v>
      </c>
      <c r="D310" t="inlineStr">
        <is>
          <t>UPPSALA LÄN</t>
        </is>
      </c>
      <c r="E310" t="inlineStr">
        <is>
          <t>TIERP</t>
        </is>
      </c>
      <c r="G310" t="n">
        <v>0.4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61640-2023</t>
        </is>
      </c>
      <c r="B311" s="1" t="n">
        <v>45265.56704861111</v>
      </c>
      <c r="C311" s="1" t="n">
        <v>45890</v>
      </c>
      <c r="D311" t="inlineStr">
        <is>
          <t>UPPSALA LÄN</t>
        </is>
      </c>
      <c r="E311" t="inlineStr">
        <is>
          <t>TIERP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28538-2024</t>
        </is>
      </c>
      <c r="B312" s="1" t="n">
        <v>45478</v>
      </c>
      <c r="C312" s="1" t="n">
        <v>45890</v>
      </c>
      <c r="D312" t="inlineStr">
        <is>
          <t>UPPSALA LÄN</t>
        </is>
      </c>
      <c r="E312" t="inlineStr">
        <is>
          <t>TIERP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73-2023</t>
        </is>
      </c>
      <c r="B313" s="1" t="n">
        <v>44928.45600694444</v>
      </c>
      <c r="C313" s="1" t="n">
        <v>45890</v>
      </c>
      <c r="D313" t="inlineStr">
        <is>
          <t>UPPSALA LÄN</t>
        </is>
      </c>
      <c r="E313" t="inlineStr">
        <is>
          <t>TIERP</t>
        </is>
      </c>
      <c r="G313" t="n">
        <v>2.9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15055-2024</t>
        </is>
      </c>
      <c r="B314" s="1" t="n">
        <v>45399</v>
      </c>
      <c r="C314" s="1" t="n">
        <v>45890</v>
      </c>
      <c r="D314" t="inlineStr">
        <is>
          <t>UPPSALA LÄN</t>
        </is>
      </c>
      <c r="E314" t="inlineStr">
        <is>
          <t>TIERP</t>
        </is>
      </c>
      <c r="G314" t="n">
        <v>2.9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51716-2023</t>
        </is>
      </c>
      <c r="B315" s="1" t="n">
        <v>45222</v>
      </c>
      <c r="C315" s="1" t="n">
        <v>45890</v>
      </c>
      <c r="D315" t="inlineStr">
        <is>
          <t>UPPSALA LÄN</t>
        </is>
      </c>
      <c r="E315" t="inlineStr">
        <is>
          <t>TIERP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23204-2025</t>
        </is>
      </c>
      <c r="B316" s="1" t="n">
        <v>45791.46357638889</v>
      </c>
      <c r="C316" s="1" t="n">
        <v>45890</v>
      </c>
      <c r="D316" t="inlineStr">
        <is>
          <t>UPPSALA LÄN</t>
        </is>
      </c>
      <c r="E316" t="inlineStr">
        <is>
          <t>TIERP</t>
        </is>
      </c>
      <c r="G316" t="n">
        <v>3.3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49061-2021</t>
        </is>
      </c>
      <c r="B317" s="1" t="n">
        <v>44453.60243055555</v>
      </c>
      <c r="C317" s="1" t="n">
        <v>45890</v>
      </c>
      <c r="D317" t="inlineStr">
        <is>
          <t>UPPSALA LÄN</t>
        </is>
      </c>
      <c r="E317" t="inlineStr">
        <is>
          <t>TIERP</t>
        </is>
      </c>
      <c r="G317" t="n">
        <v>2.6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64128-2023</t>
        </is>
      </c>
      <c r="B318" s="1" t="n">
        <v>45279.51664351852</v>
      </c>
      <c r="C318" s="1" t="n">
        <v>45890</v>
      </c>
      <c r="D318" t="inlineStr">
        <is>
          <t>UPPSALA LÄN</t>
        </is>
      </c>
      <c r="E318" t="inlineStr">
        <is>
          <t>TIERP</t>
        </is>
      </c>
      <c r="G318" t="n">
        <v>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23201-2025</t>
        </is>
      </c>
      <c r="B319" s="1" t="n">
        <v>45791.4603587963</v>
      </c>
      <c r="C319" s="1" t="n">
        <v>45890</v>
      </c>
      <c r="D319" t="inlineStr">
        <is>
          <t>UPPSALA LÄN</t>
        </is>
      </c>
      <c r="E319" t="inlineStr">
        <is>
          <t>TIERP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23796-2025</t>
        </is>
      </c>
      <c r="B320" s="1" t="n">
        <v>45793.5515162037</v>
      </c>
      <c r="C320" s="1" t="n">
        <v>45890</v>
      </c>
      <c r="D320" t="inlineStr">
        <is>
          <t>UPPSALA LÄN</t>
        </is>
      </c>
      <c r="E320" t="inlineStr">
        <is>
          <t>TIERP</t>
        </is>
      </c>
      <c r="G320" t="n">
        <v>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16494-2025</t>
        </is>
      </c>
      <c r="B321" s="1" t="n">
        <v>45751.59844907407</v>
      </c>
      <c r="C321" s="1" t="n">
        <v>45890</v>
      </c>
      <c r="D321" t="inlineStr">
        <is>
          <t>UPPSALA LÄN</t>
        </is>
      </c>
      <c r="E321" t="inlineStr">
        <is>
          <t>TIERP</t>
        </is>
      </c>
      <c r="F321" t="inlineStr">
        <is>
          <t>Bergvik skog väst AB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36902-2024</t>
        </is>
      </c>
      <c r="B322" s="1" t="n">
        <v>45538</v>
      </c>
      <c r="C322" s="1" t="n">
        <v>45890</v>
      </c>
      <c r="D322" t="inlineStr">
        <is>
          <t>UPPSALA LÄN</t>
        </is>
      </c>
      <c r="E322" t="inlineStr">
        <is>
          <t>TIERP</t>
        </is>
      </c>
      <c r="G322" t="n">
        <v>2.3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19339-2025</t>
        </is>
      </c>
      <c r="B323" s="1" t="n">
        <v>45769.59454861111</v>
      </c>
      <c r="C323" s="1" t="n">
        <v>45890</v>
      </c>
      <c r="D323" t="inlineStr">
        <is>
          <t>UPPSALA LÄN</t>
        </is>
      </c>
      <c r="E323" t="inlineStr">
        <is>
          <t>TIERP</t>
        </is>
      </c>
      <c r="F323" t="inlineStr">
        <is>
          <t>Bergvik skog öst AB</t>
        </is>
      </c>
      <c r="G323" t="n">
        <v>2.8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23759-2024</t>
        </is>
      </c>
      <c r="B324" s="1" t="n">
        <v>45455</v>
      </c>
      <c r="C324" s="1" t="n">
        <v>45890</v>
      </c>
      <c r="D324" t="inlineStr">
        <is>
          <t>UPPSALA LÄN</t>
        </is>
      </c>
      <c r="E324" t="inlineStr">
        <is>
          <t>TIERP</t>
        </is>
      </c>
      <c r="G324" t="n">
        <v>1.5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17944-2023</t>
        </is>
      </c>
      <c r="B325" s="1" t="n">
        <v>45040.43703703704</v>
      </c>
      <c r="C325" s="1" t="n">
        <v>45890</v>
      </c>
      <c r="D325" t="inlineStr">
        <is>
          <t>UPPSALA LÄN</t>
        </is>
      </c>
      <c r="E325" t="inlineStr">
        <is>
          <t>TIERP</t>
        </is>
      </c>
      <c r="F325" t="inlineStr">
        <is>
          <t>Bergvik skog väst AB</t>
        </is>
      </c>
      <c r="G325" t="n">
        <v>1.8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7359-2023</t>
        </is>
      </c>
      <c r="B326" s="1" t="n">
        <v>44966</v>
      </c>
      <c r="C326" s="1" t="n">
        <v>45890</v>
      </c>
      <c r="D326" t="inlineStr">
        <is>
          <t>UPPSALA LÄN</t>
        </is>
      </c>
      <c r="E326" t="inlineStr">
        <is>
          <t>TIERP</t>
        </is>
      </c>
      <c r="G326" t="n">
        <v>3.4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44505-2023</t>
        </is>
      </c>
      <c r="B327" s="1" t="n">
        <v>45184</v>
      </c>
      <c r="C327" s="1" t="n">
        <v>45890</v>
      </c>
      <c r="D327" t="inlineStr">
        <is>
          <t>UPPSALA LÄN</t>
        </is>
      </c>
      <c r="E327" t="inlineStr">
        <is>
          <t>TIERP</t>
        </is>
      </c>
      <c r="G327" t="n">
        <v>1.9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23468-2025</t>
        </is>
      </c>
      <c r="B328" s="1" t="n">
        <v>45792.43809027778</v>
      </c>
      <c r="C328" s="1" t="n">
        <v>45890</v>
      </c>
      <c r="D328" t="inlineStr">
        <is>
          <t>UPPSALA LÄN</t>
        </is>
      </c>
      <c r="E328" t="inlineStr">
        <is>
          <t>TIERP</t>
        </is>
      </c>
      <c r="F328" t="inlineStr">
        <is>
          <t>Bergvik skog väst AB</t>
        </is>
      </c>
      <c r="G328" t="n">
        <v>1.6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8879-2025</t>
        </is>
      </c>
      <c r="B329" s="1" t="n">
        <v>45713</v>
      </c>
      <c r="C329" s="1" t="n">
        <v>45890</v>
      </c>
      <c r="D329" t="inlineStr">
        <is>
          <t>UPPSALA LÄN</t>
        </is>
      </c>
      <c r="E329" t="inlineStr">
        <is>
          <t>TIERP</t>
        </is>
      </c>
      <c r="F329" t="inlineStr">
        <is>
          <t>Bergvik skog öst AB</t>
        </is>
      </c>
      <c r="G329" t="n">
        <v>8.199999999999999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33677-2023</t>
        </is>
      </c>
      <c r="B330" s="1" t="n">
        <v>45119</v>
      </c>
      <c r="C330" s="1" t="n">
        <v>45890</v>
      </c>
      <c r="D330" t="inlineStr">
        <is>
          <t>UPPSALA LÄN</t>
        </is>
      </c>
      <c r="E330" t="inlineStr">
        <is>
          <t>TIERP</t>
        </is>
      </c>
      <c r="F330" t="inlineStr">
        <is>
          <t>Bergvik skog väst AB</t>
        </is>
      </c>
      <c r="G330" t="n">
        <v>57.7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32326-2022</t>
        </is>
      </c>
      <c r="B331" s="1" t="n">
        <v>44781.68261574074</v>
      </c>
      <c r="C331" s="1" t="n">
        <v>45890</v>
      </c>
      <c r="D331" t="inlineStr">
        <is>
          <t>UPPSALA LÄN</t>
        </is>
      </c>
      <c r="E331" t="inlineStr">
        <is>
          <t>TIERP</t>
        </is>
      </c>
      <c r="G331" t="n">
        <v>3.6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24278-2021</t>
        </is>
      </c>
      <c r="B332" s="1" t="n">
        <v>44337</v>
      </c>
      <c r="C332" s="1" t="n">
        <v>45890</v>
      </c>
      <c r="D332" t="inlineStr">
        <is>
          <t>UPPSALA LÄN</t>
        </is>
      </c>
      <c r="E332" t="inlineStr">
        <is>
          <t>TIERP</t>
        </is>
      </c>
      <c r="F332" t="inlineStr">
        <is>
          <t>Bergvik skog väst AB</t>
        </is>
      </c>
      <c r="G332" t="n">
        <v>1.8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15193-2024</t>
        </is>
      </c>
      <c r="B333" s="1" t="n">
        <v>45400.41387731482</v>
      </c>
      <c r="C333" s="1" t="n">
        <v>45890</v>
      </c>
      <c r="D333" t="inlineStr">
        <is>
          <t>UPPSALA LÄN</t>
        </is>
      </c>
      <c r="E333" t="inlineStr">
        <is>
          <t>TIERP</t>
        </is>
      </c>
      <c r="G333" t="n">
        <v>1.6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22663-2022</t>
        </is>
      </c>
      <c r="B334" s="1" t="n">
        <v>44713</v>
      </c>
      <c r="C334" s="1" t="n">
        <v>45890</v>
      </c>
      <c r="D334" t="inlineStr">
        <is>
          <t>UPPSALA LÄN</t>
        </is>
      </c>
      <c r="E334" t="inlineStr">
        <is>
          <t>TIERP</t>
        </is>
      </c>
      <c r="F334" t="inlineStr">
        <is>
          <t>Bergvik skog väst AB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10524-2025</t>
        </is>
      </c>
      <c r="B335" s="1" t="n">
        <v>45721.43444444444</v>
      </c>
      <c r="C335" s="1" t="n">
        <v>45890</v>
      </c>
      <c r="D335" t="inlineStr">
        <is>
          <t>UPPSALA LÄN</t>
        </is>
      </c>
      <c r="E335" t="inlineStr">
        <is>
          <t>TIERP</t>
        </is>
      </c>
      <c r="G335" t="n">
        <v>11.6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48736-2023</t>
        </is>
      </c>
      <c r="B336" s="1" t="n">
        <v>45203</v>
      </c>
      <c r="C336" s="1" t="n">
        <v>45890</v>
      </c>
      <c r="D336" t="inlineStr">
        <is>
          <t>UPPSALA LÄN</t>
        </is>
      </c>
      <c r="E336" t="inlineStr">
        <is>
          <t>TIERP</t>
        </is>
      </c>
      <c r="F336" t="inlineStr">
        <is>
          <t>Bergvik skog väst AB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61827-2024</t>
        </is>
      </c>
      <c r="B337" s="1" t="n">
        <v>45649.6225</v>
      </c>
      <c r="C337" s="1" t="n">
        <v>45890</v>
      </c>
      <c r="D337" t="inlineStr">
        <is>
          <t>UPPSALA LÄN</t>
        </is>
      </c>
      <c r="E337" t="inlineStr">
        <is>
          <t>TIERP</t>
        </is>
      </c>
      <c r="G337" t="n">
        <v>2.5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1384-2023</t>
        </is>
      </c>
      <c r="B338" s="1" t="n">
        <v>44936</v>
      </c>
      <c r="C338" s="1" t="n">
        <v>45890</v>
      </c>
      <c r="D338" t="inlineStr">
        <is>
          <t>UPPSALA LÄN</t>
        </is>
      </c>
      <c r="E338" t="inlineStr">
        <is>
          <t>TIERP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32190-2022</t>
        </is>
      </c>
      <c r="B339" s="1" t="n">
        <v>44781.3843287037</v>
      </c>
      <c r="C339" s="1" t="n">
        <v>45890</v>
      </c>
      <c r="D339" t="inlineStr">
        <is>
          <t>UPPSALA LÄN</t>
        </is>
      </c>
      <c r="E339" t="inlineStr">
        <is>
          <t>TIERP</t>
        </is>
      </c>
      <c r="G339" t="n">
        <v>3.1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56972-2022</t>
        </is>
      </c>
      <c r="B340" s="1" t="n">
        <v>44894</v>
      </c>
      <c r="C340" s="1" t="n">
        <v>45890</v>
      </c>
      <c r="D340" t="inlineStr">
        <is>
          <t>UPPSALA LÄN</t>
        </is>
      </c>
      <c r="E340" t="inlineStr">
        <is>
          <t>TIERP</t>
        </is>
      </c>
      <c r="G340" t="n">
        <v>11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32212-2024</t>
        </is>
      </c>
      <c r="B341" s="1" t="n">
        <v>45511</v>
      </c>
      <c r="C341" s="1" t="n">
        <v>45890</v>
      </c>
      <c r="D341" t="inlineStr">
        <is>
          <t>UPPSALA LÄN</t>
        </is>
      </c>
      <c r="E341" t="inlineStr">
        <is>
          <t>TIERP</t>
        </is>
      </c>
      <c r="G341" t="n">
        <v>3.5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24150-2025</t>
        </is>
      </c>
      <c r="B342" s="1" t="n">
        <v>45796.65540509259</v>
      </c>
      <c r="C342" s="1" t="n">
        <v>45890</v>
      </c>
      <c r="D342" t="inlineStr">
        <is>
          <t>UPPSALA LÄN</t>
        </is>
      </c>
      <c r="E342" t="inlineStr">
        <is>
          <t>TIERP</t>
        </is>
      </c>
      <c r="F342" t="inlineStr">
        <is>
          <t>Bergvik skog öst AB</t>
        </is>
      </c>
      <c r="G342" t="n">
        <v>1.8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44382-2024</t>
        </is>
      </c>
      <c r="B343" s="1" t="n">
        <v>45573.66729166666</v>
      </c>
      <c r="C343" s="1" t="n">
        <v>45890</v>
      </c>
      <c r="D343" t="inlineStr">
        <is>
          <t>UPPSALA LÄN</t>
        </is>
      </c>
      <c r="E343" t="inlineStr">
        <is>
          <t>TIERP</t>
        </is>
      </c>
      <c r="G343" t="n">
        <v>4.7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24160-2025</t>
        </is>
      </c>
      <c r="B344" s="1" t="n">
        <v>45796.66336805555</v>
      </c>
      <c r="C344" s="1" t="n">
        <v>45890</v>
      </c>
      <c r="D344" t="inlineStr">
        <is>
          <t>UPPSALA LÄN</t>
        </is>
      </c>
      <c r="E344" t="inlineStr">
        <is>
          <t>TIERP</t>
        </is>
      </c>
      <c r="F344" t="inlineStr">
        <is>
          <t>Bergvik skog öst AB</t>
        </is>
      </c>
      <c r="G344" t="n">
        <v>6.4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61013-2020</t>
        </is>
      </c>
      <c r="B345" s="1" t="n">
        <v>44154</v>
      </c>
      <c r="C345" s="1" t="n">
        <v>45890</v>
      </c>
      <c r="D345" t="inlineStr">
        <is>
          <t>UPPSALA LÄN</t>
        </is>
      </c>
      <c r="E345" t="inlineStr">
        <is>
          <t>TIERP</t>
        </is>
      </c>
      <c r="G345" t="n">
        <v>2.7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3561-2023</t>
        </is>
      </c>
      <c r="B346" s="1" t="n">
        <v>44950.47427083334</v>
      </c>
      <c r="C346" s="1" t="n">
        <v>45890</v>
      </c>
      <c r="D346" t="inlineStr">
        <is>
          <t>UPPSALA LÄN</t>
        </is>
      </c>
      <c r="E346" t="inlineStr">
        <is>
          <t>TIERP</t>
        </is>
      </c>
      <c r="G346" t="n">
        <v>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56947-2022</t>
        </is>
      </c>
      <c r="B347" s="1" t="n">
        <v>44894</v>
      </c>
      <c r="C347" s="1" t="n">
        <v>45890</v>
      </c>
      <c r="D347" t="inlineStr">
        <is>
          <t>UPPSALA LÄN</t>
        </is>
      </c>
      <c r="E347" t="inlineStr">
        <is>
          <t>TIERP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8768-2023</t>
        </is>
      </c>
      <c r="B348" s="1" t="n">
        <v>44978.5362037037</v>
      </c>
      <c r="C348" s="1" t="n">
        <v>45890</v>
      </c>
      <c r="D348" t="inlineStr">
        <is>
          <t>UPPSALA LÄN</t>
        </is>
      </c>
      <c r="E348" t="inlineStr">
        <is>
          <t>TIERP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24124-2025</t>
        </is>
      </c>
      <c r="B349" s="1" t="n">
        <v>45796.6252662037</v>
      </c>
      <c r="C349" s="1" t="n">
        <v>45890</v>
      </c>
      <c r="D349" t="inlineStr">
        <is>
          <t>UPPSALA LÄN</t>
        </is>
      </c>
      <c r="E349" t="inlineStr">
        <is>
          <t>TIERP</t>
        </is>
      </c>
      <c r="F349" t="inlineStr">
        <is>
          <t>Bergvik skog öst AB</t>
        </is>
      </c>
      <c r="G349" t="n">
        <v>2.8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12786-2024</t>
        </is>
      </c>
      <c r="B350" s="1" t="n">
        <v>45384.60682870371</v>
      </c>
      <c r="C350" s="1" t="n">
        <v>45890</v>
      </c>
      <c r="D350" t="inlineStr">
        <is>
          <t>UPPSALA LÄN</t>
        </is>
      </c>
      <c r="E350" t="inlineStr">
        <is>
          <t>TIERP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61156-2024</t>
        </is>
      </c>
      <c r="B351" s="1" t="n">
        <v>45645.59362268518</v>
      </c>
      <c r="C351" s="1" t="n">
        <v>45890</v>
      </c>
      <c r="D351" t="inlineStr">
        <is>
          <t>UPPSALA LÄN</t>
        </is>
      </c>
      <c r="E351" t="inlineStr">
        <is>
          <t>TIERP</t>
        </is>
      </c>
      <c r="F351" t="inlineStr">
        <is>
          <t>Bergvik skog väst AB</t>
        </is>
      </c>
      <c r="G351" t="n">
        <v>10.6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34835-2024</t>
        </is>
      </c>
      <c r="B352" s="1" t="n">
        <v>45526</v>
      </c>
      <c r="C352" s="1" t="n">
        <v>45890</v>
      </c>
      <c r="D352" t="inlineStr">
        <is>
          <t>UPPSALA LÄN</t>
        </is>
      </c>
      <c r="E352" t="inlineStr">
        <is>
          <t>TIERP</t>
        </is>
      </c>
      <c r="G352" t="n">
        <v>1.5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5170-2022</t>
        </is>
      </c>
      <c r="B353" s="1" t="n">
        <v>44594.41829861111</v>
      </c>
      <c r="C353" s="1" t="n">
        <v>45890</v>
      </c>
      <c r="D353" t="inlineStr">
        <is>
          <t>UPPSALA LÄN</t>
        </is>
      </c>
      <c r="E353" t="inlineStr">
        <is>
          <t>TIERP</t>
        </is>
      </c>
      <c r="F353" t="inlineStr">
        <is>
          <t>Bergvik skog öst AB</t>
        </is>
      </c>
      <c r="G353" t="n">
        <v>3.5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60314-2024</t>
        </is>
      </c>
      <c r="B354" s="1" t="n">
        <v>45643</v>
      </c>
      <c r="C354" s="1" t="n">
        <v>45890</v>
      </c>
      <c r="D354" t="inlineStr">
        <is>
          <t>UPPSALA LÄN</t>
        </is>
      </c>
      <c r="E354" t="inlineStr">
        <is>
          <t>TIERP</t>
        </is>
      </c>
      <c r="F354" t="inlineStr">
        <is>
          <t>Bergvik skog öst AB</t>
        </is>
      </c>
      <c r="G354" t="n">
        <v>4.4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5963-2023</t>
        </is>
      </c>
      <c r="B355" s="1" t="n">
        <v>44964</v>
      </c>
      <c r="C355" s="1" t="n">
        <v>45890</v>
      </c>
      <c r="D355" t="inlineStr">
        <is>
          <t>UPPSALA LÄN</t>
        </is>
      </c>
      <c r="E355" t="inlineStr">
        <is>
          <t>TIERP</t>
        </is>
      </c>
      <c r="F355" t="inlineStr">
        <is>
          <t>Bergvik skog öst AB</t>
        </is>
      </c>
      <c r="G355" t="n">
        <v>4.1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24807-2025</t>
        </is>
      </c>
      <c r="B356" s="1" t="n">
        <v>45799.44140046297</v>
      </c>
      <c r="C356" s="1" t="n">
        <v>45890</v>
      </c>
      <c r="D356" t="inlineStr">
        <is>
          <t>UPPSALA LÄN</t>
        </is>
      </c>
      <c r="E356" t="inlineStr">
        <is>
          <t>TIERP</t>
        </is>
      </c>
      <c r="F356" t="inlineStr">
        <is>
          <t>Bergvik skog öst AB</t>
        </is>
      </c>
      <c r="G356" t="n">
        <v>0.3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24841-2025</t>
        </is>
      </c>
      <c r="B357" s="1" t="n">
        <v>45799.46578703704</v>
      </c>
      <c r="C357" s="1" t="n">
        <v>45890</v>
      </c>
      <c r="D357" t="inlineStr">
        <is>
          <t>UPPSALA LÄN</t>
        </is>
      </c>
      <c r="E357" t="inlineStr">
        <is>
          <t>TIERP</t>
        </is>
      </c>
      <c r="F357" t="inlineStr">
        <is>
          <t>Bergvik skog öst AB</t>
        </is>
      </c>
      <c r="G357" t="n">
        <v>2.5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17457-2025</t>
        </is>
      </c>
      <c r="B358" s="1" t="n">
        <v>45757.45126157408</v>
      </c>
      <c r="C358" s="1" t="n">
        <v>45890</v>
      </c>
      <c r="D358" t="inlineStr">
        <is>
          <t>UPPSALA LÄN</t>
        </is>
      </c>
      <c r="E358" t="inlineStr">
        <is>
          <t>TIERP</t>
        </is>
      </c>
      <c r="G358" t="n">
        <v>2.6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28346-2022</t>
        </is>
      </c>
      <c r="B359" s="1" t="n">
        <v>44747</v>
      </c>
      <c r="C359" s="1" t="n">
        <v>45890</v>
      </c>
      <c r="D359" t="inlineStr">
        <is>
          <t>UPPSALA LÄN</t>
        </is>
      </c>
      <c r="E359" t="inlineStr">
        <is>
          <t>TIERP</t>
        </is>
      </c>
      <c r="F359" t="inlineStr">
        <is>
          <t>Bergvik skog väst AB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43605-2023</t>
        </is>
      </c>
      <c r="B360" s="1" t="n">
        <v>45181</v>
      </c>
      <c r="C360" s="1" t="n">
        <v>45890</v>
      </c>
      <c r="D360" t="inlineStr">
        <is>
          <t>UPPSALA LÄN</t>
        </is>
      </c>
      <c r="E360" t="inlineStr">
        <is>
          <t>TIERP</t>
        </is>
      </c>
      <c r="G360" t="n">
        <v>2.5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24837-2025</t>
        </is>
      </c>
      <c r="B361" s="1" t="n">
        <v>45799.46256944445</v>
      </c>
      <c r="C361" s="1" t="n">
        <v>45890</v>
      </c>
      <c r="D361" t="inlineStr">
        <is>
          <t>UPPSALA LÄN</t>
        </is>
      </c>
      <c r="E361" t="inlineStr">
        <is>
          <t>TIERP</t>
        </is>
      </c>
      <c r="F361" t="inlineStr">
        <is>
          <t>Bergvik skog öst AB</t>
        </is>
      </c>
      <c r="G361" t="n">
        <v>3.4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37053-2024</t>
        </is>
      </c>
      <c r="B362" s="1" t="n">
        <v>45539.43512731481</v>
      </c>
      <c r="C362" s="1" t="n">
        <v>45890</v>
      </c>
      <c r="D362" t="inlineStr">
        <is>
          <t>UPPSALA LÄN</t>
        </is>
      </c>
      <c r="E362" t="inlineStr">
        <is>
          <t>TIERP</t>
        </is>
      </c>
      <c r="G362" t="n">
        <v>1.7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59534-2022</t>
        </is>
      </c>
      <c r="B363" s="1" t="n">
        <v>44907.56795138889</v>
      </c>
      <c r="C363" s="1" t="n">
        <v>45890</v>
      </c>
      <c r="D363" t="inlineStr">
        <is>
          <t>UPPSALA LÄN</t>
        </is>
      </c>
      <c r="E363" t="inlineStr">
        <is>
          <t>TIERP</t>
        </is>
      </c>
      <c r="G363" t="n">
        <v>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24975-2025</t>
        </is>
      </c>
      <c r="B364" s="1" t="n">
        <v>45799.59126157407</v>
      </c>
      <c r="C364" s="1" t="n">
        <v>45890</v>
      </c>
      <c r="D364" t="inlineStr">
        <is>
          <t>UPPSALA LÄN</t>
        </is>
      </c>
      <c r="E364" t="inlineStr">
        <is>
          <t>TIERP</t>
        </is>
      </c>
      <c r="G364" t="n">
        <v>5.7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13460-2024</t>
        </is>
      </c>
      <c r="B365" s="1" t="n">
        <v>45387.55097222222</v>
      </c>
      <c r="C365" s="1" t="n">
        <v>45890</v>
      </c>
      <c r="D365" t="inlineStr">
        <is>
          <t>UPPSALA LÄN</t>
        </is>
      </c>
      <c r="E365" t="inlineStr">
        <is>
          <t>TIERP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25671-2025</t>
        </is>
      </c>
      <c r="B366" s="1" t="n">
        <v>45803.63006944444</v>
      </c>
      <c r="C366" s="1" t="n">
        <v>45890</v>
      </c>
      <c r="D366" t="inlineStr">
        <is>
          <t>UPPSALA LÄN</t>
        </is>
      </c>
      <c r="E366" t="inlineStr">
        <is>
          <t>TIERP</t>
        </is>
      </c>
      <c r="G366" t="n">
        <v>1.8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56173-2024</t>
        </is>
      </c>
      <c r="B367" s="1" t="n">
        <v>45624.55622685186</v>
      </c>
      <c r="C367" s="1" t="n">
        <v>45890</v>
      </c>
      <c r="D367" t="inlineStr">
        <is>
          <t>UPPSALA LÄN</t>
        </is>
      </c>
      <c r="E367" t="inlineStr">
        <is>
          <t>TIERP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10551-2024</t>
        </is>
      </c>
      <c r="B368" s="1" t="n">
        <v>45366.58351851852</v>
      </c>
      <c r="C368" s="1" t="n">
        <v>45890</v>
      </c>
      <c r="D368" t="inlineStr">
        <is>
          <t>UPPSALA LÄN</t>
        </is>
      </c>
      <c r="E368" t="inlineStr">
        <is>
          <t>TIERP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44774-2024</t>
        </is>
      </c>
      <c r="B369" s="1" t="n">
        <v>45574</v>
      </c>
      <c r="C369" s="1" t="n">
        <v>45890</v>
      </c>
      <c r="D369" t="inlineStr">
        <is>
          <t>UPPSALA LÄN</t>
        </is>
      </c>
      <c r="E369" t="inlineStr">
        <is>
          <t>TIERP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12657-2025</t>
        </is>
      </c>
      <c r="B370" s="1" t="n">
        <v>45733.42229166667</v>
      </c>
      <c r="C370" s="1" t="n">
        <v>45890</v>
      </c>
      <c r="D370" t="inlineStr">
        <is>
          <t>UPPSALA LÄN</t>
        </is>
      </c>
      <c r="E370" t="inlineStr">
        <is>
          <t>TIERP</t>
        </is>
      </c>
      <c r="G370" t="n">
        <v>2.4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12662-2025</t>
        </is>
      </c>
      <c r="B371" s="1" t="n">
        <v>45733.42510416666</v>
      </c>
      <c r="C371" s="1" t="n">
        <v>45890</v>
      </c>
      <c r="D371" t="inlineStr">
        <is>
          <t>UPPSALA LÄN</t>
        </is>
      </c>
      <c r="E371" t="inlineStr">
        <is>
          <t>TIERP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12695-2025</t>
        </is>
      </c>
      <c r="B372" s="1" t="n">
        <v>45733.46116898148</v>
      </c>
      <c r="C372" s="1" t="n">
        <v>45890</v>
      </c>
      <c r="D372" t="inlineStr">
        <is>
          <t>UPPSALA LÄN</t>
        </is>
      </c>
      <c r="E372" t="inlineStr">
        <is>
          <t>TIERP</t>
        </is>
      </c>
      <c r="F372" t="inlineStr">
        <is>
          <t>Bergvik skog väst AB</t>
        </is>
      </c>
      <c r="G372" t="n">
        <v>3.8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22274-2025</t>
        </is>
      </c>
      <c r="B373" s="1" t="n">
        <v>45786</v>
      </c>
      <c r="C373" s="1" t="n">
        <v>45890</v>
      </c>
      <c r="D373" t="inlineStr">
        <is>
          <t>UPPSALA LÄN</t>
        </is>
      </c>
      <c r="E373" t="inlineStr">
        <is>
          <t>TIERP</t>
        </is>
      </c>
      <c r="G373" t="n">
        <v>3.1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61152-2024</t>
        </is>
      </c>
      <c r="B374" s="1" t="n">
        <v>45645</v>
      </c>
      <c r="C374" s="1" t="n">
        <v>45890</v>
      </c>
      <c r="D374" t="inlineStr">
        <is>
          <t>UPPSALA LÄN</t>
        </is>
      </c>
      <c r="E374" t="inlineStr">
        <is>
          <t>TIERP</t>
        </is>
      </c>
      <c r="F374" t="inlineStr">
        <is>
          <t>Bergvik skog väst AB</t>
        </is>
      </c>
      <c r="G374" t="n">
        <v>4.8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56350-2022</t>
        </is>
      </c>
      <c r="B375" s="1" t="n">
        <v>44890</v>
      </c>
      <c r="C375" s="1" t="n">
        <v>45890</v>
      </c>
      <c r="D375" t="inlineStr">
        <is>
          <t>UPPSALA LÄN</t>
        </is>
      </c>
      <c r="E375" t="inlineStr">
        <is>
          <t>TIERP</t>
        </is>
      </c>
      <c r="G375" t="n">
        <v>3.3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36561-2022</t>
        </is>
      </c>
      <c r="B376" s="1" t="n">
        <v>44804</v>
      </c>
      <c r="C376" s="1" t="n">
        <v>45890</v>
      </c>
      <c r="D376" t="inlineStr">
        <is>
          <t>UPPSALA LÄN</t>
        </is>
      </c>
      <c r="E376" t="inlineStr">
        <is>
          <t>TIERP</t>
        </is>
      </c>
      <c r="G376" t="n">
        <v>4.6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38464-2023</t>
        </is>
      </c>
      <c r="B377" s="1" t="n">
        <v>45162.44894675926</v>
      </c>
      <c r="C377" s="1" t="n">
        <v>45890</v>
      </c>
      <c r="D377" t="inlineStr">
        <is>
          <t>UPPSALA LÄN</t>
        </is>
      </c>
      <c r="E377" t="inlineStr">
        <is>
          <t>TIERP</t>
        </is>
      </c>
      <c r="G377" t="n">
        <v>1.4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11308-2025</t>
        </is>
      </c>
      <c r="B378" s="1" t="n">
        <v>45726.44707175926</v>
      </c>
      <c r="C378" s="1" t="n">
        <v>45890</v>
      </c>
      <c r="D378" t="inlineStr">
        <is>
          <t>UPPSALA LÄN</t>
        </is>
      </c>
      <c r="E378" t="inlineStr">
        <is>
          <t>TIERP</t>
        </is>
      </c>
      <c r="F378" t="inlineStr">
        <is>
          <t>Bergvik skog öst AB</t>
        </is>
      </c>
      <c r="G378" t="n">
        <v>13.5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25927-2025</t>
        </is>
      </c>
      <c r="B379" s="1" t="n">
        <v>45804.57641203704</v>
      </c>
      <c r="C379" s="1" t="n">
        <v>45890</v>
      </c>
      <c r="D379" t="inlineStr">
        <is>
          <t>UPPSALA LÄN</t>
        </is>
      </c>
      <c r="E379" t="inlineStr">
        <is>
          <t>TIERP</t>
        </is>
      </c>
      <c r="F379" t="inlineStr">
        <is>
          <t>Bergvik skog öst AB</t>
        </is>
      </c>
      <c r="G379" t="n">
        <v>1.8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61230-2024</t>
        </is>
      </c>
      <c r="B380" s="1" t="n">
        <v>45645</v>
      </c>
      <c r="C380" s="1" t="n">
        <v>45890</v>
      </c>
      <c r="D380" t="inlineStr">
        <is>
          <t>UPPSALA LÄN</t>
        </is>
      </c>
      <c r="E380" t="inlineStr">
        <is>
          <t>TIERP</t>
        </is>
      </c>
      <c r="G380" t="n">
        <v>1.8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  <c r="U380">
        <f>HYPERLINK("https://klasma.github.io/Logging_0360/knärot/A 61230-2024 karta knärot.png", "A 61230-2024")</f>
        <v/>
      </c>
      <c r="V380">
        <f>HYPERLINK("https://klasma.github.io/Logging_0360/klagomål/A 61230-2024 FSC-klagomål.docx", "A 61230-2024")</f>
        <v/>
      </c>
      <c r="W380">
        <f>HYPERLINK("https://klasma.github.io/Logging_0360/klagomålsmail/A 61230-2024 FSC-klagomål mail.docx", "A 61230-2024")</f>
        <v/>
      </c>
      <c r="X380">
        <f>HYPERLINK("https://klasma.github.io/Logging_0360/tillsyn/A 61230-2024 tillsynsbegäran.docx", "A 61230-2024")</f>
        <v/>
      </c>
      <c r="Y380">
        <f>HYPERLINK("https://klasma.github.io/Logging_0360/tillsynsmail/A 61230-2024 tillsynsbegäran mail.docx", "A 61230-2024")</f>
        <v/>
      </c>
    </row>
    <row r="381" ht="15" customHeight="1">
      <c r="A381" t="inlineStr">
        <is>
          <t>A 26040-2025</t>
        </is>
      </c>
      <c r="B381" s="1" t="n">
        <v>45804.69550925926</v>
      </c>
      <c r="C381" s="1" t="n">
        <v>45890</v>
      </c>
      <c r="D381" t="inlineStr">
        <is>
          <t>UPPSALA LÄN</t>
        </is>
      </c>
      <c r="E381" t="inlineStr">
        <is>
          <t>TIERP</t>
        </is>
      </c>
      <c r="F381" t="inlineStr">
        <is>
          <t>Bergvik skog öst AB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26321-2025</t>
        </is>
      </c>
      <c r="B382" s="1" t="n">
        <v>45805</v>
      </c>
      <c r="C382" s="1" t="n">
        <v>45890</v>
      </c>
      <c r="D382" t="inlineStr">
        <is>
          <t>UPPSALA LÄN</t>
        </is>
      </c>
      <c r="E382" t="inlineStr">
        <is>
          <t>TIERP</t>
        </is>
      </c>
      <c r="G382" t="n">
        <v>3.8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25953-2025</t>
        </is>
      </c>
      <c r="B383" s="1" t="n">
        <v>45804.60184027778</v>
      </c>
      <c r="C383" s="1" t="n">
        <v>45890</v>
      </c>
      <c r="D383" t="inlineStr">
        <is>
          <t>UPPSALA LÄN</t>
        </is>
      </c>
      <c r="E383" t="inlineStr">
        <is>
          <t>TIERP</t>
        </is>
      </c>
      <c r="F383" t="inlineStr">
        <is>
          <t>Bergvik skog öst AB</t>
        </is>
      </c>
      <c r="G383" t="n">
        <v>4.7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60154-2022</t>
        </is>
      </c>
      <c r="B384" s="1" t="n">
        <v>44909</v>
      </c>
      <c r="C384" s="1" t="n">
        <v>45890</v>
      </c>
      <c r="D384" t="inlineStr">
        <is>
          <t>UPPSALA LÄN</t>
        </is>
      </c>
      <c r="E384" t="inlineStr">
        <is>
          <t>TIERP</t>
        </is>
      </c>
      <c r="G384" t="n">
        <v>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10550-2024</t>
        </is>
      </c>
      <c r="B385" s="1" t="n">
        <v>45366.5775462963</v>
      </c>
      <c r="C385" s="1" t="n">
        <v>45890</v>
      </c>
      <c r="D385" t="inlineStr">
        <is>
          <t>UPPSALA LÄN</t>
        </is>
      </c>
      <c r="E385" t="inlineStr">
        <is>
          <t>TIERP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25900-2025</t>
        </is>
      </c>
      <c r="B386" s="1" t="n">
        <v>45804.54819444445</v>
      </c>
      <c r="C386" s="1" t="n">
        <v>45890</v>
      </c>
      <c r="D386" t="inlineStr">
        <is>
          <t>UPPSALA LÄN</t>
        </is>
      </c>
      <c r="E386" t="inlineStr">
        <is>
          <t>TIERP</t>
        </is>
      </c>
      <c r="F386" t="inlineStr">
        <is>
          <t>Bergvik skog öst AB</t>
        </is>
      </c>
      <c r="G386" t="n">
        <v>1.4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6075-2023</t>
        </is>
      </c>
      <c r="B387" s="1" t="n">
        <v>44964.52627314815</v>
      </c>
      <c r="C387" s="1" t="n">
        <v>45890</v>
      </c>
      <c r="D387" t="inlineStr">
        <is>
          <t>UPPSALA LÄN</t>
        </is>
      </c>
      <c r="E387" t="inlineStr">
        <is>
          <t>TIERP</t>
        </is>
      </c>
      <c r="F387" t="inlineStr">
        <is>
          <t>Bergvik skog öst AB</t>
        </is>
      </c>
      <c r="G387" t="n">
        <v>2.6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4329-2023</t>
        </is>
      </c>
      <c r="B388" s="1" t="n">
        <v>44953</v>
      </c>
      <c r="C388" s="1" t="n">
        <v>45890</v>
      </c>
      <c r="D388" t="inlineStr">
        <is>
          <t>UPPSALA LÄN</t>
        </is>
      </c>
      <c r="E388" t="inlineStr">
        <is>
          <t>TIERP</t>
        </is>
      </c>
      <c r="G388" t="n">
        <v>4.9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34922-2025</t>
        </is>
      </c>
      <c r="B389" s="1" t="n">
        <v>45849.55525462963</v>
      </c>
      <c r="C389" s="1" t="n">
        <v>45890</v>
      </c>
      <c r="D389" t="inlineStr">
        <is>
          <t>UPPSALA LÄN</t>
        </is>
      </c>
      <c r="E389" t="inlineStr">
        <is>
          <t>TIERP</t>
        </is>
      </c>
      <c r="G389" t="n">
        <v>4.7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26559-2025</t>
        </is>
      </c>
      <c r="B390" s="1" t="n">
        <v>45807.63822916667</v>
      </c>
      <c r="C390" s="1" t="n">
        <v>45890</v>
      </c>
      <c r="D390" t="inlineStr">
        <is>
          <t>UPPSALA LÄN</t>
        </is>
      </c>
      <c r="E390" t="inlineStr">
        <is>
          <t>TIERP</t>
        </is>
      </c>
      <c r="G390" t="n">
        <v>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26541-2025</t>
        </is>
      </c>
      <c r="B391" s="1" t="n">
        <v>45807.58495370371</v>
      </c>
      <c r="C391" s="1" t="n">
        <v>45890</v>
      </c>
      <c r="D391" t="inlineStr">
        <is>
          <t>UPPSALA LÄN</t>
        </is>
      </c>
      <c r="E391" t="inlineStr">
        <is>
          <t>TIERP</t>
        </is>
      </c>
      <c r="G391" t="n">
        <v>10.6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26547-2025</t>
        </is>
      </c>
      <c r="B392" s="1" t="n">
        <v>45807.59391203704</v>
      </c>
      <c r="C392" s="1" t="n">
        <v>45890</v>
      </c>
      <c r="D392" t="inlineStr">
        <is>
          <t>UPPSALA LÄN</t>
        </is>
      </c>
      <c r="E392" t="inlineStr">
        <is>
          <t>TIERP</t>
        </is>
      </c>
      <c r="G392" t="n">
        <v>9.4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26555-2025</t>
        </is>
      </c>
      <c r="B393" s="1" t="n">
        <v>45807.61832175926</v>
      </c>
      <c r="C393" s="1" t="n">
        <v>45890</v>
      </c>
      <c r="D393" t="inlineStr">
        <is>
          <t>UPPSALA LÄN</t>
        </is>
      </c>
      <c r="E393" t="inlineStr">
        <is>
          <t>TIERP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57142-2023</t>
        </is>
      </c>
      <c r="B394" s="1" t="n">
        <v>45245.39725694444</v>
      </c>
      <c r="C394" s="1" t="n">
        <v>45890</v>
      </c>
      <c r="D394" t="inlineStr">
        <is>
          <t>UPPSALA LÄN</t>
        </is>
      </c>
      <c r="E394" t="inlineStr">
        <is>
          <t>TIERP</t>
        </is>
      </c>
      <c r="G394" t="n">
        <v>3.2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26556-2025</t>
        </is>
      </c>
      <c r="B395" s="1" t="n">
        <v>45807.62752314815</v>
      </c>
      <c r="C395" s="1" t="n">
        <v>45890</v>
      </c>
      <c r="D395" t="inlineStr">
        <is>
          <t>UPPSALA LÄN</t>
        </is>
      </c>
      <c r="E395" t="inlineStr">
        <is>
          <t>TIERP</t>
        </is>
      </c>
      <c r="G395" t="n">
        <v>2.6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23312-2025</t>
        </is>
      </c>
      <c r="B396" s="1" t="n">
        <v>45791</v>
      </c>
      <c r="C396" s="1" t="n">
        <v>45890</v>
      </c>
      <c r="D396" t="inlineStr">
        <is>
          <t>UPPSALA LÄN</t>
        </is>
      </c>
      <c r="E396" t="inlineStr">
        <is>
          <t>TIERP</t>
        </is>
      </c>
      <c r="G396" t="n">
        <v>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41389-2024</t>
        </is>
      </c>
      <c r="B397" s="1" t="n">
        <v>45560</v>
      </c>
      <c r="C397" s="1" t="n">
        <v>45890</v>
      </c>
      <c r="D397" t="inlineStr">
        <is>
          <t>UPPSALA LÄN</t>
        </is>
      </c>
      <c r="E397" t="inlineStr">
        <is>
          <t>TIERP</t>
        </is>
      </c>
      <c r="F397" t="inlineStr">
        <is>
          <t>Bergvik skog öst AB</t>
        </is>
      </c>
      <c r="G397" t="n">
        <v>0.3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34730-2025</t>
        </is>
      </c>
      <c r="B398" s="1" t="n">
        <v>45848.58708333333</v>
      </c>
      <c r="C398" s="1" t="n">
        <v>45890</v>
      </c>
      <c r="D398" t="inlineStr">
        <is>
          <t>UPPSALA LÄN</t>
        </is>
      </c>
      <c r="E398" t="inlineStr">
        <is>
          <t>TIERP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34980-2024</t>
        </is>
      </c>
      <c r="B399" s="1" t="n">
        <v>45527</v>
      </c>
      <c r="C399" s="1" t="n">
        <v>45890</v>
      </c>
      <c r="D399" t="inlineStr">
        <is>
          <t>UPPSALA LÄN</t>
        </is>
      </c>
      <c r="E399" t="inlineStr">
        <is>
          <t>TIERP</t>
        </is>
      </c>
      <c r="G399" t="n">
        <v>4.6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34082-2023</t>
        </is>
      </c>
      <c r="B400" s="1" t="n">
        <v>45135</v>
      </c>
      <c r="C400" s="1" t="n">
        <v>45890</v>
      </c>
      <c r="D400" t="inlineStr">
        <is>
          <t>UPPSALA LÄN</t>
        </is>
      </c>
      <c r="E400" t="inlineStr">
        <is>
          <t>TIERP</t>
        </is>
      </c>
      <c r="F400" t="inlineStr">
        <is>
          <t>Bergvik skog öst AB</t>
        </is>
      </c>
      <c r="G400" t="n">
        <v>2.2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54737-2023</t>
        </is>
      </c>
      <c r="B401" s="1" t="n">
        <v>45229</v>
      </c>
      <c r="C401" s="1" t="n">
        <v>45890</v>
      </c>
      <c r="D401" t="inlineStr">
        <is>
          <t>UPPSALA LÄN</t>
        </is>
      </c>
      <c r="E401" t="inlineStr">
        <is>
          <t>TIERP</t>
        </is>
      </c>
      <c r="F401" t="inlineStr">
        <is>
          <t>Bergvik skog väst AB</t>
        </is>
      </c>
      <c r="G401" t="n">
        <v>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35118-2025</t>
        </is>
      </c>
      <c r="B402" s="1" t="n">
        <v>45852.59546296296</v>
      </c>
      <c r="C402" s="1" t="n">
        <v>45890</v>
      </c>
      <c r="D402" t="inlineStr">
        <is>
          <t>UPPSALA LÄN</t>
        </is>
      </c>
      <c r="E402" t="inlineStr">
        <is>
          <t>TIERP</t>
        </is>
      </c>
      <c r="F402" t="inlineStr">
        <is>
          <t>Bergvik skog väst AB</t>
        </is>
      </c>
      <c r="G402" t="n">
        <v>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17642-2025</t>
        </is>
      </c>
      <c r="B403" s="1" t="n">
        <v>45758</v>
      </c>
      <c r="C403" s="1" t="n">
        <v>45890</v>
      </c>
      <c r="D403" t="inlineStr">
        <is>
          <t>UPPSALA LÄN</t>
        </is>
      </c>
      <c r="E403" t="inlineStr">
        <is>
          <t>TIERP</t>
        </is>
      </c>
      <c r="F403" t="inlineStr">
        <is>
          <t>Bergvik skog väst AB</t>
        </is>
      </c>
      <c r="G403" t="n">
        <v>5.4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7068-2022</t>
        </is>
      </c>
      <c r="B404" s="1" t="n">
        <v>44603</v>
      </c>
      <c r="C404" s="1" t="n">
        <v>45890</v>
      </c>
      <c r="D404" t="inlineStr">
        <is>
          <t>UPPSALA LÄN</t>
        </is>
      </c>
      <c r="E404" t="inlineStr">
        <is>
          <t>TIERP</t>
        </is>
      </c>
      <c r="G404" t="n">
        <v>5.2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35196-2025</t>
        </is>
      </c>
      <c r="B405" s="1" t="n">
        <v>45853</v>
      </c>
      <c r="C405" s="1" t="n">
        <v>45890</v>
      </c>
      <c r="D405" t="inlineStr">
        <is>
          <t>UPPSALA LÄN</t>
        </is>
      </c>
      <c r="E405" t="inlineStr">
        <is>
          <t>TIERP</t>
        </is>
      </c>
      <c r="G405" t="n">
        <v>2.6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11529-2022</t>
        </is>
      </c>
      <c r="B406" s="1" t="n">
        <v>44631.38126157408</v>
      </c>
      <c r="C406" s="1" t="n">
        <v>45890</v>
      </c>
      <c r="D406" t="inlineStr">
        <is>
          <t>UPPSALA LÄN</t>
        </is>
      </c>
      <c r="E406" t="inlineStr">
        <is>
          <t>TIERP</t>
        </is>
      </c>
      <c r="G406" t="n">
        <v>2.4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26714-2025</t>
        </is>
      </c>
      <c r="B407" s="1" t="n">
        <v>45810.47152777778</v>
      </c>
      <c r="C407" s="1" t="n">
        <v>45890</v>
      </c>
      <c r="D407" t="inlineStr">
        <is>
          <t>UPPSALA LÄN</t>
        </is>
      </c>
      <c r="E407" t="inlineStr">
        <is>
          <t>TIERP</t>
        </is>
      </c>
      <c r="G407" t="n">
        <v>2.2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35195-2025</t>
        </is>
      </c>
      <c r="B408" s="1" t="n">
        <v>45853.36192129629</v>
      </c>
      <c r="C408" s="1" t="n">
        <v>45890</v>
      </c>
      <c r="D408" t="inlineStr">
        <is>
          <t>UPPSALA LÄN</t>
        </is>
      </c>
      <c r="E408" t="inlineStr">
        <is>
          <t>TIERP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35011-2025</t>
        </is>
      </c>
      <c r="B409" s="1" t="n">
        <v>45851.55418981481</v>
      </c>
      <c r="C409" s="1" t="n">
        <v>45890</v>
      </c>
      <c r="D409" t="inlineStr">
        <is>
          <t>UPPSALA LÄN</t>
        </is>
      </c>
      <c r="E409" t="inlineStr">
        <is>
          <t>TIERP</t>
        </is>
      </c>
      <c r="F409" t="inlineStr">
        <is>
          <t>Bergvik skog väst AB</t>
        </is>
      </c>
      <c r="G409" t="n">
        <v>1.4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35108-2025</t>
        </is>
      </c>
      <c r="B410" s="1" t="n">
        <v>45852.5746412037</v>
      </c>
      <c r="C410" s="1" t="n">
        <v>45890</v>
      </c>
      <c r="D410" t="inlineStr">
        <is>
          <t>UPPSALA LÄN</t>
        </is>
      </c>
      <c r="E410" t="inlineStr">
        <is>
          <t>TIERP</t>
        </is>
      </c>
      <c r="F410" t="inlineStr">
        <is>
          <t>Bergvik skog väst AB</t>
        </is>
      </c>
      <c r="G410" t="n">
        <v>0.3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35112-2025</t>
        </is>
      </c>
      <c r="B411" s="1" t="n">
        <v>45852.58104166666</v>
      </c>
      <c r="C411" s="1" t="n">
        <v>45890</v>
      </c>
      <c r="D411" t="inlineStr">
        <is>
          <t>UPPSALA LÄN</t>
        </is>
      </c>
      <c r="E411" t="inlineStr">
        <is>
          <t>TIERP</t>
        </is>
      </c>
      <c r="F411" t="inlineStr">
        <is>
          <t>Bergvik skog väst AB</t>
        </is>
      </c>
      <c r="G411" t="n">
        <v>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35013-2025</t>
        </is>
      </c>
      <c r="B412" s="1" t="n">
        <v>45851.55748842593</v>
      </c>
      <c r="C412" s="1" t="n">
        <v>45890</v>
      </c>
      <c r="D412" t="inlineStr">
        <is>
          <t>UPPSALA LÄN</t>
        </is>
      </c>
      <c r="E412" t="inlineStr">
        <is>
          <t>TIERP</t>
        </is>
      </c>
      <c r="F412" t="inlineStr">
        <is>
          <t>Bergvik skog väst AB</t>
        </is>
      </c>
      <c r="G412" t="n">
        <v>2.6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7065-2024</t>
        </is>
      </c>
      <c r="B413" s="1" t="n">
        <v>45343.66717592593</v>
      </c>
      <c r="C413" s="1" t="n">
        <v>45890</v>
      </c>
      <c r="D413" t="inlineStr">
        <is>
          <t>UPPSALA LÄN</t>
        </is>
      </c>
      <c r="E413" t="inlineStr">
        <is>
          <t>TIERP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35012-2025</t>
        </is>
      </c>
      <c r="B414" s="1" t="n">
        <v>45851.55586805556</v>
      </c>
      <c r="C414" s="1" t="n">
        <v>45890</v>
      </c>
      <c r="D414" t="inlineStr">
        <is>
          <t>UPPSALA LÄN</t>
        </is>
      </c>
      <c r="E414" t="inlineStr">
        <is>
          <t>TIERP</t>
        </is>
      </c>
      <c r="F414" t="inlineStr">
        <is>
          <t>Bergvik skog väst AB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35119-2025</t>
        </is>
      </c>
      <c r="B415" s="1" t="n">
        <v>45852.60275462963</v>
      </c>
      <c r="C415" s="1" t="n">
        <v>45890</v>
      </c>
      <c r="D415" t="inlineStr">
        <is>
          <t>UPPSALA LÄN</t>
        </is>
      </c>
      <c r="E415" t="inlineStr">
        <is>
          <t>TIERP</t>
        </is>
      </c>
      <c r="F415" t="inlineStr">
        <is>
          <t>Bergvik skog väst AB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48403-2022</t>
        </is>
      </c>
      <c r="B416" s="1" t="n">
        <v>44858.61703703704</v>
      </c>
      <c r="C416" s="1" t="n">
        <v>45890</v>
      </c>
      <c r="D416" t="inlineStr">
        <is>
          <t>UPPSALA LÄN</t>
        </is>
      </c>
      <c r="E416" t="inlineStr">
        <is>
          <t>TIERP</t>
        </is>
      </c>
      <c r="G416" t="n">
        <v>1.4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35105-2025</t>
        </is>
      </c>
      <c r="B417" s="1" t="n">
        <v>45852.57078703704</v>
      </c>
      <c r="C417" s="1" t="n">
        <v>45890</v>
      </c>
      <c r="D417" t="inlineStr">
        <is>
          <t>UPPSALA LÄN</t>
        </is>
      </c>
      <c r="E417" t="inlineStr">
        <is>
          <t>TIERP</t>
        </is>
      </c>
      <c r="F417" t="inlineStr">
        <is>
          <t>Bergvik skog väst AB</t>
        </is>
      </c>
      <c r="G417" t="n">
        <v>2.1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35122-2025</t>
        </is>
      </c>
      <c r="B418" s="1" t="n">
        <v>45852.61168981482</v>
      </c>
      <c r="C418" s="1" t="n">
        <v>45890</v>
      </c>
      <c r="D418" t="inlineStr">
        <is>
          <t>UPPSALA LÄN</t>
        </is>
      </c>
      <c r="E418" t="inlineStr">
        <is>
          <t>TIERP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15574-2024</t>
        </is>
      </c>
      <c r="B419" s="1" t="n">
        <v>45401.68577546296</v>
      </c>
      <c r="C419" s="1" t="n">
        <v>45890</v>
      </c>
      <c r="D419" t="inlineStr">
        <is>
          <t>UPPSALA LÄN</t>
        </is>
      </c>
      <c r="E419" t="inlineStr">
        <is>
          <t>TIERP</t>
        </is>
      </c>
      <c r="F419" t="inlineStr">
        <is>
          <t>Bergvik skog väst AB</t>
        </is>
      </c>
      <c r="G419" t="n">
        <v>2.6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43640-2024</t>
        </is>
      </c>
      <c r="B420" s="1" t="n">
        <v>45569</v>
      </c>
      <c r="C420" s="1" t="n">
        <v>45890</v>
      </c>
      <c r="D420" t="inlineStr">
        <is>
          <t>UPPSALA LÄN</t>
        </is>
      </c>
      <c r="E420" t="inlineStr">
        <is>
          <t>TIERP</t>
        </is>
      </c>
      <c r="F420" t="inlineStr">
        <is>
          <t>Bergvik skog öst AB</t>
        </is>
      </c>
      <c r="G420" t="n">
        <v>2.1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8772-2023</t>
        </is>
      </c>
      <c r="B421" s="1" t="n">
        <v>44978.5591087963</v>
      </c>
      <c r="C421" s="1" t="n">
        <v>45890</v>
      </c>
      <c r="D421" t="inlineStr">
        <is>
          <t>UPPSALA LÄN</t>
        </is>
      </c>
      <c r="E421" t="inlineStr">
        <is>
          <t>TIERP</t>
        </is>
      </c>
      <c r="G421" t="n">
        <v>2.4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8774-2023</t>
        </is>
      </c>
      <c r="B422" s="1" t="n">
        <v>44978.56202546296</v>
      </c>
      <c r="C422" s="1" t="n">
        <v>45890</v>
      </c>
      <c r="D422" t="inlineStr">
        <is>
          <t>UPPSALA LÄN</t>
        </is>
      </c>
      <c r="E422" t="inlineStr">
        <is>
          <t>TIERP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27382-2025</t>
        </is>
      </c>
      <c r="B423" s="1" t="n">
        <v>45812.66421296296</v>
      </c>
      <c r="C423" s="1" t="n">
        <v>45890</v>
      </c>
      <c r="D423" t="inlineStr">
        <is>
          <t>UPPSALA LÄN</t>
        </is>
      </c>
      <c r="E423" t="inlineStr">
        <is>
          <t>TIERP</t>
        </is>
      </c>
      <c r="F423" t="inlineStr">
        <is>
          <t>Bergvik skog väst AB</t>
        </is>
      </c>
      <c r="G423" t="n">
        <v>3.5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27360-2025</t>
        </is>
      </c>
      <c r="B424" s="1" t="n">
        <v>45812.63758101852</v>
      </c>
      <c r="C424" s="1" t="n">
        <v>45890</v>
      </c>
      <c r="D424" t="inlineStr">
        <is>
          <t>UPPSALA LÄN</t>
        </is>
      </c>
      <c r="E424" t="inlineStr">
        <is>
          <t>TIERP</t>
        </is>
      </c>
      <c r="F424" t="inlineStr">
        <is>
          <t>Bergvik skog öst AB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27268-2025</t>
        </is>
      </c>
      <c r="B425" s="1" t="n">
        <v>45812.49177083333</v>
      </c>
      <c r="C425" s="1" t="n">
        <v>45890</v>
      </c>
      <c r="D425" t="inlineStr">
        <is>
          <t>UPPSALA LÄN</t>
        </is>
      </c>
      <c r="E425" t="inlineStr">
        <is>
          <t>TIERP</t>
        </is>
      </c>
      <c r="G425" t="n">
        <v>3.1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27270-2025</t>
        </is>
      </c>
      <c r="B426" s="1" t="n">
        <v>45812.4972337963</v>
      </c>
      <c r="C426" s="1" t="n">
        <v>45890</v>
      </c>
      <c r="D426" t="inlineStr">
        <is>
          <t>UPPSALA LÄN</t>
        </is>
      </c>
      <c r="E426" t="inlineStr">
        <is>
          <t>TIERP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27629-2025</t>
        </is>
      </c>
      <c r="B427" s="1" t="n">
        <v>45813.55859953703</v>
      </c>
      <c r="C427" s="1" t="n">
        <v>45890</v>
      </c>
      <c r="D427" t="inlineStr">
        <is>
          <t>UPPSALA LÄN</t>
        </is>
      </c>
      <c r="E427" t="inlineStr">
        <is>
          <t>TIERP</t>
        </is>
      </c>
      <c r="F427" t="inlineStr">
        <is>
          <t>Bergvik skog väst AB</t>
        </is>
      </c>
      <c r="G427" t="n">
        <v>24.6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27252-2025</t>
        </is>
      </c>
      <c r="B428" s="1" t="n">
        <v>45812.47153935185</v>
      </c>
      <c r="C428" s="1" t="n">
        <v>45890</v>
      </c>
      <c r="D428" t="inlineStr">
        <is>
          <t>UPPSALA LÄN</t>
        </is>
      </c>
      <c r="E428" t="inlineStr">
        <is>
          <t>TIERP</t>
        </is>
      </c>
      <c r="F428" t="inlineStr">
        <is>
          <t>Bergvik skog öst AB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27269-2025</t>
        </is>
      </c>
      <c r="B429" s="1" t="n">
        <v>45812.49445601852</v>
      </c>
      <c r="C429" s="1" t="n">
        <v>45890</v>
      </c>
      <c r="D429" t="inlineStr">
        <is>
          <t>UPPSALA LÄN</t>
        </is>
      </c>
      <c r="E429" t="inlineStr">
        <is>
          <t>TIERP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20317-2025</t>
        </is>
      </c>
      <c r="B430" s="1" t="n">
        <v>45775</v>
      </c>
      <c r="C430" s="1" t="n">
        <v>45890</v>
      </c>
      <c r="D430" t="inlineStr">
        <is>
          <t>UPPSALA LÄN</t>
        </is>
      </c>
      <c r="E430" t="inlineStr">
        <is>
          <t>TIERP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2899-2023</t>
        </is>
      </c>
      <c r="B431" s="1" t="n">
        <v>44945</v>
      </c>
      <c r="C431" s="1" t="n">
        <v>45890</v>
      </c>
      <c r="D431" t="inlineStr">
        <is>
          <t>UPPSALA LÄN</t>
        </is>
      </c>
      <c r="E431" t="inlineStr">
        <is>
          <t>TIERP</t>
        </is>
      </c>
      <c r="G431" t="n">
        <v>1.7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16631-2023</t>
        </is>
      </c>
      <c r="B432" s="1" t="n">
        <v>45030</v>
      </c>
      <c r="C432" s="1" t="n">
        <v>45890</v>
      </c>
      <c r="D432" t="inlineStr">
        <is>
          <t>UPPSALA LÄN</t>
        </is>
      </c>
      <c r="E432" t="inlineStr">
        <is>
          <t>TIERP</t>
        </is>
      </c>
      <c r="F432" t="inlineStr">
        <is>
          <t>Bergvik skog väst AB</t>
        </is>
      </c>
      <c r="G432" t="n">
        <v>0.3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36150-2021</t>
        </is>
      </c>
      <c r="B433" s="1" t="n">
        <v>44389</v>
      </c>
      <c r="C433" s="1" t="n">
        <v>45890</v>
      </c>
      <c r="D433" t="inlineStr">
        <is>
          <t>UPPSALA LÄN</t>
        </is>
      </c>
      <c r="E433" t="inlineStr">
        <is>
          <t>TIERP</t>
        </is>
      </c>
      <c r="F433" t="inlineStr">
        <is>
          <t>Bergvik skog öst AB</t>
        </is>
      </c>
      <c r="G433" t="n">
        <v>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60011-2024</t>
        </is>
      </c>
      <c r="B434" s="1" t="n">
        <v>45642</v>
      </c>
      <c r="C434" s="1" t="n">
        <v>45890</v>
      </c>
      <c r="D434" t="inlineStr">
        <is>
          <t>UPPSALA LÄN</t>
        </is>
      </c>
      <c r="E434" t="inlineStr">
        <is>
          <t>TIERP</t>
        </is>
      </c>
      <c r="G434" t="n">
        <v>1.6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18110-2025</t>
        </is>
      </c>
      <c r="B435" s="1" t="n">
        <v>45761.56990740741</v>
      </c>
      <c r="C435" s="1" t="n">
        <v>45890</v>
      </c>
      <c r="D435" t="inlineStr">
        <is>
          <t>UPPSALA LÄN</t>
        </is>
      </c>
      <c r="E435" t="inlineStr">
        <is>
          <t>TIERP</t>
        </is>
      </c>
      <c r="F435" t="inlineStr">
        <is>
          <t>Bergvik skog väst AB</t>
        </is>
      </c>
      <c r="G435" t="n">
        <v>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20750-2023</t>
        </is>
      </c>
      <c r="B436" s="1" t="n">
        <v>45058.53024305555</v>
      </c>
      <c r="C436" s="1" t="n">
        <v>45890</v>
      </c>
      <c r="D436" t="inlineStr">
        <is>
          <t>UPPSALA LÄN</t>
        </is>
      </c>
      <c r="E436" t="inlineStr">
        <is>
          <t>TIERP</t>
        </is>
      </c>
      <c r="G436" t="n">
        <v>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48970-2021</t>
        </is>
      </c>
      <c r="B437" s="1" t="n">
        <v>44453</v>
      </c>
      <c r="C437" s="1" t="n">
        <v>45890</v>
      </c>
      <c r="D437" t="inlineStr">
        <is>
          <t>UPPSALA LÄN</t>
        </is>
      </c>
      <c r="E437" t="inlineStr">
        <is>
          <t>TIERP</t>
        </is>
      </c>
      <c r="G437" t="n">
        <v>4.5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22393-2024</t>
        </is>
      </c>
      <c r="B438" s="1" t="n">
        <v>45446</v>
      </c>
      <c r="C438" s="1" t="n">
        <v>45890</v>
      </c>
      <c r="D438" t="inlineStr">
        <is>
          <t>UPPSALA LÄN</t>
        </is>
      </c>
      <c r="E438" t="inlineStr">
        <is>
          <t>TIERP</t>
        </is>
      </c>
      <c r="F438" t="inlineStr">
        <is>
          <t>Bergvik skog väst AB</t>
        </is>
      </c>
      <c r="G438" t="n">
        <v>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4409-2023</t>
        </is>
      </c>
      <c r="B439" s="1" t="n">
        <v>44956.36935185185</v>
      </c>
      <c r="C439" s="1" t="n">
        <v>45890</v>
      </c>
      <c r="D439" t="inlineStr">
        <is>
          <t>UPPSALA LÄN</t>
        </is>
      </c>
      <c r="E439" t="inlineStr">
        <is>
          <t>TIERP</t>
        </is>
      </c>
      <c r="F439" t="inlineStr">
        <is>
          <t>Bergvik skog öst AB</t>
        </is>
      </c>
      <c r="G439" t="n">
        <v>3.7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26161-2022</t>
        </is>
      </c>
      <c r="B440" s="1" t="n">
        <v>44735</v>
      </c>
      <c r="C440" s="1" t="n">
        <v>45890</v>
      </c>
      <c r="D440" t="inlineStr">
        <is>
          <t>UPPSALA LÄN</t>
        </is>
      </c>
      <c r="E440" t="inlineStr">
        <is>
          <t>TIERP</t>
        </is>
      </c>
      <c r="G440" t="n">
        <v>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319-2023</t>
        </is>
      </c>
      <c r="B441" s="1" t="n">
        <v>44929</v>
      </c>
      <c r="C441" s="1" t="n">
        <v>45890</v>
      </c>
      <c r="D441" t="inlineStr">
        <is>
          <t>UPPSALA LÄN</t>
        </is>
      </c>
      <c r="E441" t="inlineStr">
        <is>
          <t>TIERP</t>
        </is>
      </c>
      <c r="G441" t="n">
        <v>0.7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59658-2024</t>
        </is>
      </c>
      <c r="B442" s="1" t="n">
        <v>45639</v>
      </c>
      <c r="C442" s="1" t="n">
        <v>45890</v>
      </c>
      <c r="D442" t="inlineStr">
        <is>
          <t>UPPSALA LÄN</t>
        </is>
      </c>
      <c r="E442" t="inlineStr">
        <is>
          <t>TIERP</t>
        </is>
      </c>
      <c r="G442" t="n">
        <v>4.9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45769-2022</t>
        </is>
      </c>
      <c r="B443" s="1" t="n">
        <v>44846.38762731481</v>
      </c>
      <c r="C443" s="1" t="n">
        <v>45890</v>
      </c>
      <c r="D443" t="inlineStr">
        <is>
          <t>UPPSALA LÄN</t>
        </is>
      </c>
      <c r="E443" t="inlineStr">
        <is>
          <t>TIERP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59731-2022</t>
        </is>
      </c>
      <c r="B444" s="1" t="n">
        <v>44908</v>
      </c>
      <c r="C444" s="1" t="n">
        <v>45890</v>
      </c>
      <c r="D444" t="inlineStr">
        <is>
          <t>UPPSALA LÄN</t>
        </is>
      </c>
      <c r="E444" t="inlineStr">
        <is>
          <t>TIERP</t>
        </is>
      </c>
      <c r="F444" t="inlineStr">
        <is>
          <t>Kyrkan</t>
        </is>
      </c>
      <c r="G444" t="n">
        <v>0.4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20021-2025</t>
        </is>
      </c>
      <c r="B445" s="1" t="n">
        <v>45772.33785879629</v>
      </c>
      <c r="C445" s="1" t="n">
        <v>45890</v>
      </c>
      <c r="D445" t="inlineStr">
        <is>
          <t>UPPSALA LÄN</t>
        </is>
      </c>
      <c r="E445" t="inlineStr">
        <is>
          <t>TIERP</t>
        </is>
      </c>
      <c r="F445" t="inlineStr">
        <is>
          <t>Kyrkan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2266-2023</t>
        </is>
      </c>
      <c r="B446" s="1" t="n">
        <v>44942.49743055556</v>
      </c>
      <c r="C446" s="1" t="n">
        <v>45890</v>
      </c>
      <c r="D446" t="inlineStr">
        <is>
          <t>UPPSALA LÄN</t>
        </is>
      </c>
      <c r="E446" t="inlineStr">
        <is>
          <t>TIERP</t>
        </is>
      </c>
      <c r="G446" t="n">
        <v>1.3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28223-2025</t>
        </is>
      </c>
      <c r="B447" s="1" t="n">
        <v>45818.47733796296</v>
      </c>
      <c r="C447" s="1" t="n">
        <v>45890</v>
      </c>
      <c r="D447" t="inlineStr">
        <is>
          <t>UPPSALA LÄN</t>
        </is>
      </c>
      <c r="E447" t="inlineStr">
        <is>
          <t>TIERP</t>
        </is>
      </c>
      <c r="F447" t="inlineStr">
        <is>
          <t>Bergvik skog öst AB</t>
        </is>
      </c>
      <c r="G447" t="n">
        <v>3.8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28285-2025</t>
        </is>
      </c>
      <c r="B448" s="1" t="n">
        <v>45818.58984953703</v>
      </c>
      <c r="C448" s="1" t="n">
        <v>45890</v>
      </c>
      <c r="D448" t="inlineStr">
        <is>
          <t>UPPSALA LÄN</t>
        </is>
      </c>
      <c r="E448" t="inlineStr">
        <is>
          <t>TIERP</t>
        </is>
      </c>
      <c r="F448" t="inlineStr">
        <is>
          <t>Bergvik skog öst AB</t>
        </is>
      </c>
      <c r="G448" t="n">
        <v>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7370-2023</t>
        </is>
      </c>
      <c r="B449" s="1" t="n">
        <v>44971</v>
      </c>
      <c r="C449" s="1" t="n">
        <v>45890</v>
      </c>
      <c r="D449" t="inlineStr">
        <is>
          <t>UPPSALA LÄN</t>
        </is>
      </c>
      <c r="E449" t="inlineStr">
        <is>
          <t>TIERP</t>
        </is>
      </c>
      <c r="G449" t="n">
        <v>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66241-2021</t>
        </is>
      </c>
      <c r="B450" s="1" t="n">
        <v>44518.40658564815</v>
      </c>
      <c r="C450" s="1" t="n">
        <v>45890</v>
      </c>
      <c r="D450" t="inlineStr">
        <is>
          <t>UPPSALA LÄN</t>
        </is>
      </c>
      <c r="E450" t="inlineStr">
        <is>
          <t>TIERP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26771-2024</t>
        </is>
      </c>
      <c r="B451" s="1" t="n">
        <v>45470</v>
      </c>
      <c r="C451" s="1" t="n">
        <v>45890</v>
      </c>
      <c r="D451" t="inlineStr">
        <is>
          <t>UPPSALA LÄN</t>
        </is>
      </c>
      <c r="E451" t="inlineStr">
        <is>
          <t>TIERP</t>
        </is>
      </c>
      <c r="G451" t="n">
        <v>1.2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32207-2021</t>
        </is>
      </c>
      <c r="B452" s="1" t="n">
        <v>44371</v>
      </c>
      <c r="C452" s="1" t="n">
        <v>45890</v>
      </c>
      <c r="D452" t="inlineStr">
        <is>
          <t>UPPSALA LÄN</t>
        </is>
      </c>
      <c r="E452" t="inlineStr">
        <is>
          <t>TIERP</t>
        </is>
      </c>
      <c r="F452" t="inlineStr">
        <is>
          <t>Bergvik skog väst AB</t>
        </is>
      </c>
      <c r="G452" t="n">
        <v>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5918-2022</t>
        </is>
      </c>
      <c r="B453" s="1" t="n">
        <v>44597.83796296296</v>
      </c>
      <c r="C453" s="1" t="n">
        <v>45890</v>
      </c>
      <c r="D453" t="inlineStr">
        <is>
          <t>UPPSALA LÄN</t>
        </is>
      </c>
      <c r="E453" t="inlineStr">
        <is>
          <t>TIERP</t>
        </is>
      </c>
      <c r="G453" t="n">
        <v>4.7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13368-2024</t>
        </is>
      </c>
      <c r="B454" s="1" t="n">
        <v>45387</v>
      </c>
      <c r="C454" s="1" t="n">
        <v>45890</v>
      </c>
      <c r="D454" t="inlineStr">
        <is>
          <t>UPPSALA LÄN</t>
        </is>
      </c>
      <c r="E454" t="inlineStr">
        <is>
          <t>TIERP</t>
        </is>
      </c>
      <c r="G454" t="n">
        <v>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17412-2025</t>
        </is>
      </c>
      <c r="B455" s="1" t="n">
        <v>45757.37369212963</v>
      </c>
      <c r="C455" s="1" t="n">
        <v>45890</v>
      </c>
      <c r="D455" t="inlineStr">
        <is>
          <t>UPPSALA LÄN</t>
        </is>
      </c>
      <c r="E455" t="inlineStr">
        <is>
          <t>TIERP</t>
        </is>
      </c>
      <c r="F455" t="inlineStr">
        <is>
          <t>Bergvik skog öst AB</t>
        </is>
      </c>
      <c r="G455" t="n">
        <v>14.1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28252-2025</t>
        </is>
      </c>
      <c r="B456" s="1" t="n">
        <v>45818.54159722223</v>
      </c>
      <c r="C456" s="1" t="n">
        <v>45890</v>
      </c>
      <c r="D456" t="inlineStr">
        <is>
          <t>UPPSALA LÄN</t>
        </is>
      </c>
      <c r="E456" t="inlineStr">
        <is>
          <t>TIERP</t>
        </is>
      </c>
      <c r="F456" t="inlineStr">
        <is>
          <t>Bergvik skog öst AB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45848-2024</t>
        </is>
      </c>
      <c r="B457" s="1" t="n">
        <v>45580</v>
      </c>
      <c r="C457" s="1" t="n">
        <v>45890</v>
      </c>
      <c r="D457" t="inlineStr">
        <is>
          <t>UPPSALA LÄN</t>
        </is>
      </c>
      <c r="E457" t="inlineStr">
        <is>
          <t>TIERP</t>
        </is>
      </c>
      <c r="G457" t="n">
        <v>6.4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52388-2022</t>
        </is>
      </c>
      <c r="B458" s="1" t="n">
        <v>44874</v>
      </c>
      <c r="C458" s="1" t="n">
        <v>45890</v>
      </c>
      <c r="D458" t="inlineStr">
        <is>
          <t>UPPSALA LÄN</t>
        </is>
      </c>
      <c r="E458" t="inlineStr">
        <is>
          <t>TIERP</t>
        </is>
      </c>
      <c r="G458" t="n">
        <v>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35913-2025</t>
        </is>
      </c>
      <c r="B459" s="1" t="n">
        <v>45862.53918981482</v>
      </c>
      <c r="C459" s="1" t="n">
        <v>45890</v>
      </c>
      <c r="D459" t="inlineStr">
        <is>
          <t>UPPSALA LÄN</t>
        </is>
      </c>
      <c r="E459" t="inlineStr">
        <is>
          <t>TIERP</t>
        </is>
      </c>
      <c r="F459" t="inlineStr">
        <is>
          <t>Bergvik skog öst AB</t>
        </is>
      </c>
      <c r="G459" t="n">
        <v>3.5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35921-2025</t>
        </is>
      </c>
      <c r="B460" s="1" t="n">
        <v>45862.56547453703</v>
      </c>
      <c r="C460" s="1" t="n">
        <v>45890</v>
      </c>
      <c r="D460" t="inlineStr">
        <is>
          <t>UPPSALA LÄN</t>
        </is>
      </c>
      <c r="E460" t="inlineStr">
        <is>
          <t>TIERP</t>
        </is>
      </c>
      <c r="F460" t="inlineStr">
        <is>
          <t>Bergvik skog öst AB</t>
        </is>
      </c>
      <c r="G460" t="n">
        <v>2.4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15793-2025</t>
        </is>
      </c>
      <c r="B461" s="1" t="n">
        <v>45748.6355787037</v>
      </c>
      <c r="C461" s="1" t="n">
        <v>45890</v>
      </c>
      <c r="D461" t="inlineStr">
        <is>
          <t>UPPSALA LÄN</t>
        </is>
      </c>
      <c r="E461" t="inlineStr">
        <is>
          <t>TIERP</t>
        </is>
      </c>
      <c r="G461" t="n">
        <v>8.300000000000001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35911-2025</t>
        </is>
      </c>
      <c r="B462" s="1" t="n">
        <v>45862.52585648148</v>
      </c>
      <c r="C462" s="1" t="n">
        <v>45890</v>
      </c>
      <c r="D462" t="inlineStr">
        <is>
          <t>UPPSALA LÄN</t>
        </is>
      </c>
      <c r="E462" t="inlineStr">
        <is>
          <t>TIERP</t>
        </is>
      </c>
      <c r="F462" t="inlineStr">
        <is>
          <t>Bergvik skog öst AB</t>
        </is>
      </c>
      <c r="G462" t="n">
        <v>0.4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36030-2025</t>
        </is>
      </c>
      <c r="B463" s="1" t="n">
        <v>45865.44140046297</v>
      </c>
      <c r="C463" s="1" t="n">
        <v>45890</v>
      </c>
      <c r="D463" t="inlineStr">
        <is>
          <t>UPPSALA LÄN</t>
        </is>
      </c>
      <c r="E463" t="inlineStr">
        <is>
          <t>TIERP</t>
        </is>
      </c>
      <c r="F463" t="inlineStr">
        <is>
          <t>Bergvik skog väst AB</t>
        </is>
      </c>
      <c r="G463" t="n">
        <v>4.4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63912-2020</t>
        </is>
      </c>
      <c r="B464" s="1" t="n">
        <v>44166.86582175926</v>
      </c>
      <c r="C464" s="1" t="n">
        <v>45890</v>
      </c>
      <c r="D464" t="inlineStr">
        <is>
          <t>UPPSALA LÄN</t>
        </is>
      </c>
      <c r="E464" t="inlineStr">
        <is>
          <t>TIERP</t>
        </is>
      </c>
      <c r="G464" t="n">
        <v>0.8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36027-2025</t>
        </is>
      </c>
      <c r="B465" s="1" t="n">
        <v>45864.63327546296</v>
      </c>
      <c r="C465" s="1" t="n">
        <v>45890</v>
      </c>
      <c r="D465" t="inlineStr">
        <is>
          <t>UPPSALA LÄN</t>
        </is>
      </c>
      <c r="E465" t="inlineStr">
        <is>
          <t>TIERP</t>
        </is>
      </c>
      <c r="F465" t="inlineStr">
        <is>
          <t>Bergvik skog väst AB</t>
        </is>
      </c>
      <c r="G465" t="n">
        <v>5.3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34837-2024</t>
        </is>
      </c>
      <c r="B466" s="1" t="n">
        <v>45526</v>
      </c>
      <c r="C466" s="1" t="n">
        <v>45890</v>
      </c>
      <c r="D466" t="inlineStr">
        <is>
          <t>UPPSALA LÄN</t>
        </is>
      </c>
      <c r="E466" t="inlineStr">
        <is>
          <t>TIERP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20911-2022</t>
        </is>
      </c>
      <c r="B467" s="1" t="n">
        <v>44701.60350694445</v>
      </c>
      <c r="C467" s="1" t="n">
        <v>45890</v>
      </c>
      <c r="D467" t="inlineStr">
        <is>
          <t>UPPSALA LÄN</t>
        </is>
      </c>
      <c r="E467" t="inlineStr">
        <is>
          <t>TIERP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47505-2024</t>
        </is>
      </c>
      <c r="B468" s="1" t="n">
        <v>45587.60459490741</v>
      </c>
      <c r="C468" s="1" t="n">
        <v>45890</v>
      </c>
      <c r="D468" t="inlineStr">
        <is>
          <t>UPPSALA LÄN</t>
        </is>
      </c>
      <c r="E468" t="inlineStr">
        <is>
          <t>TIERP</t>
        </is>
      </c>
      <c r="G468" t="n">
        <v>0.4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36189-2025</t>
        </is>
      </c>
      <c r="B469" s="1" t="n">
        <v>45867.42266203704</v>
      </c>
      <c r="C469" s="1" t="n">
        <v>45890</v>
      </c>
      <c r="D469" t="inlineStr">
        <is>
          <t>UPPSALA LÄN</t>
        </is>
      </c>
      <c r="E469" t="inlineStr">
        <is>
          <t>TIERP</t>
        </is>
      </c>
      <c r="G469" t="n">
        <v>2.6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64540-2023</t>
        </is>
      </c>
      <c r="B470" s="1" t="n">
        <v>45281.37799768519</v>
      </c>
      <c r="C470" s="1" t="n">
        <v>45890</v>
      </c>
      <c r="D470" t="inlineStr">
        <is>
          <t>UPPSALA LÄN</t>
        </is>
      </c>
      <c r="E470" t="inlineStr">
        <is>
          <t>TIERP</t>
        </is>
      </c>
      <c r="G470" t="n">
        <v>2.3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29056-2025</t>
        </is>
      </c>
      <c r="B471" s="1" t="n">
        <v>45821.47273148148</v>
      </c>
      <c r="C471" s="1" t="n">
        <v>45890</v>
      </c>
      <c r="D471" t="inlineStr">
        <is>
          <t>UPPSALA LÄN</t>
        </is>
      </c>
      <c r="E471" t="inlineStr">
        <is>
          <t>TIERP</t>
        </is>
      </c>
      <c r="F471" t="inlineStr">
        <is>
          <t>Bergvik skog öst AB</t>
        </is>
      </c>
      <c r="G471" t="n">
        <v>8.9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36195-2025</t>
        </is>
      </c>
      <c r="B472" s="1" t="n">
        <v>45867.43064814815</v>
      </c>
      <c r="C472" s="1" t="n">
        <v>45890</v>
      </c>
      <c r="D472" t="inlineStr">
        <is>
          <t>UPPSALA LÄN</t>
        </is>
      </c>
      <c r="E472" t="inlineStr">
        <is>
          <t>TIERP</t>
        </is>
      </c>
      <c r="G472" t="n">
        <v>0.5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29282-2025</t>
        </is>
      </c>
      <c r="B473" s="1" t="n">
        <v>45824.42741898148</v>
      </c>
      <c r="C473" s="1" t="n">
        <v>45890</v>
      </c>
      <c r="D473" t="inlineStr">
        <is>
          <t>UPPSALA LÄN</t>
        </is>
      </c>
      <c r="E473" t="inlineStr">
        <is>
          <t>TIERP</t>
        </is>
      </c>
      <c r="F473" t="inlineStr">
        <is>
          <t>Bergvik skog väst AB</t>
        </is>
      </c>
      <c r="G473" t="n">
        <v>3.3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29133-2025</t>
        </is>
      </c>
      <c r="B474" s="1" t="n">
        <v>45821.60461805556</v>
      </c>
      <c r="C474" s="1" t="n">
        <v>45890</v>
      </c>
      <c r="D474" t="inlineStr">
        <is>
          <t>UPPSALA LÄN</t>
        </is>
      </c>
      <c r="E474" t="inlineStr">
        <is>
          <t>TIERP</t>
        </is>
      </c>
      <c r="F474" t="inlineStr">
        <is>
          <t>Bergvik skog öst AB</t>
        </is>
      </c>
      <c r="G474" t="n">
        <v>2.2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29382-2025</t>
        </is>
      </c>
      <c r="B475" s="1" t="n">
        <v>45824.59332175926</v>
      </c>
      <c r="C475" s="1" t="n">
        <v>45890</v>
      </c>
      <c r="D475" t="inlineStr">
        <is>
          <t>UPPSALA LÄN</t>
        </is>
      </c>
      <c r="E475" t="inlineStr">
        <is>
          <t>TIERP</t>
        </is>
      </c>
      <c r="F475" t="inlineStr">
        <is>
          <t>Bergvik skog väst AB</t>
        </is>
      </c>
      <c r="G475" t="n">
        <v>4.4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36029-2025</t>
        </is>
      </c>
      <c r="B476" s="1" t="n">
        <v>45865.4359837963</v>
      </c>
      <c r="C476" s="1" t="n">
        <v>45890</v>
      </c>
      <c r="D476" t="inlineStr">
        <is>
          <t>UPPSALA LÄN</t>
        </is>
      </c>
      <c r="E476" t="inlineStr">
        <is>
          <t>TIERP</t>
        </is>
      </c>
      <c r="F476" t="inlineStr">
        <is>
          <t>Bergvik skog väst AB</t>
        </is>
      </c>
      <c r="G476" t="n">
        <v>1.3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36307-2025</t>
        </is>
      </c>
      <c r="B477" s="1" t="n">
        <v>45868.29372685185</v>
      </c>
      <c r="C477" s="1" t="n">
        <v>45890</v>
      </c>
      <c r="D477" t="inlineStr">
        <is>
          <t>UPPSALA LÄN</t>
        </is>
      </c>
      <c r="E477" t="inlineStr">
        <is>
          <t>TIERP</t>
        </is>
      </c>
      <c r="F477" t="inlineStr">
        <is>
          <t>Bergvik skog öst AB</t>
        </is>
      </c>
      <c r="G477" t="n">
        <v>9.1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2301-2024</t>
        </is>
      </c>
      <c r="B478" s="1" t="n">
        <v>45310.44783564815</v>
      </c>
      <c r="C478" s="1" t="n">
        <v>45890</v>
      </c>
      <c r="D478" t="inlineStr">
        <is>
          <t>UPPSALA LÄN</t>
        </is>
      </c>
      <c r="E478" t="inlineStr">
        <is>
          <t>TIERP</t>
        </is>
      </c>
      <c r="G478" t="n">
        <v>0.4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36420-2025</t>
        </is>
      </c>
      <c r="B479" s="1" t="n">
        <v>45868.83913194444</v>
      </c>
      <c r="C479" s="1" t="n">
        <v>45890</v>
      </c>
      <c r="D479" t="inlineStr">
        <is>
          <t>UPPSALA LÄN</t>
        </is>
      </c>
      <c r="E479" t="inlineStr">
        <is>
          <t>TIERP</t>
        </is>
      </c>
      <c r="G479" t="n">
        <v>4.1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30083-2025</t>
        </is>
      </c>
      <c r="B480" s="1" t="n">
        <v>45826.65520833333</v>
      </c>
      <c r="C480" s="1" t="n">
        <v>45890</v>
      </c>
      <c r="D480" t="inlineStr">
        <is>
          <t>UPPSALA LÄN</t>
        </is>
      </c>
      <c r="E480" t="inlineStr">
        <is>
          <t>TIERP</t>
        </is>
      </c>
      <c r="G480" t="n">
        <v>1.8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43713-2022</t>
        </is>
      </c>
      <c r="B481" s="1" t="n">
        <v>44837.66217592593</v>
      </c>
      <c r="C481" s="1" t="n">
        <v>45890</v>
      </c>
      <c r="D481" t="inlineStr">
        <is>
          <t>UPPSALA LÄN</t>
        </is>
      </c>
      <c r="E481" t="inlineStr">
        <is>
          <t>TIERP</t>
        </is>
      </c>
      <c r="G481" t="n">
        <v>3.4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36422-2025</t>
        </is>
      </c>
      <c r="B482" s="1" t="n">
        <v>45868.85018518518</v>
      </c>
      <c r="C482" s="1" t="n">
        <v>45890</v>
      </c>
      <c r="D482" t="inlineStr">
        <is>
          <t>UPPSALA LÄN</t>
        </is>
      </c>
      <c r="E482" t="inlineStr">
        <is>
          <t>TIERP</t>
        </is>
      </c>
      <c r="F482" t="inlineStr">
        <is>
          <t>Bergvik skog väst AB</t>
        </is>
      </c>
      <c r="G482" t="n">
        <v>2.3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61615-2022</t>
        </is>
      </c>
      <c r="B483" s="1" t="n">
        <v>44916.66769675926</v>
      </c>
      <c r="C483" s="1" t="n">
        <v>45890</v>
      </c>
      <c r="D483" t="inlineStr">
        <is>
          <t>UPPSALA LÄN</t>
        </is>
      </c>
      <c r="E483" t="inlineStr">
        <is>
          <t>TIERP</t>
        </is>
      </c>
      <c r="G483" t="n">
        <v>0.7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56946-2023</t>
        </is>
      </c>
      <c r="B484" s="1" t="n">
        <v>45244.6134837963</v>
      </c>
      <c r="C484" s="1" t="n">
        <v>45890</v>
      </c>
      <c r="D484" t="inlineStr">
        <is>
          <t>UPPSALA LÄN</t>
        </is>
      </c>
      <c r="E484" t="inlineStr">
        <is>
          <t>TIERP</t>
        </is>
      </c>
      <c r="G484" t="n">
        <v>0.7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36419-2025</t>
        </is>
      </c>
      <c r="B485" s="1" t="n">
        <v>45868.83431712963</v>
      </c>
      <c r="C485" s="1" t="n">
        <v>45890</v>
      </c>
      <c r="D485" t="inlineStr">
        <is>
          <t>UPPSALA LÄN</t>
        </is>
      </c>
      <c r="E485" t="inlineStr">
        <is>
          <t>TIERP</t>
        </is>
      </c>
      <c r="G485" t="n">
        <v>2.5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36421-2025</t>
        </is>
      </c>
      <c r="B486" s="1" t="n">
        <v>45868.84859953704</v>
      </c>
      <c r="C486" s="1" t="n">
        <v>45890</v>
      </c>
      <c r="D486" t="inlineStr">
        <is>
          <t>UPPSALA LÄN</t>
        </is>
      </c>
      <c r="E486" t="inlineStr">
        <is>
          <t>TIERP</t>
        </is>
      </c>
      <c r="F486" t="inlineStr">
        <is>
          <t>Bergvik skog väst AB</t>
        </is>
      </c>
      <c r="G486" t="n">
        <v>2.7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44762-2023</t>
        </is>
      </c>
      <c r="B487" s="1" t="n">
        <v>45190</v>
      </c>
      <c r="C487" s="1" t="n">
        <v>45890</v>
      </c>
      <c r="D487" t="inlineStr">
        <is>
          <t>UPPSALA LÄN</t>
        </is>
      </c>
      <c r="E487" t="inlineStr">
        <is>
          <t>TIERP</t>
        </is>
      </c>
      <c r="G487" t="n">
        <v>0.5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36423-2025</t>
        </is>
      </c>
      <c r="B488" s="1" t="n">
        <v>45868.85131944445</v>
      </c>
      <c r="C488" s="1" t="n">
        <v>45890</v>
      </c>
      <c r="D488" t="inlineStr">
        <is>
          <t>UPPSALA LÄN</t>
        </is>
      </c>
      <c r="E488" t="inlineStr">
        <is>
          <t>TIERP</t>
        </is>
      </c>
      <c r="F488" t="inlineStr">
        <is>
          <t>Bergvik skog väst AB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14241-2024</t>
        </is>
      </c>
      <c r="B489" s="1" t="n">
        <v>45393</v>
      </c>
      <c r="C489" s="1" t="n">
        <v>45890</v>
      </c>
      <c r="D489" t="inlineStr">
        <is>
          <t>UPPSALA LÄN</t>
        </is>
      </c>
      <c r="E489" t="inlineStr">
        <is>
          <t>TIERP</t>
        </is>
      </c>
      <c r="F489" t="inlineStr">
        <is>
          <t>Bergvik skog öst AB</t>
        </is>
      </c>
      <c r="G489" t="n">
        <v>0.4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49647-2022</t>
        </is>
      </c>
      <c r="B490" s="1" t="n">
        <v>44862</v>
      </c>
      <c r="C490" s="1" t="n">
        <v>45890</v>
      </c>
      <c r="D490" t="inlineStr">
        <is>
          <t>UPPSALA LÄN</t>
        </is>
      </c>
      <c r="E490" t="inlineStr">
        <is>
          <t>TIERP</t>
        </is>
      </c>
      <c r="F490" t="inlineStr">
        <is>
          <t>Bergvik skog väst AB</t>
        </is>
      </c>
      <c r="G490" t="n">
        <v>1.5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12885-2024</t>
        </is>
      </c>
      <c r="B491" s="1" t="n">
        <v>45385</v>
      </c>
      <c r="C491" s="1" t="n">
        <v>45890</v>
      </c>
      <c r="D491" t="inlineStr">
        <is>
          <t>UPPSALA LÄN</t>
        </is>
      </c>
      <c r="E491" t="inlineStr">
        <is>
          <t>TIERP</t>
        </is>
      </c>
      <c r="G491" t="n">
        <v>0.4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19840-2022</t>
        </is>
      </c>
      <c r="B492" s="1" t="n">
        <v>44696</v>
      </c>
      <c r="C492" s="1" t="n">
        <v>45890</v>
      </c>
      <c r="D492" t="inlineStr">
        <is>
          <t>UPPSALA LÄN</t>
        </is>
      </c>
      <c r="E492" t="inlineStr">
        <is>
          <t>TIERP</t>
        </is>
      </c>
      <c r="G492" t="n">
        <v>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31525-2025</t>
        </is>
      </c>
      <c r="B493" s="1" t="n">
        <v>45833.61322916667</v>
      </c>
      <c r="C493" s="1" t="n">
        <v>45890</v>
      </c>
      <c r="D493" t="inlineStr">
        <is>
          <t>UPPSALA LÄN</t>
        </is>
      </c>
      <c r="E493" t="inlineStr">
        <is>
          <t>TIERP</t>
        </is>
      </c>
      <c r="F493" t="inlineStr">
        <is>
          <t>Bergvik skog öst AB</t>
        </is>
      </c>
      <c r="G493" t="n">
        <v>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6364-2023</t>
        </is>
      </c>
      <c r="B494" s="1" t="n">
        <v>44965.60422453703</v>
      </c>
      <c r="C494" s="1" t="n">
        <v>45890</v>
      </c>
      <c r="D494" t="inlineStr">
        <is>
          <t>UPPSALA LÄN</t>
        </is>
      </c>
      <c r="E494" t="inlineStr">
        <is>
          <t>TIERP</t>
        </is>
      </c>
      <c r="G494" t="n">
        <v>2.2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31149-2025</t>
        </is>
      </c>
      <c r="B495" s="1" t="n">
        <v>45832.64122685185</v>
      </c>
      <c r="C495" s="1" t="n">
        <v>45890</v>
      </c>
      <c r="D495" t="inlineStr">
        <is>
          <t>UPPSALA LÄN</t>
        </is>
      </c>
      <c r="E495" t="inlineStr">
        <is>
          <t>TIERP</t>
        </is>
      </c>
      <c r="F495" t="inlineStr">
        <is>
          <t>Bergvik skog öst AB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31083-2025</t>
        </is>
      </c>
      <c r="B496" s="1" t="n">
        <v>45832.58662037037</v>
      </c>
      <c r="C496" s="1" t="n">
        <v>45890</v>
      </c>
      <c r="D496" t="inlineStr">
        <is>
          <t>UPPSALA LÄN</t>
        </is>
      </c>
      <c r="E496" t="inlineStr">
        <is>
          <t>TIERP</t>
        </is>
      </c>
      <c r="F496" t="inlineStr">
        <is>
          <t>Bergvik skog öst AB</t>
        </is>
      </c>
      <c r="G496" t="n">
        <v>1.1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31549-2025</t>
        </is>
      </c>
      <c r="B497" s="1" t="n">
        <v>45833.63829861111</v>
      </c>
      <c r="C497" s="1" t="n">
        <v>45890</v>
      </c>
      <c r="D497" t="inlineStr">
        <is>
          <t>UPPSALA LÄN</t>
        </is>
      </c>
      <c r="E497" t="inlineStr">
        <is>
          <t>TIERP</t>
        </is>
      </c>
      <c r="F497" t="inlineStr">
        <is>
          <t>Bergvik skog öst AB</t>
        </is>
      </c>
      <c r="G497" t="n">
        <v>2.4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31556-2025</t>
        </is>
      </c>
      <c r="B498" s="1" t="n">
        <v>45833.65157407407</v>
      </c>
      <c r="C498" s="1" t="n">
        <v>45890</v>
      </c>
      <c r="D498" t="inlineStr">
        <is>
          <t>UPPSALA LÄN</t>
        </is>
      </c>
      <c r="E498" t="inlineStr">
        <is>
          <t>TIERP</t>
        </is>
      </c>
      <c r="F498" t="inlineStr">
        <is>
          <t>Bergvik skog öst AB</t>
        </is>
      </c>
      <c r="G498" t="n">
        <v>2.1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31201-2025</t>
        </is>
      </c>
      <c r="B499" s="1" t="n">
        <v>45832.69688657407</v>
      </c>
      <c r="C499" s="1" t="n">
        <v>45890</v>
      </c>
      <c r="D499" t="inlineStr">
        <is>
          <t>UPPSALA LÄN</t>
        </is>
      </c>
      <c r="E499" t="inlineStr">
        <is>
          <t>TIERP</t>
        </is>
      </c>
      <c r="F499" t="inlineStr">
        <is>
          <t>Bergvik skog öst AB</t>
        </is>
      </c>
      <c r="G499" t="n">
        <v>2.4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31523-2025</t>
        </is>
      </c>
      <c r="B500" s="1" t="n">
        <v>45833.60854166667</v>
      </c>
      <c r="C500" s="1" t="n">
        <v>45890</v>
      </c>
      <c r="D500" t="inlineStr">
        <is>
          <t>UPPSALA LÄN</t>
        </is>
      </c>
      <c r="E500" t="inlineStr">
        <is>
          <t>TIERP</t>
        </is>
      </c>
      <c r="F500" t="inlineStr">
        <is>
          <t>Bergvik skog öst AB</t>
        </is>
      </c>
      <c r="G500" t="n">
        <v>5.6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31199-2025</t>
        </is>
      </c>
      <c r="B501" s="1" t="n">
        <v>45832.69494212963</v>
      </c>
      <c r="C501" s="1" t="n">
        <v>45890</v>
      </c>
      <c r="D501" t="inlineStr">
        <is>
          <t>UPPSALA LÄN</t>
        </is>
      </c>
      <c r="E501" t="inlineStr">
        <is>
          <t>TIERP</t>
        </is>
      </c>
      <c r="F501" t="inlineStr">
        <is>
          <t>Bergvik skog öst AB</t>
        </is>
      </c>
      <c r="G501" t="n">
        <v>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12809-2025</t>
        </is>
      </c>
      <c r="B502" s="1" t="n">
        <v>45733.6156712963</v>
      </c>
      <c r="C502" s="1" t="n">
        <v>45890</v>
      </c>
      <c r="D502" t="inlineStr">
        <is>
          <t>UPPSALA LÄN</t>
        </is>
      </c>
      <c r="E502" t="inlineStr">
        <is>
          <t>TIERP</t>
        </is>
      </c>
      <c r="F502" t="inlineStr">
        <is>
          <t>Bergvik skog väst AB</t>
        </is>
      </c>
      <c r="G502" t="n">
        <v>1.3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14516-2025</t>
        </is>
      </c>
      <c r="B503" s="1" t="n">
        <v>45741.6415162037</v>
      </c>
      <c r="C503" s="1" t="n">
        <v>45890</v>
      </c>
      <c r="D503" t="inlineStr">
        <is>
          <t>UPPSALA LÄN</t>
        </is>
      </c>
      <c r="E503" t="inlineStr">
        <is>
          <t>TIERP</t>
        </is>
      </c>
      <c r="F503" t="inlineStr">
        <is>
          <t>Bergvik skog väst AB</t>
        </is>
      </c>
      <c r="G503" t="n">
        <v>2.2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46512-2024</t>
        </is>
      </c>
      <c r="B504" s="1" t="n">
        <v>45582.62050925926</v>
      </c>
      <c r="C504" s="1" t="n">
        <v>45890</v>
      </c>
      <c r="D504" t="inlineStr">
        <is>
          <t>UPPSALA LÄN</t>
        </is>
      </c>
      <c r="E504" t="inlineStr">
        <is>
          <t>TIERP</t>
        </is>
      </c>
      <c r="G504" t="n">
        <v>6.3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49946-2022</t>
        </is>
      </c>
      <c r="B505" s="1" t="n">
        <v>44865</v>
      </c>
      <c r="C505" s="1" t="n">
        <v>45890</v>
      </c>
      <c r="D505" t="inlineStr">
        <is>
          <t>UPPSALA LÄN</t>
        </is>
      </c>
      <c r="E505" t="inlineStr">
        <is>
          <t>TIERP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21017-2022</t>
        </is>
      </c>
      <c r="B506" s="1" t="n">
        <v>44704</v>
      </c>
      <c r="C506" s="1" t="n">
        <v>45890</v>
      </c>
      <c r="D506" t="inlineStr">
        <is>
          <t>UPPSALA LÄN</t>
        </is>
      </c>
      <c r="E506" t="inlineStr">
        <is>
          <t>TIERP</t>
        </is>
      </c>
      <c r="G506" t="n">
        <v>3.5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21034-2022</t>
        </is>
      </c>
      <c r="B507" s="1" t="n">
        <v>44704.40528935185</v>
      </c>
      <c r="C507" s="1" t="n">
        <v>45890</v>
      </c>
      <c r="D507" t="inlineStr">
        <is>
          <t>UPPSALA LÄN</t>
        </is>
      </c>
      <c r="E507" t="inlineStr">
        <is>
          <t>TIERP</t>
        </is>
      </c>
      <c r="G507" t="n">
        <v>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30742-2021</t>
        </is>
      </c>
      <c r="B508" s="1" t="n">
        <v>44365</v>
      </c>
      <c r="C508" s="1" t="n">
        <v>45890</v>
      </c>
      <c r="D508" t="inlineStr">
        <is>
          <t>UPPSALA LÄN</t>
        </is>
      </c>
      <c r="E508" t="inlineStr">
        <is>
          <t>TIERP</t>
        </is>
      </c>
      <c r="F508" t="inlineStr">
        <is>
          <t>Bergvik skog väst AB</t>
        </is>
      </c>
      <c r="G508" t="n">
        <v>6.5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31383-2025</t>
        </is>
      </c>
      <c r="B509" s="1" t="n">
        <v>45833.45049768518</v>
      </c>
      <c r="C509" s="1" t="n">
        <v>45890</v>
      </c>
      <c r="D509" t="inlineStr">
        <is>
          <t>UPPSALA LÄN</t>
        </is>
      </c>
      <c r="E509" t="inlineStr">
        <is>
          <t>TIERP</t>
        </is>
      </c>
      <c r="F509" t="inlineStr">
        <is>
          <t>Övriga Aktiebolag</t>
        </is>
      </c>
      <c r="G509" t="n">
        <v>1.4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31421-2025</t>
        </is>
      </c>
      <c r="B510" s="1" t="n">
        <v>45833.48898148148</v>
      </c>
      <c r="C510" s="1" t="n">
        <v>45890</v>
      </c>
      <c r="D510" t="inlineStr">
        <is>
          <t>UPPSALA LÄN</t>
        </is>
      </c>
      <c r="E510" t="inlineStr">
        <is>
          <t>TIERP</t>
        </is>
      </c>
      <c r="G510" t="n">
        <v>0.8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46550-2024</t>
        </is>
      </c>
      <c r="B511" s="1" t="n">
        <v>45582.66524305556</v>
      </c>
      <c r="C511" s="1" t="n">
        <v>45890</v>
      </c>
      <c r="D511" t="inlineStr">
        <is>
          <t>UPPSALA LÄN</t>
        </is>
      </c>
      <c r="E511" t="inlineStr">
        <is>
          <t>TIERP</t>
        </is>
      </c>
      <c r="F511" t="inlineStr">
        <is>
          <t>Bergvik skog öst AB</t>
        </is>
      </c>
      <c r="G511" t="n">
        <v>2.1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30867-2025</t>
        </is>
      </c>
      <c r="B512" s="1" t="n">
        <v>45832.32575231481</v>
      </c>
      <c r="C512" s="1" t="n">
        <v>45890</v>
      </c>
      <c r="D512" t="inlineStr">
        <is>
          <t>UPPSALA LÄN</t>
        </is>
      </c>
      <c r="E512" t="inlineStr">
        <is>
          <t>TIERP</t>
        </is>
      </c>
      <c r="F512" t="inlineStr">
        <is>
          <t>Bergvik skog väst AB</t>
        </is>
      </c>
      <c r="G512" t="n">
        <v>3.4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13509-2025</t>
        </is>
      </c>
      <c r="B513" s="1" t="n">
        <v>45736.46944444445</v>
      </c>
      <c r="C513" s="1" t="n">
        <v>45890</v>
      </c>
      <c r="D513" t="inlineStr">
        <is>
          <t>UPPSALA LÄN</t>
        </is>
      </c>
      <c r="E513" t="inlineStr">
        <is>
          <t>TIERP</t>
        </is>
      </c>
      <c r="F513" t="inlineStr">
        <is>
          <t>Bergvik skog väst AB</t>
        </is>
      </c>
      <c r="G513" t="n">
        <v>0.3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6497-2023</t>
        </is>
      </c>
      <c r="B514" s="1" t="n">
        <v>44966</v>
      </c>
      <c r="C514" s="1" t="n">
        <v>45890</v>
      </c>
      <c r="D514" t="inlineStr">
        <is>
          <t>UPPSALA LÄN</t>
        </is>
      </c>
      <c r="E514" t="inlineStr">
        <is>
          <t>TIERP</t>
        </is>
      </c>
      <c r="F514" t="inlineStr">
        <is>
          <t>Bergvik skog öst AB</t>
        </is>
      </c>
      <c r="G514" t="n">
        <v>12.9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5997-2023</t>
        </is>
      </c>
      <c r="B515" s="1" t="n">
        <v>44964</v>
      </c>
      <c r="C515" s="1" t="n">
        <v>45890</v>
      </c>
      <c r="D515" t="inlineStr">
        <is>
          <t>UPPSALA LÄN</t>
        </is>
      </c>
      <c r="E515" t="inlineStr">
        <is>
          <t>TIERP</t>
        </is>
      </c>
      <c r="F515" t="inlineStr">
        <is>
          <t>Bergvik skog öst AB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6048-2023</t>
        </is>
      </c>
      <c r="B516" s="1" t="n">
        <v>44964</v>
      </c>
      <c r="C516" s="1" t="n">
        <v>45890</v>
      </c>
      <c r="D516" t="inlineStr">
        <is>
          <t>UPPSALA LÄN</t>
        </is>
      </c>
      <c r="E516" t="inlineStr">
        <is>
          <t>TIERP</t>
        </is>
      </c>
      <c r="F516" t="inlineStr">
        <is>
          <t>Bergvik skog öst AB</t>
        </is>
      </c>
      <c r="G516" t="n">
        <v>4.4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31949-2025</t>
        </is>
      </c>
      <c r="B517" s="1" t="n">
        <v>45835.32549768518</v>
      </c>
      <c r="C517" s="1" t="n">
        <v>45890</v>
      </c>
      <c r="D517" t="inlineStr">
        <is>
          <t>UPPSALA LÄN</t>
        </is>
      </c>
      <c r="E517" t="inlineStr">
        <is>
          <t>TIERP</t>
        </is>
      </c>
      <c r="G517" t="n">
        <v>0.8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46976-2021</t>
        </is>
      </c>
      <c r="B518" s="1" t="n">
        <v>44446</v>
      </c>
      <c r="C518" s="1" t="n">
        <v>45890</v>
      </c>
      <c r="D518" t="inlineStr">
        <is>
          <t>UPPSALA LÄN</t>
        </is>
      </c>
      <c r="E518" t="inlineStr">
        <is>
          <t>TIERP</t>
        </is>
      </c>
      <c r="F518" t="inlineStr">
        <is>
          <t>Bergvik skog väst AB</t>
        </is>
      </c>
      <c r="G518" t="n">
        <v>2.4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32227-2025</t>
        </is>
      </c>
      <c r="B519" s="1" t="n">
        <v>45835.59493055556</v>
      </c>
      <c r="C519" s="1" t="n">
        <v>45890</v>
      </c>
      <c r="D519" t="inlineStr">
        <is>
          <t>UPPSALA LÄN</t>
        </is>
      </c>
      <c r="E519" t="inlineStr">
        <is>
          <t>TIERP</t>
        </is>
      </c>
      <c r="F519" t="inlineStr">
        <is>
          <t>Bergvik skog väst AB</t>
        </is>
      </c>
      <c r="G519" t="n">
        <v>13.1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31616-2025</t>
        </is>
      </c>
      <c r="B520" s="1" t="n">
        <v>45833.816875</v>
      </c>
      <c r="C520" s="1" t="n">
        <v>45890</v>
      </c>
      <c r="D520" t="inlineStr">
        <is>
          <t>UPPSALA LÄN</t>
        </is>
      </c>
      <c r="E520" t="inlineStr">
        <is>
          <t>TIERP</t>
        </is>
      </c>
      <c r="F520" t="inlineStr">
        <is>
          <t>Bergvik skog väst AB</t>
        </is>
      </c>
      <c r="G520" t="n">
        <v>4.9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32184-2025</t>
        </is>
      </c>
      <c r="B521" s="1" t="n">
        <v>45835.56524305556</v>
      </c>
      <c r="C521" s="1" t="n">
        <v>45890</v>
      </c>
      <c r="D521" t="inlineStr">
        <is>
          <t>UPPSALA LÄN</t>
        </is>
      </c>
      <c r="E521" t="inlineStr">
        <is>
          <t>TIERP</t>
        </is>
      </c>
      <c r="F521" t="inlineStr">
        <is>
          <t>Bergvik skog väst AB</t>
        </is>
      </c>
      <c r="G521" t="n">
        <v>3.2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60123-2024</t>
        </is>
      </c>
      <c r="B522" s="1" t="n">
        <v>45642.58673611111</v>
      </c>
      <c r="C522" s="1" t="n">
        <v>45890</v>
      </c>
      <c r="D522" t="inlineStr">
        <is>
          <t>UPPSALA LÄN</t>
        </is>
      </c>
      <c r="E522" t="inlineStr">
        <is>
          <t>TIERP</t>
        </is>
      </c>
      <c r="G522" t="n">
        <v>2.3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34198-2023</t>
        </is>
      </c>
      <c r="B523" s="1" t="n">
        <v>45138</v>
      </c>
      <c r="C523" s="1" t="n">
        <v>45890</v>
      </c>
      <c r="D523" t="inlineStr">
        <is>
          <t>UPPSALA LÄN</t>
        </is>
      </c>
      <c r="E523" t="inlineStr">
        <is>
          <t>TIERP</t>
        </is>
      </c>
      <c r="F523" t="inlineStr">
        <is>
          <t>Bergvik skog öst AB</t>
        </is>
      </c>
      <c r="G523" t="n">
        <v>11.5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20854-2024</t>
        </is>
      </c>
      <c r="B524" s="1" t="n">
        <v>45439.42039351852</v>
      </c>
      <c r="C524" s="1" t="n">
        <v>45890</v>
      </c>
      <c r="D524" t="inlineStr">
        <is>
          <t>UPPSALA LÄN</t>
        </is>
      </c>
      <c r="E524" t="inlineStr">
        <is>
          <t>TIERP</t>
        </is>
      </c>
      <c r="G524" t="n">
        <v>0.8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32665-2023</t>
        </is>
      </c>
      <c r="B525" s="1" t="n">
        <v>45121.63271990741</v>
      </c>
      <c r="C525" s="1" t="n">
        <v>45890</v>
      </c>
      <c r="D525" t="inlineStr">
        <is>
          <t>UPPSALA LÄN</t>
        </is>
      </c>
      <c r="E525" t="inlineStr">
        <is>
          <t>TIERP</t>
        </is>
      </c>
      <c r="G525" t="n">
        <v>1.3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32209-2025</t>
        </is>
      </c>
      <c r="B526" s="1" t="n">
        <v>45835.58365740741</v>
      </c>
      <c r="C526" s="1" t="n">
        <v>45890</v>
      </c>
      <c r="D526" t="inlineStr">
        <is>
          <t>UPPSALA LÄN</t>
        </is>
      </c>
      <c r="E526" t="inlineStr">
        <is>
          <t>TIERP</t>
        </is>
      </c>
      <c r="F526" t="inlineStr">
        <is>
          <t>Bergvik skog väst AB</t>
        </is>
      </c>
      <c r="G526" t="n">
        <v>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32296-2025</t>
        </is>
      </c>
      <c r="B527" s="1" t="n">
        <v>45835</v>
      </c>
      <c r="C527" s="1" t="n">
        <v>45890</v>
      </c>
      <c r="D527" t="inlineStr">
        <is>
          <t>UPPSALA LÄN</t>
        </is>
      </c>
      <c r="E527" t="inlineStr">
        <is>
          <t>TIERP</t>
        </is>
      </c>
      <c r="F527" t="inlineStr">
        <is>
          <t>Bergvik skog väst AB</t>
        </is>
      </c>
      <c r="G527" t="n">
        <v>0.8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32194-2025</t>
        </is>
      </c>
      <c r="B528" s="1" t="n">
        <v>45835.57256944444</v>
      </c>
      <c r="C528" s="1" t="n">
        <v>45890</v>
      </c>
      <c r="D528" t="inlineStr">
        <is>
          <t>UPPSALA LÄN</t>
        </is>
      </c>
      <c r="E528" t="inlineStr">
        <is>
          <t>TIERP</t>
        </is>
      </c>
      <c r="F528" t="inlineStr">
        <is>
          <t>Bergvik skog väst AB</t>
        </is>
      </c>
      <c r="G528" t="n">
        <v>5.5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32199-2025</t>
        </is>
      </c>
      <c r="B529" s="1" t="n">
        <v>45835.57688657408</v>
      </c>
      <c r="C529" s="1" t="n">
        <v>45890</v>
      </c>
      <c r="D529" t="inlineStr">
        <is>
          <t>UPPSALA LÄN</t>
        </is>
      </c>
      <c r="E529" t="inlineStr">
        <is>
          <t>TIERP</t>
        </is>
      </c>
      <c r="F529" t="inlineStr">
        <is>
          <t>Bergvik skog väst AB</t>
        </is>
      </c>
      <c r="G529" t="n">
        <v>2.9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31614-2025</t>
        </is>
      </c>
      <c r="B530" s="1" t="n">
        <v>45833.81484953704</v>
      </c>
      <c r="C530" s="1" t="n">
        <v>45890</v>
      </c>
      <c r="D530" t="inlineStr">
        <is>
          <t>UPPSALA LÄN</t>
        </is>
      </c>
      <c r="E530" t="inlineStr">
        <is>
          <t>TIERP</t>
        </is>
      </c>
      <c r="F530" t="inlineStr">
        <is>
          <t>Bergvik skog väst AB</t>
        </is>
      </c>
      <c r="G530" t="n">
        <v>17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19523-2025</t>
        </is>
      </c>
      <c r="B531" s="1" t="n">
        <v>45770.45944444444</v>
      </c>
      <c r="C531" s="1" t="n">
        <v>45890</v>
      </c>
      <c r="D531" t="inlineStr">
        <is>
          <t>UPPSALA LÄN</t>
        </is>
      </c>
      <c r="E531" t="inlineStr">
        <is>
          <t>TIERP</t>
        </is>
      </c>
      <c r="F531" t="inlineStr">
        <is>
          <t>Bergvik skog öst AB</t>
        </is>
      </c>
      <c r="G531" t="n">
        <v>0.6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4083-2022</t>
        </is>
      </c>
      <c r="B532" s="1" t="n">
        <v>44588</v>
      </c>
      <c r="C532" s="1" t="n">
        <v>45890</v>
      </c>
      <c r="D532" t="inlineStr">
        <is>
          <t>UPPSALA LÄN</t>
        </is>
      </c>
      <c r="E532" t="inlineStr">
        <is>
          <t>TIERP</t>
        </is>
      </c>
      <c r="G532" t="n">
        <v>26.1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13464-2024</t>
        </is>
      </c>
      <c r="B533" s="1" t="n">
        <v>45387.55987268518</v>
      </c>
      <c r="C533" s="1" t="n">
        <v>45890</v>
      </c>
      <c r="D533" t="inlineStr">
        <is>
          <t>UPPSALA LÄN</t>
        </is>
      </c>
      <c r="E533" t="inlineStr">
        <is>
          <t>TIERP</t>
        </is>
      </c>
      <c r="F533" t="inlineStr">
        <is>
          <t>Bergvik skog väst AB</t>
        </is>
      </c>
      <c r="G533" t="n">
        <v>2.5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55423-2022</t>
        </is>
      </c>
      <c r="B534" s="1" t="n">
        <v>44887</v>
      </c>
      <c r="C534" s="1" t="n">
        <v>45890</v>
      </c>
      <c r="D534" t="inlineStr">
        <is>
          <t>UPPSALA LÄN</t>
        </is>
      </c>
      <c r="E534" t="inlineStr">
        <is>
          <t>TIERP</t>
        </is>
      </c>
      <c r="G534" t="n">
        <v>1.3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13356-2024</t>
        </is>
      </c>
      <c r="B535" s="1" t="n">
        <v>45387.34152777777</v>
      </c>
      <c r="C535" s="1" t="n">
        <v>45890</v>
      </c>
      <c r="D535" t="inlineStr">
        <is>
          <t>UPPSALA LÄN</t>
        </is>
      </c>
      <c r="E535" t="inlineStr">
        <is>
          <t>TIERP</t>
        </is>
      </c>
      <c r="G535" t="n">
        <v>1.9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61149-2024</t>
        </is>
      </c>
      <c r="B536" s="1" t="n">
        <v>45645</v>
      </c>
      <c r="C536" s="1" t="n">
        <v>45890</v>
      </c>
      <c r="D536" t="inlineStr">
        <is>
          <t>UPPSALA LÄN</t>
        </is>
      </c>
      <c r="E536" t="inlineStr">
        <is>
          <t>TIERP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47234-2020</t>
        </is>
      </c>
      <c r="B537" s="1" t="n">
        <v>44097</v>
      </c>
      <c r="C537" s="1" t="n">
        <v>45890</v>
      </c>
      <c r="D537" t="inlineStr">
        <is>
          <t>UPPSALA LÄN</t>
        </is>
      </c>
      <c r="E537" t="inlineStr">
        <is>
          <t>TIERP</t>
        </is>
      </c>
      <c r="G537" t="n">
        <v>1.4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18734-2025</t>
        </is>
      </c>
      <c r="B538" s="1" t="n">
        <v>45763.67659722222</v>
      </c>
      <c r="C538" s="1" t="n">
        <v>45890</v>
      </c>
      <c r="D538" t="inlineStr">
        <is>
          <t>UPPSALA LÄN</t>
        </is>
      </c>
      <c r="E538" t="inlineStr">
        <is>
          <t>TIERP</t>
        </is>
      </c>
      <c r="F538" t="inlineStr">
        <is>
          <t>Kyrkan</t>
        </is>
      </c>
      <c r="G538" t="n">
        <v>4.5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45513-2020</t>
        </is>
      </c>
      <c r="B539" s="1" t="n">
        <v>44085</v>
      </c>
      <c r="C539" s="1" t="n">
        <v>45890</v>
      </c>
      <c r="D539" t="inlineStr">
        <is>
          <t>UPPSALA LÄN</t>
        </is>
      </c>
      <c r="E539" t="inlineStr">
        <is>
          <t>TIERP</t>
        </is>
      </c>
      <c r="F539" t="inlineStr">
        <is>
          <t>Bergvik skog väst AB</t>
        </is>
      </c>
      <c r="G539" t="n">
        <v>6.2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15540-2025</t>
        </is>
      </c>
      <c r="B540" s="1" t="n">
        <v>45747.65076388889</v>
      </c>
      <c r="C540" s="1" t="n">
        <v>45890</v>
      </c>
      <c r="D540" t="inlineStr">
        <is>
          <t>UPPSALA LÄN</t>
        </is>
      </c>
      <c r="E540" t="inlineStr">
        <is>
          <t>TIERP</t>
        </is>
      </c>
      <c r="F540" t="inlineStr">
        <is>
          <t>Bergvik skog väst AB</t>
        </is>
      </c>
      <c r="G540" t="n">
        <v>36.1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7036-2021</t>
        </is>
      </c>
      <c r="B541" s="1" t="n">
        <v>44237</v>
      </c>
      <c r="C541" s="1" t="n">
        <v>45890</v>
      </c>
      <c r="D541" t="inlineStr">
        <is>
          <t>UPPSALA LÄN</t>
        </is>
      </c>
      <c r="E541" t="inlineStr">
        <is>
          <t>TIERP</t>
        </is>
      </c>
      <c r="F541" t="inlineStr">
        <is>
          <t>Bergvik skog väst AB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32376-2025</t>
        </is>
      </c>
      <c r="B542" s="1" t="n">
        <v>45837.72260416667</v>
      </c>
      <c r="C542" s="1" t="n">
        <v>45890</v>
      </c>
      <c r="D542" t="inlineStr">
        <is>
          <t>UPPSALA LÄN</t>
        </is>
      </c>
      <c r="E542" t="inlineStr">
        <is>
          <t>TIERP</t>
        </is>
      </c>
      <c r="G542" t="n">
        <v>1.8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37884-2025</t>
        </is>
      </c>
      <c r="B543" s="1" t="n">
        <v>45881.5046412037</v>
      </c>
      <c r="C543" s="1" t="n">
        <v>45890</v>
      </c>
      <c r="D543" t="inlineStr">
        <is>
          <t>UPPSALA LÄN</t>
        </is>
      </c>
      <c r="E543" t="inlineStr">
        <is>
          <t>TIERP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33180-2025</t>
        </is>
      </c>
      <c r="B544" s="1" t="n">
        <v>45840.5905324074</v>
      </c>
      <c r="C544" s="1" t="n">
        <v>45890</v>
      </c>
      <c r="D544" t="inlineStr">
        <is>
          <t>UPPSALA LÄN</t>
        </is>
      </c>
      <c r="E544" t="inlineStr">
        <is>
          <t>TIERP</t>
        </is>
      </c>
      <c r="G544" t="n">
        <v>0.8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63649-2023</t>
        </is>
      </c>
      <c r="B545" s="1" t="n">
        <v>45275.59357638889</v>
      </c>
      <c r="C545" s="1" t="n">
        <v>45890</v>
      </c>
      <c r="D545" t="inlineStr">
        <is>
          <t>UPPSALA LÄN</t>
        </is>
      </c>
      <c r="E545" t="inlineStr">
        <is>
          <t>TIERP</t>
        </is>
      </c>
      <c r="G545" t="n">
        <v>1.4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33510-2025</t>
        </is>
      </c>
      <c r="B546" s="1" t="n">
        <v>45841.51788194444</v>
      </c>
      <c r="C546" s="1" t="n">
        <v>45890</v>
      </c>
      <c r="D546" t="inlineStr">
        <is>
          <t>UPPSALA LÄN</t>
        </is>
      </c>
      <c r="E546" t="inlineStr">
        <is>
          <t>TIERP</t>
        </is>
      </c>
      <c r="F546" t="inlineStr">
        <is>
          <t>Övriga Aktiebolag</t>
        </is>
      </c>
      <c r="G546" t="n">
        <v>2.9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33570-2025</t>
        </is>
      </c>
      <c r="B547" s="1" t="n">
        <v>45841</v>
      </c>
      <c r="C547" s="1" t="n">
        <v>45890</v>
      </c>
      <c r="D547" t="inlineStr">
        <is>
          <t>UPPSALA LÄN</t>
        </is>
      </c>
      <c r="E547" t="inlineStr">
        <is>
          <t>TIERP</t>
        </is>
      </c>
      <c r="F547" t="inlineStr">
        <is>
          <t>Övriga Aktiebolag</t>
        </is>
      </c>
      <c r="G547" t="n">
        <v>0.5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34460-2022</t>
        </is>
      </c>
      <c r="B548" s="1" t="n">
        <v>44792</v>
      </c>
      <c r="C548" s="1" t="n">
        <v>45890</v>
      </c>
      <c r="D548" t="inlineStr">
        <is>
          <t>UPPSALA LÄN</t>
        </is>
      </c>
      <c r="E548" t="inlineStr">
        <is>
          <t>TIERP</t>
        </is>
      </c>
      <c r="G548" t="n">
        <v>1.1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18412-2025</t>
        </is>
      </c>
      <c r="B549" s="1" t="n">
        <v>45762.61427083334</v>
      </c>
      <c r="C549" s="1" t="n">
        <v>45890</v>
      </c>
      <c r="D549" t="inlineStr">
        <is>
          <t>UPPSALA LÄN</t>
        </is>
      </c>
      <c r="E549" t="inlineStr">
        <is>
          <t>TIERP</t>
        </is>
      </c>
      <c r="F549" t="inlineStr">
        <is>
          <t>Bergvik skog öst AB</t>
        </is>
      </c>
      <c r="G549" t="n">
        <v>7.3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28912-2023</t>
        </is>
      </c>
      <c r="B550" s="1" t="n">
        <v>45104.53165509259</v>
      </c>
      <c r="C550" s="1" t="n">
        <v>45890</v>
      </c>
      <c r="D550" t="inlineStr">
        <is>
          <t>UPPSALA LÄN</t>
        </is>
      </c>
      <c r="E550" t="inlineStr">
        <is>
          <t>TIERP</t>
        </is>
      </c>
      <c r="F550" t="inlineStr">
        <is>
          <t>Bergvik skog öst AB</t>
        </is>
      </c>
      <c r="G550" t="n">
        <v>1.1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13691-2024</t>
        </is>
      </c>
      <c r="B551" s="1" t="n">
        <v>45390.58060185185</v>
      </c>
      <c r="C551" s="1" t="n">
        <v>45890</v>
      </c>
      <c r="D551" t="inlineStr">
        <is>
          <t>UPPSALA LÄN</t>
        </is>
      </c>
      <c r="E551" t="inlineStr">
        <is>
          <t>TIERP</t>
        </is>
      </c>
      <c r="F551" t="inlineStr">
        <is>
          <t>Bergvik skog väst AB</t>
        </is>
      </c>
      <c r="G551" t="n">
        <v>2.6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22901-2023</t>
        </is>
      </c>
      <c r="B552" s="1" t="n">
        <v>45072</v>
      </c>
      <c r="C552" s="1" t="n">
        <v>45890</v>
      </c>
      <c r="D552" t="inlineStr">
        <is>
          <t>UPPSALA LÄN</t>
        </is>
      </c>
      <c r="E552" t="inlineStr">
        <is>
          <t>TIERP</t>
        </is>
      </c>
      <c r="G552" t="n">
        <v>0.2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16253-2022</t>
        </is>
      </c>
      <c r="B553" s="1" t="n">
        <v>44670</v>
      </c>
      <c r="C553" s="1" t="n">
        <v>45890</v>
      </c>
      <c r="D553" t="inlineStr">
        <is>
          <t>UPPSALA LÄN</t>
        </is>
      </c>
      <c r="E553" t="inlineStr">
        <is>
          <t>TIERP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57532-2022</t>
        </is>
      </c>
      <c r="B554" s="1" t="n">
        <v>44896.68234953703</v>
      </c>
      <c r="C554" s="1" t="n">
        <v>45890</v>
      </c>
      <c r="D554" t="inlineStr">
        <is>
          <t>UPPSALA LÄN</t>
        </is>
      </c>
      <c r="E554" t="inlineStr">
        <is>
          <t>TIERP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46681-2022</t>
        </is>
      </c>
      <c r="B555" s="1" t="n">
        <v>44843</v>
      </c>
      <c r="C555" s="1" t="n">
        <v>45890</v>
      </c>
      <c r="D555" t="inlineStr">
        <is>
          <t>UPPSALA LÄN</t>
        </is>
      </c>
      <c r="E555" t="inlineStr">
        <is>
          <t>TIERP</t>
        </is>
      </c>
      <c r="G555" t="n">
        <v>5.9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57822-2024</t>
        </is>
      </c>
      <c r="B556" s="1" t="n">
        <v>45631.38398148148</v>
      </c>
      <c r="C556" s="1" t="n">
        <v>45890</v>
      </c>
      <c r="D556" t="inlineStr">
        <is>
          <t>UPPSALA LÄN</t>
        </is>
      </c>
      <c r="E556" t="inlineStr">
        <is>
          <t>TIERP</t>
        </is>
      </c>
      <c r="G556" t="n">
        <v>1.3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13066-2024</t>
        </is>
      </c>
      <c r="B557" s="1" t="n">
        <v>45385.63880787037</v>
      </c>
      <c r="C557" s="1" t="n">
        <v>45890</v>
      </c>
      <c r="D557" t="inlineStr">
        <is>
          <t>UPPSALA LÄN</t>
        </is>
      </c>
      <c r="E557" t="inlineStr">
        <is>
          <t>TIERP</t>
        </is>
      </c>
      <c r="F557" t="inlineStr">
        <is>
          <t>Bergvik skog öst AB</t>
        </is>
      </c>
      <c r="G557" t="n">
        <v>8.699999999999999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34044-2025</t>
        </is>
      </c>
      <c r="B558" s="1" t="n">
        <v>45845.38168981481</v>
      </c>
      <c r="C558" s="1" t="n">
        <v>45890</v>
      </c>
      <c r="D558" t="inlineStr">
        <is>
          <t>UPPSALA LÄN</t>
        </is>
      </c>
      <c r="E558" t="inlineStr">
        <is>
          <t>TIERP</t>
        </is>
      </c>
      <c r="F558" t="inlineStr">
        <is>
          <t>Övriga Aktiebolag</t>
        </is>
      </c>
      <c r="G558" t="n">
        <v>0.4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5993-2023</t>
        </is>
      </c>
      <c r="B559" s="1" t="n">
        <v>44964</v>
      </c>
      <c r="C559" s="1" t="n">
        <v>45890</v>
      </c>
      <c r="D559" t="inlineStr">
        <is>
          <t>UPPSALA LÄN</t>
        </is>
      </c>
      <c r="E559" t="inlineStr">
        <is>
          <t>TIERP</t>
        </is>
      </c>
      <c r="F559" t="inlineStr">
        <is>
          <t>Bergvik skog öst AB</t>
        </is>
      </c>
      <c r="G559" t="n">
        <v>4.1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60304-2024</t>
        </is>
      </c>
      <c r="B560" s="1" t="n">
        <v>45643</v>
      </c>
      <c r="C560" s="1" t="n">
        <v>45890</v>
      </c>
      <c r="D560" t="inlineStr">
        <is>
          <t>UPPSALA LÄN</t>
        </is>
      </c>
      <c r="E560" t="inlineStr">
        <is>
          <t>TIERP</t>
        </is>
      </c>
      <c r="F560" t="inlineStr">
        <is>
          <t>Bergvik skog öst AB</t>
        </is>
      </c>
      <c r="G560" t="n">
        <v>3.4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33946-2025</t>
        </is>
      </c>
      <c r="B561" s="1" t="n">
        <v>45842.65422453704</v>
      </c>
      <c r="C561" s="1" t="n">
        <v>45890</v>
      </c>
      <c r="D561" t="inlineStr">
        <is>
          <t>UPPSALA LÄN</t>
        </is>
      </c>
      <c r="E561" t="inlineStr">
        <is>
          <t>TIERP</t>
        </is>
      </c>
      <c r="F561" t="inlineStr">
        <is>
          <t>Bergvik skog öst AB</t>
        </is>
      </c>
      <c r="G561" t="n">
        <v>5.4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58264-2024</t>
        </is>
      </c>
      <c r="B562" s="1" t="n">
        <v>45632.5654050926</v>
      </c>
      <c r="C562" s="1" t="n">
        <v>45890</v>
      </c>
      <c r="D562" t="inlineStr">
        <is>
          <t>UPPSALA LÄN</t>
        </is>
      </c>
      <c r="E562" t="inlineStr">
        <is>
          <t>TIERP</t>
        </is>
      </c>
      <c r="G562" t="n">
        <v>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38940-2025</t>
        </is>
      </c>
      <c r="B563" s="1" t="n">
        <v>45887.64688657408</v>
      </c>
      <c r="C563" s="1" t="n">
        <v>45890</v>
      </c>
      <c r="D563" t="inlineStr">
        <is>
          <t>UPPSALA LÄN</t>
        </is>
      </c>
      <c r="E563" t="inlineStr">
        <is>
          <t>TIERP</t>
        </is>
      </c>
      <c r="F563" t="inlineStr">
        <is>
          <t>Bergvik skog öst AB</t>
        </is>
      </c>
      <c r="G563" t="n">
        <v>1.9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60769-2020</t>
        </is>
      </c>
      <c r="B564" s="1" t="n">
        <v>44154</v>
      </c>
      <c r="C564" s="1" t="n">
        <v>45890</v>
      </c>
      <c r="D564" t="inlineStr">
        <is>
          <t>UPPSALA LÄN</t>
        </is>
      </c>
      <c r="E564" t="inlineStr">
        <is>
          <t>TIERP</t>
        </is>
      </c>
      <c r="G564" t="n">
        <v>7.6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38831-2025</t>
        </is>
      </c>
      <c r="B565" s="1" t="n">
        <v>45887.52802083334</v>
      </c>
      <c r="C565" s="1" t="n">
        <v>45890</v>
      </c>
      <c r="D565" t="inlineStr">
        <is>
          <t>UPPSALA LÄN</t>
        </is>
      </c>
      <c r="E565" t="inlineStr">
        <is>
          <t>TIERP</t>
        </is>
      </c>
      <c r="G565" t="n">
        <v>6.8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34014-2025</t>
        </is>
      </c>
      <c r="B566" s="1" t="n">
        <v>45845.30168981481</v>
      </c>
      <c r="C566" s="1" t="n">
        <v>45890</v>
      </c>
      <c r="D566" t="inlineStr">
        <is>
          <t>UPPSALA LÄN</t>
        </is>
      </c>
      <c r="E566" t="inlineStr">
        <is>
          <t>TIERP</t>
        </is>
      </c>
      <c r="F566" t="inlineStr">
        <is>
          <t>Bergvik skog öst AB</t>
        </is>
      </c>
      <c r="G566" t="n">
        <v>0.6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62006-2024</t>
        </is>
      </c>
      <c r="B567" s="1" t="n">
        <v>45655</v>
      </c>
      <c r="C567" s="1" t="n">
        <v>45890</v>
      </c>
      <c r="D567" t="inlineStr">
        <is>
          <t>UPPSALA LÄN</t>
        </is>
      </c>
      <c r="E567" t="inlineStr">
        <is>
          <t>TIERP</t>
        </is>
      </c>
      <c r="G567" t="n">
        <v>4.2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34035-2025</t>
        </is>
      </c>
      <c r="B568" s="1" t="n">
        <v>45845.36872685186</v>
      </c>
      <c r="C568" s="1" t="n">
        <v>45890</v>
      </c>
      <c r="D568" t="inlineStr">
        <is>
          <t>UPPSALA LÄN</t>
        </is>
      </c>
      <c r="E568" t="inlineStr">
        <is>
          <t>TIERP</t>
        </is>
      </c>
      <c r="F568" t="inlineStr">
        <is>
          <t>Övriga Aktiebolag</t>
        </is>
      </c>
      <c r="G568" t="n">
        <v>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18526-2025</t>
        </is>
      </c>
      <c r="B569" s="1" t="n">
        <v>45763.4009375</v>
      </c>
      <c r="C569" s="1" t="n">
        <v>45890</v>
      </c>
      <c r="D569" t="inlineStr">
        <is>
          <t>UPPSALA LÄN</t>
        </is>
      </c>
      <c r="E569" t="inlineStr">
        <is>
          <t>TIERP</t>
        </is>
      </c>
      <c r="G569" t="n">
        <v>4.2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17438-2025</t>
        </is>
      </c>
      <c r="B570" s="1" t="n">
        <v>45757.42503472222</v>
      </c>
      <c r="C570" s="1" t="n">
        <v>45890</v>
      </c>
      <c r="D570" t="inlineStr">
        <is>
          <t>UPPSALA LÄN</t>
        </is>
      </c>
      <c r="E570" t="inlineStr">
        <is>
          <t>TIERP</t>
        </is>
      </c>
      <c r="F570" t="inlineStr">
        <is>
          <t>Bergvik skog öst AB</t>
        </is>
      </c>
      <c r="G570" t="n">
        <v>8.5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17454-2025</t>
        </is>
      </c>
      <c r="B571" s="1" t="n">
        <v>45757.44960648148</v>
      </c>
      <c r="C571" s="1" t="n">
        <v>45890</v>
      </c>
      <c r="D571" t="inlineStr">
        <is>
          <t>UPPSALA LÄN</t>
        </is>
      </c>
      <c r="E571" t="inlineStr">
        <is>
          <t>TIERP</t>
        </is>
      </c>
      <c r="G571" t="n">
        <v>1.3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20997-2022</t>
        </is>
      </c>
      <c r="B572" s="1" t="n">
        <v>44701</v>
      </c>
      <c r="C572" s="1" t="n">
        <v>45890</v>
      </c>
      <c r="D572" t="inlineStr">
        <is>
          <t>UPPSALA LÄN</t>
        </is>
      </c>
      <c r="E572" t="inlineStr">
        <is>
          <t>TIERP</t>
        </is>
      </c>
      <c r="F572" t="inlineStr">
        <is>
          <t>Bergvik skog väst AB</t>
        </is>
      </c>
      <c r="G572" t="n">
        <v>40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57818-2024</t>
        </is>
      </c>
      <c r="B573" s="1" t="n">
        <v>45631.38019675926</v>
      </c>
      <c r="C573" s="1" t="n">
        <v>45890</v>
      </c>
      <c r="D573" t="inlineStr">
        <is>
          <t>UPPSALA LÄN</t>
        </is>
      </c>
      <c r="E573" t="inlineStr">
        <is>
          <t>TIERP</t>
        </is>
      </c>
      <c r="G573" t="n">
        <v>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38951-2025</t>
        </is>
      </c>
      <c r="B574" s="1" t="n">
        <v>45887.66127314815</v>
      </c>
      <c r="C574" s="1" t="n">
        <v>45890</v>
      </c>
      <c r="D574" t="inlineStr">
        <is>
          <t>UPPSALA LÄN</t>
        </is>
      </c>
      <c r="E574" t="inlineStr">
        <is>
          <t>TIERP</t>
        </is>
      </c>
      <c r="F574" t="inlineStr">
        <is>
          <t>Bergvik skog öst AB</t>
        </is>
      </c>
      <c r="G574" t="n">
        <v>4.5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34112-2025</t>
        </is>
      </c>
      <c r="B575" s="1" t="n">
        <v>45845.50091435185</v>
      </c>
      <c r="C575" s="1" t="n">
        <v>45890</v>
      </c>
      <c r="D575" t="inlineStr">
        <is>
          <t>UPPSALA LÄN</t>
        </is>
      </c>
      <c r="E575" t="inlineStr">
        <is>
          <t>TIERP</t>
        </is>
      </c>
      <c r="F575" t="inlineStr">
        <is>
          <t>Bergvik skog väst AB</t>
        </is>
      </c>
      <c r="G575" t="n">
        <v>0.6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58601-2024</t>
        </is>
      </c>
      <c r="B576" s="1" t="n">
        <v>45635.54322916667</v>
      </c>
      <c r="C576" s="1" t="n">
        <v>45890</v>
      </c>
      <c r="D576" t="inlineStr">
        <is>
          <t>UPPSALA LÄN</t>
        </is>
      </c>
      <c r="E576" t="inlineStr">
        <is>
          <t>TIERP</t>
        </is>
      </c>
      <c r="G576" t="n">
        <v>2.2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34114-2025</t>
        </is>
      </c>
      <c r="B577" s="1" t="n">
        <v>45845.50322916666</v>
      </c>
      <c r="C577" s="1" t="n">
        <v>45890</v>
      </c>
      <c r="D577" t="inlineStr">
        <is>
          <t>UPPSALA LÄN</t>
        </is>
      </c>
      <c r="E577" t="inlineStr">
        <is>
          <t>TIERP</t>
        </is>
      </c>
      <c r="F577" t="inlineStr">
        <is>
          <t>Bergvik skog väst AB</t>
        </is>
      </c>
      <c r="G577" t="n">
        <v>18.6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33954-2025</t>
        </is>
      </c>
      <c r="B578" s="1" t="n">
        <v>45842.67362268519</v>
      </c>
      <c r="C578" s="1" t="n">
        <v>45890</v>
      </c>
      <c r="D578" t="inlineStr">
        <is>
          <t>UPPSALA LÄN</t>
        </is>
      </c>
      <c r="E578" t="inlineStr">
        <is>
          <t>TIERP</t>
        </is>
      </c>
      <c r="F578" t="inlineStr">
        <is>
          <t>Bergvik skog öst AB</t>
        </is>
      </c>
      <c r="G578" t="n">
        <v>1.4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33953-2025</t>
        </is>
      </c>
      <c r="B579" s="1" t="n">
        <v>45842.67251157408</v>
      </c>
      <c r="C579" s="1" t="n">
        <v>45890</v>
      </c>
      <c r="D579" t="inlineStr">
        <is>
          <t>UPPSALA LÄN</t>
        </is>
      </c>
      <c r="E579" t="inlineStr">
        <is>
          <t>TIERP</t>
        </is>
      </c>
      <c r="F579" t="inlineStr">
        <is>
          <t>Bergvik skog öst AB</t>
        </is>
      </c>
      <c r="G579" t="n">
        <v>1.8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12424-2024</t>
        </is>
      </c>
      <c r="B580" s="1" t="n">
        <v>45379.4344212963</v>
      </c>
      <c r="C580" s="1" t="n">
        <v>45890</v>
      </c>
      <c r="D580" t="inlineStr">
        <is>
          <t>UPPSALA LÄN</t>
        </is>
      </c>
      <c r="E580" t="inlineStr">
        <is>
          <t>TIERP</t>
        </is>
      </c>
      <c r="G580" t="n">
        <v>11.6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45146-2021</t>
        </is>
      </c>
      <c r="B581" s="1" t="n">
        <v>44439.46604166667</v>
      </c>
      <c r="C581" s="1" t="n">
        <v>45890</v>
      </c>
      <c r="D581" t="inlineStr">
        <is>
          <t>UPPSALA LÄN</t>
        </is>
      </c>
      <c r="E581" t="inlineStr">
        <is>
          <t>TIERP</t>
        </is>
      </c>
      <c r="G581" t="n">
        <v>1.8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20180-2025</t>
        </is>
      </c>
      <c r="B582" s="1" t="n">
        <v>45772.58797453704</v>
      </c>
      <c r="C582" s="1" t="n">
        <v>45890</v>
      </c>
      <c r="D582" t="inlineStr">
        <is>
          <t>UPPSALA LÄN</t>
        </is>
      </c>
      <c r="E582" t="inlineStr">
        <is>
          <t>TIERP</t>
        </is>
      </c>
      <c r="G582" t="n">
        <v>4.7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34455-2025</t>
        </is>
      </c>
      <c r="B583" s="1" t="n">
        <v>45847.32696759259</v>
      </c>
      <c r="C583" s="1" t="n">
        <v>45890</v>
      </c>
      <c r="D583" t="inlineStr">
        <is>
          <t>UPPSALA LÄN</t>
        </is>
      </c>
      <c r="E583" t="inlineStr">
        <is>
          <t>TIERP</t>
        </is>
      </c>
      <c r="G583" t="n">
        <v>1.3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17575-2025</t>
        </is>
      </c>
      <c r="B584" s="1" t="n">
        <v>45757.65234953703</v>
      </c>
      <c r="C584" s="1" t="n">
        <v>45890</v>
      </c>
      <c r="D584" t="inlineStr">
        <is>
          <t>UPPSALA LÄN</t>
        </is>
      </c>
      <c r="E584" t="inlineStr">
        <is>
          <t>TIERP</t>
        </is>
      </c>
      <c r="F584" t="inlineStr">
        <is>
          <t>Bergvik skog öst AB</t>
        </is>
      </c>
      <c r="G584" t="n">
        <v>0.5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39383-2025</t>
        </is>
      </c>
      <c r="B585" s="1" t="n">
        <v>45889.61184027778</v>
      </c>
      <c r="C585" s="1" t="n">
        <v>45890</v>
      </c>
      <c r="D585" t="inlineStr">
        <is>
          <t>UPPSALA LÄN</t>
        </is>
      </c>
      <c r="E585" t="inlineStr">
        <is>
          <t>TIERP</t>
        </is>
      </c>
      <c r="F585" t="inlineStr">
        <is>
          <t>Bergvik skog öst AB</t>
        </is>
      </c>
      <c r="G585" t="n">
        <v>1.2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14527-2025</t>
        </is>
      </c>
      <c r="B586" s="1" t="n">
        <v>45741.65077546296</v>
      </c>
      <c r="C586" s="1" t="n">
        <v>45890</v>
      </c>
      <c r="D586" t="inlineStr">
        <is>
          <t>UPPSALA LÄN</t>
        </is>
      </c>
      <c r="E586" t="inlineStr">
        <is>
          <t>TIERP</t>
        </is>
      </c>
      <c r="F586" t="inlineStr">
        <is>
          <t>Bergvik skog väst AB</t>
        </is>
      </c>
      <c r="G586" t="n">
        <v>0.5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39380-2025</t>
        </is>
      </c>
      <c r="B587" s="1" t="n">
        <v>45889.60385416666</v>
      </c>
      <c r="C587" s="1" t="n">
        <v>45890</v>
      </c>
      <c r="D587" t="inlineStr">
        <is>
          <t>UPPSALA LÄN</t>
        </is>
      </c>
      <c r="E587" t="inlineStr">
        <is>
          <t>TIERP</t>
        </is>
      </c>
      <c r="F587" t="inlineStr">
        <is>
          <t>Bergvik skog öst AB</t>
        </is>
      </c>
      <c r="G587" t="n">
        <v>3.2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59267-2024</t>
        </is>
      </c>
      <c r="B588" s="1" t="n">
        <v>45637</v>
      </c>
      <c r="C588" s="1" t="n">
        <v>45890</v>
      </c>
      <c r="D588" t="inlineStr">
        <is>
          <t>UPPSALA LÄN</t>
        </is>
      </c>
      <c r="E588" t="inlineStr">
        <is>
          <t>TIERP</t>
        </is>
      </c>
      <c r="G588" t="n">
        <v>4.1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33797-2023</t>
        </is>
      </c>
      <c r="B589" s="1" t="n">
        <v>45133</v>
      </c>
      <c r="C589" s="1" t="n">
        <v>45890</v>
      </c>
      <c r="D589" t="inlineStr">
        <is>
          <t>UPPSALA LÄN</t>
        </is>
      </c>
      <c r="E589" t="inlineStr">
        <is>
          <t>TIERP</t>
        </is>
      </c>
      <c r="F589" t="inlineStr">
        <is>
          <t>Bergvik skog öst AB</t>
        </is>
      </c>
      <c r="G589" t="n">
        <v>0.4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  <c r="U589">
        <f>HYPERLINK("https://klasma.github.io/Logging_0360/knärot/A 33797-2023 karta knärot.png", "A 33797-2023")</f>
        <v/>
      </c>
      <c r="V589">
        <f>HYPERLINK("https://klasma.github.io/Logging_0360/klagomål/A 33797-2023 FSC-klagomål.docx", "A 33797-2023")</f>
        <v/>
      </c>
      <c r="W589">
        <f>HYPERLINK("https://klasma.github.io/Logging_0360/klagomålsmail/A 33797-2023 FSC-klagomål mail.docx", "A 33797-2023")</f>
        <v/>
      </c>
      <c r="X589">
        <f>HYPERLINK("https://klasma.github.io/Logging_0360/tillsyn/A 33797-2023 tillsynsbegäran.docx", "A 33797-2023")</f>
        <v/>
      </c>
      <c r="Y589">
        <f>HYPERLINK("https://klasma.github.io/Logging_0360/tillsynsmail/A 33797-2023 tillsynsbegäran mail.docx", "A 33797-2023")</f>
        <v/>
      </c>
    </row>
    <row r="590" ht="15" customHeight="1">
      <c r="A590" t="inlineStr">
        <is>
          <t>A 39044-2025</t>
        </is>
      </c>
      <c r="B590" s="1" t="n">
        <v>45888.43912037037</v>
      </c>
      <c r="C590" s="1" t="n">
        <v>45890</v>
      </c>
      <c r="D590" t="inlineStr">
        <is>
          <t>UPPSALA LÄN</t>
        </is>
      </c>
      <c r="E590" t="inlineStr">
        <is>
          <t>TIERP</t>
        </is>
      </c>
      <c r="F590" t="inlineStr">
        <is>
          <t>Bergvik skog öst AB</t>
        </is>
      </c>
      <c r="G590" t="n">
        <v>0.9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39092-2025</t>
        </is>
      </c>
      <c r="B591" s="1" t="n">
        <v>45888.49290509259</v>
      </c>
      <c r="C591" s="1" t="n">
        <v>45890</v>
      </c>
      <c r="D591" t="inlineStr">
        <is>
          <t>UPPSALA LÄN</t>
        </is>
      </c>
      <c r="E591" t="inlineStr">
        <is>
          <t>TIERP</t>
        </is>
      </c>
      <c r="F591" t="inlineStr">
        <is>
          <t>Bergvik skog öst AB</t>
        </is>
      </c>
      <c r="G591" t="n">
        <v>0.8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19380-2025</t>
        </is>
      </c>
      <c r="B592" s="1" t="n">
        <v>45769.65503472222</v>
      </c>
      <c r="C592" s="1" t="n">
        <v>45890</v>
      </c>
      <c r="D592" t="inlineStr">
        <is>
          <t>UPPSALA LÄN</t>
        </is>
      </c>
      <c r="E592" t="inlineStr">
        <is>
          <t>TIERP</t>
        </is>
      </c>
      <c r="F592" t="inlineStr">
        <is>
          <t>Bergvik skog öst AB</t>
        </is>
      </c>
      <c r="G592" t="n">
        <v>0.9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22672-2023</t>
        </is>
      </c>
      <c r="B593" s="1" t="n">
        <v>45071.64012731481</v>
      </c>
      <c r="C593" s="1" t="n">
        <v>45890</v>
      </c>
      <c r="D593" t="inlineStr">
        <is>
          <t>UPPSALA LÄN</t>
        </is>
      </c>
      <c r="E593" t="inlineStr">
        <is>
          <t>TIERP</t>
        </is>
      </c>
      <c r="G593" t="n">
        <v>1.5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61677-2023</t>
        </is>
      </c>
      <c r="B594" s="1" t="n">
        <v>45265.62744212963</v>
      </c>
      <c r="C594" s="1" t="n">
        <v>45890</v>
      </c>
      <c r="D594" t="inlineStr">
        <is>
          <t>UPPSALA LÄN</t>
        </is>
      </c>
      <c r="E594" t="inlineStr">
        <is>
          <t>TIERP</t>
        </is>
      </c>
      <c r="G594" t="n">
        <v>0.4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19554-2025</t>
        </is>
      </c>
      <c r="B595" s="1" t="n">
        <v>45770.50824074074</v>
      </c>
      <c r="C595" s="1" t="n">
        <v>45890</v>
      </c>
      <c r="D595" t="inlineStr">
        <is>
          <t>UPPSALA LÄN</t>
        </is>
      </c>
      <c r="E595" t="inlineStr">
        <is>
          <t>TIERP</t>
        </is>
      </c>
      <c r="F595" t="inlineStr">
        <is>
          <t>Bergvik skog öst AB</t>
        </is>
      </c>
      <c r="G595" t="n">
        <v>6.2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7374-2025</t>
        </is>
      </c>
      <c r="B596" s="1" t="n">
        <v>45705.2896875</v>
      </c>
      <c r="C596" s="1" t="n">
        <v>45890</v>
      </c>
      <c r="D596" t="inlineStr">
        <is>
          <t>UPPSALA LÄN</t>
        </is>
      </c>
      <c r="E596" t="inlineStr">
        <is>
          <t>TIERP</t>
        </is>
      </c>
      <c r="F596" t="inlineStr">
        <is>
          <t>Bergvik skog väst AB</t>
        </is>
      </c>
      <c r="G596" t="n">
        <v>5.1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7375-2025</t>
        </is>
      </c>
      <c r="B597" s="1" t="n">
        <v>45705.29239583333</v>
      </c>
      <c r="C597" s="1" t="n">
        <v>45890</v>
      </c>
      <c r="D597" t="inlineStr">
        <is>
          <t>UPPSALA LÄN</t>
        </is>
      </c>
      <c r="E597" t="inlineStr">
        <is>
          <t>TIERP</t>
        </is>
      </c>
      <c r="F597" t="inlineStr">
        <is>
          <t>Bergvik skog väst AB</t>
        </is>
      </c>
      <c r="G597" t="n">
        <v>2.3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41223-2023</t>
        </is>
      </c>
      <c r="B598" s="1" t="n">
        <v>45174</v>
      </c>
      <c r="C598" s="1" t="n">
        <v>45890</v>
      </c>
      <c r="D598" t="inlineStr">
        <is>
          <t>UPPSALA LÄN</t>
        </is>
      </c>
      <c r="E598" t="inlineStr">
        <is>
          <t>TIERP</t>
        </is>
      </c>
      <c r="G598" t="n">
        <v>3.3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7591-2023</t>
        </is>
      </c>
      <c r="B599" s="1" t="n">
        <v>44972.43747685185</v>
      </c>
      <c r="C599" s="1" t="n">
        <v>45890</v>
      </c>
      <c r="D599" t="inlineStr">
        <is>
          <t>UPPSALA LÄN</t>
        </is>
      </c>
      <c r="E599" t="inlineStr">
        <is>
          <t>TIERP</t>
        </is>
      </c>
      <c r="G599" t="n">
        <v>0.7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18130-2022</t>
        </is>
      </c>
      <c r="B600" s="1" t="n">
        <v>44684.56060185185</v>
      </c>
      <c r="C600" s="1" t="n">
        <v>45890</v>
      </c>
      <c r="D600" t="inlineStr">
        <is>
          <t>UPPSALA LÄN</t>
        </is>
      </c>
      <c r="E600" t="inlineStr">
        <is>
          <t>TIERP</t>
        </is>
      </c>
      <c r="G600" t="n">
        <v>7.6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30509-2024</t>
        </is>
      </c>
      <c r="B601" s="1" t="n">
        <v>45492.45841435185</v>
      </c>
      <c r="C601" s="1" t="n">
        <v>45890</v>
      </c>
      <c r="D601" t="inlineStr">
        <is>
          <t>UPPSALA LÄN</t>
        </is>
      </c>
      <c r="E601" t="inlineStr">
        <is>
          <t>TIERP</t>
        </is>
      </c>
      <c r="F601" t="inlineStr">
        <is>
          <t>Bergvik skog öst AB</t>
        </is>
      </c>
      <c r="G601" t="n">
        <v>2.4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11572-2025</t>
        </is>
      </c>
      <c r="B602" s="1" t="n">
        <v>45727.38053240741</v>
      </c>
      <c r="C602" s="1" t="n">
        <v>45890</v>
      </c>
      <c r="D602" t="inlineStr">
        <is>
          <t>UPPSALA LÄN</t>
        </is>
      </c>
      <c r="E602" t="inlineStr">
        <is>
          <t>TIERP</t>
        </is>
      </c>
      <c r="F602" t="inlineStr">
        <is>
          <t>Bergvik skog öst AB</t>
        </is>
      </c>
      <c r="G602" t="n">
        <v>9.800000000000001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40624-2023</t>
        </is>
      </c>
      <c r="B603" s="1" t="n">
        <v>45170.52974537037</v>
      </c>
      <c r="C603" s="1" t="n">
        <v>45890</v>
      </c>
      <c r="D603" t="inlineStr">
        <is>
          <t>UPPSALA LÄN</t>
        </is>
      </c>
      <c r="E603" t="inlineStr">
        <is>
          <t>TIERP</t>
        </is>
      </c>
      <c r="F603" t="inlineStr">
        <is>
          <t>Bergvik skog väst AB</t>
        </is>
      </c>
      <c r="G603" t="n">
        <v>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9238-2023</t>
        </is>
      </c>
      <c r="B604" s="1" t="n">
        <v>44980</v>
      </c>
      <c r="C604" s="1" t="n">
        <v>45890</v>
      </c>
      <c r="D604" t="inlineStr">
        <is>
          <t>UPPSALA LÄN</t>
        </is>
      </c>
      <c r="E604" t="inlineStr">
        <is>
          <t>TIERP</t>
        </is>
      </c>
      <c r="G604" t="n">
        <v>4.8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9432-2023</t>
        </is>
      </c>
      <c r="B605" s="1" t="n">
        <v>44981.51266203704</v>
      </c>
      <c r="C605" s="1" t="n">
        <v>45890</v>
      </c>
      <c r="D605" t="inlineStr">
        <is>
          <t>UPPSALA LÄN</t>
        </is>
      </c>
      <c r="E605" t="inlineStr">
        <is>
          <t>TIERP</t>
        </is>
      </c>
      <c r="G605" t="n">
        <v>0.7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13214-2025</t>
        </is>
      </c>
      <c r="B606" s="1" t="n">
        <v>45735.44649305556</v>
      </c>
      <c r="C606" s="1" t="n">
        <v>45890</v>
      </c>
      <c r="D606" t="inlineStr">
        <is>
          <t>UPPSALA LÄN</t>
        </is>
      </c>
      <c r="E606" t="inlineStr">
        <is>
          <t>TIERP</t>
        </is>
      </c>
      <c r="G606" t="n">
        <v>1.9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34648-2021</t>
        </is>
      </c>
      <c r="B607" s="1" t="n">
        <v>44382</v>
      </c>
      <c r="C607" s="1" t="n">
        <v>45890</v>
      </c>
      <c r="D607" t="inlineStr">
        <is>
          <t>UPPSALA LÄN</t>
        </is>
      </c>
      <c r="E607" t="inlineStr">
        <is>
          <t>TIERP</t>
        </is>
      </c>
      <c r="F607" t="inlineStr">
        <is>
          <t>Bergvik skog väst AB</t>
        </is>
      </c>
      <c r="G607" t="n">
        <v>0.3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6071-2023</t>
        </is>
      </c>
      <c r="B608" s="1" t="n">
        <v>44964.51579861111</v>
      </c>
      <c r="C608" s="1" t="n">
        <v>45890</v>
      </c>
      <c r="D608" t="inlineStr">
        <is>
          <t>UPPSALA LÄN</t>
        </is>
      </c>
      <c r="E608" t="inlineStr">
        <is>
          <t>TIERP</t>
        </is>
      </c>
      <c r="G608" t="n">
        <v>0.7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30110-2024</t>
        </is>
      </c>
      <c r="B609" s="1" t="n">
        <v>45489</v>
      </c>
      <c r="C609" s="1" t="n">
        <v>45890</v>
      </c>
      <c r="D609" t="inlineStr">
        <is>
          <t>UPPSALA LÄN</t>
        </is>
      </c>
      <c r="E609" t="inlineStr">
        <is>
          <t>TIERP</t>
        </is>
      </c>
      <c r="G609" t="n">
        <v>1.4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18378-2025</t>
        </is>
      </c>
      <c r="B610" s="1" t="n">
        <v>45762.57510416667</v>
      </c>
      <c r="C610" s="1" t="n">
        <v>45890</v>
      </c>
      <c r="D610" t="inlineStr">
        <is>
          <t>UPPSALA LÄN</t>
        </is>
      </c>
      <c r="E610" t="inlineStr">
        <is>
          <t>TIERP</t>
        </is>
      </c>
      <c r="F610" t="inlineStr">
        <is>
          <t>Bergvik skog öst AB</t>
        </is>
      </c>
      <c r="G610" t="n">
        <v>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11932-2021</t>
        </is>
      </c>
      <c r="B611" s="1" t="n">
        <v>44266.35443287037</v>
      </c>
      <c r="C611" s="1" t="n">
        <v>45890</v>
      </c>
      <c r="D611" t="inlineStr">
        <is>
          <t>UPPSALA LÄN</t>
        </is>
      </c>
      <c r="E611" t="inlineStr">
        <is>
          <t>TIERP</t>
        </is>
      </c>
      <c r="F611" t="inlineStr">
        <is>
          <t>Bergvik skog öst AB</t>
        </is>
      </c>
      <c r="G611" t="n">
        <v>0.4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20846-2024</t>
        </is>
      </c>
      <c r="B612" s="1" t="n">
        <v>45439</v>
      </c>
      <c r="C612" s="1" t="n">
        <v>45890</v>
      </c>
      <c r="D612" t="inlineStr">
        <is>
          <t>UPPSALA LÄN</t>
        </is>
      </c>
      <c r="E612" t="inlineStr">
        <is>
          <t>TIERP</t>
        </is>
      </c>
      <c r="G612" t="n">
        <v>0.8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50227-2024</t>
        </is>
      </c>
      <c r="B613" s="1" t="n">
        <v>45600.54467592593</v>
      </c>
      <c r="C613" s="1" t="n">
        <v>45890</v>
      </c>
      <c r="D613" t="inlineStr">
        <is>
          <t>UPPSALA LÄN</t>
        </is>
      </c>
      <c r="E613" t="inlineStr">
        <is>
          <t>TIERP</t>
        </is>
      </c>
      <c r="G613" t="n">
        <v>4.5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15587-2021</t>
        </is>
      </c>
      <c r="B614" s="1" t="n">
        <v>44285.6565162037</v>
      </c>
      <c r="C614" s="1" t="n">
        <v>45890</v>
      </c>
      <c r="D614" t="inlineStr">
        <is>
          <t>UPPSALA LÄN</t>
        </is>
      </c>
      <c r="E614" t="inlineStr">
        <is>
          <t>TIERP</t>
        </is>
      </c>
      <c r="F614" t="inlineStr">
        <is>
          <t>Bergvik skog väst AB</t>
        </is>
      </c>
      <c r="G614" t="n">
        <v>4.1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18516-2025</t>
        </is>
      </c>
      <c r="B615" s="1" t="n">
        <v>45763.38787037037</v>
      </c>
      <c r="C615" s="1" t="n">
        <v>45890</v>
      </c>
      <c r="D615" t="inlineStr">
        <is>
          <t>UPPSALA LÄN</t>
        </is>
      </c>
      <c r="E615" t="inlineStr">
        <is>
          <t>TIERP</t>
        </is>
      </c>
      <c r="F615" t="inlineStr">
        <is>
          <t>Bergvik skog öst AB</t>
        </is>
      </c>
      <c r="G615" t="n">
        <v>1.2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9664-2023</t>
        </is>
      </c>
      <c r="B616" s="1" t="n">
        <v>44984</v>
      </c>
      <c r="C616" s="1" t="n">
        <v>45890</v>
      </c>
      <c r="D616" t="inlineStr">
        <is>
          <t>UPPSALA LÄN</t>
        </is>
      </c>
      <c r="E616" t="inlineStr">
        <is>
          <t>TIERP</t>
        </is>
      </c>
      <c r="G616" t="n">
        <v>2.2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20496-2023</t>
        </is>
      </c>
      <c r="B617" s="1" t="n">
        <v>45057.42894675926</v>
      </c>
      <c r="C617" s="1" t="n">
        <v>45890</v>
      </c>
      <c r="D617" t="inlineStr">
        <is>
          <t>UPPSALA LÄN</t>
        </is>
      </c>
      <c r="E617" t="inlineStr">
        <is>
          <t>TIERP</t>
        </is>
      </c>
      <c r="G617" t="n">
        <v>0.9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58772-2024</t>
        </is>
      </c>
      <c r="B618" s="1" t="n">
        <v>45635</v>
      </c>
      <c r="C618" s="1" t="n">
        <v>45890</v>
      </c>
      <c r="D618" t="inlineStr">
        <is>
          <t>UPPSALA LÄN</t>
        </is>
      </c>
      <c r="E618" t="inlineStr">
        <is>
          <t>TIERP</t>
        </is>
      </c>
      <c r="G618" t="n">
        <v>4.7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2838-2025</t>
        </is>
      </c>
      <c r="B619" s="1" t="n">
        <v>45677.64354166666</v>
      </c>
      <c r="C619" s="1" t="n">
        <v>45890</v>
      </c>
      <c r="D619" t="inlineStr">
        <is>
          <t>UPPSALA LÄN</t>
        </is>
      </c>
      <c r="E619" t="inlineStr">
        <is>
          <t>TIERP</t>
        </is>
      </c>
      <c r="F619" t="inlineStr">
        <is>
          <t>Bergvik skog väst AB</t>
        </is>
      </c>
      <c r="G619" t="n">
        <v>9.300000000000001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2454-2024</t>
        </is>
      </c>
      <c r="B620" s="1" t="n">
        <v>45312</v>
      </c>
      <c r="C620" s="1" t="n">
        <v>45890</v>
      </c>
      <c r="D620" t="inlineStr">
        <is>
          <t>UPPSALA LÄN</t>
        </is>
      </c>
      <c r="E620" t="inlineStr">
        <is>
          <t>TIERP</t>
        </is>
      </c>
      <c r="G620" t="n">
        <v>2.4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5995-2023</t>
        </is>
      </c>
      <c r="B621" s="1" t="n">
        <v>44964</v>
      </c>
      <c r="C621" s="1" t="n">
        <v>45890</v>
      </c>
      <c r="D621" t="inlineStr">
        <is>
          <t>UPPSALA LÄN</t>
        </is>
      </c>
      <c r="E621" t="inlineStr">
        <is>
          <t>TIERP</t>
        </is>
      </c>
      <c r="F621" t="inlineStr">
        <is>
          <t>Bergvik skog öst AB</t>
        </is>
      </c>
      <c r="G621" t="n">
        <v>1.3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1056-2025</t>
        </is>
      </c>
      <c r="B622" s="1" t="n">
        <v>45666</v>
      </c>
      <c r="C622" s="1" t="n">
        <v>45890</v>
      </c>
      <c r="D622" t="inlineStr">
        <is>
          <t>UPPSALA LÄN</t>
        </is>
      </c>
      <c r="E622" t="inlineStr">
        <is>
          <t>TIERP</t>
        </is>
      </c>
      <c r="G622" t="n">
        <v>0.7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6049-2023</t>
        </is>
      </c>
      <c r="B623" s="1" t="n">
        <v>44964</v>
      </c>
      <c r="C623" s="1" t="n">
        <v>45890</v>
      </c>
      <c r="D623" t="inlineStr">
        <is>
          <t>UPPSALA LÄN</t>
        </is>
      </c>
      <c r="E623" t="inlineStr">
        <is>
          <t>TIERP</t>
        </is>
      </c>
      <c r="F623" t="inlineStr">
        <is>
          <t>Bergvik skog öst AB</t>
        </is>
      </c>
      <c r="G623" t="n">
        <v>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59923-2023</t>
        </is>
      </c>
      <c r="B624" s="1" t="n">
        <v>45257.65261574074</v>
      </c>
      <c r="C624" s="1" t="n">
        <v>45890</v>
      </c>
      <c r="D624" t="inlineStr">
        <is>
          <t>UPPSALA LÄN</t>
        </is>
      </c>
      <c r="E624" t="inlineStr">
        <is>
          <t>TIERP</t>
        </is>
      </c>
      <c r="G624" t="n">
        <v>1.8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57402-2024</t>
        </is>
      </c>
      <c r="B625" s="1" t="n">
        <v>45629</v>
      </c>
      <c r="C625" s="1" t="n">
        <v>45890</v>
      </c>
      <c r="D625" t="inlineStr">
        <is>
          <t>UPPSALA LÄN</t>
        </is>
      </c>
      <c r="E625" t="inlineStr">
        <is>
          <t>TIERP</t>
        </is>
      </c>
      <c r="G625" t="n">
        <v>1.1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60989-2023</t>
        </is>
      </c>
      <c r="B626" s="1" t="n">
        <v>45259</v>
      </c>
      <c r="C626" s="1" t="n">
        <v>45890</v>
      </c>
      <c r="D626" t="inlineStr">
        <is>
          <t>UPPSALA LÄN</t>
        </is>
      </c>
      <c r="E626" t="inlineStr">
        <is>
          <t>TIERP</t>
        </is>
      </c>
      <c r="G626" t="n">
        <v>1.1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5126-2024</t>
        </is>
      </c>
      <c r="B627" s="1" t="n">
        <v>45330.44269675926</v>
      </c>
      <c r="C627" s="1" t="n">
        <v>45890</v>
      </c>
      <c r="D627" t="inlineStr">
        <is>
          <t>UPPSALA LÄN</t>
        </is>
      </c>
      <c r="E627" t="inlineStr">
        <is>
          <t>TIERP</t>
        </is>
      </c>
      <c r="G627" t="n">
        <v>1.4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>
      <c r="A628" t="inlineStr">
        <is>
          <t>A 3503-2024</t>
        </is>
      </c>
      <c r="B628" s="1" t="n">
        <v>45320</v>
      </c>
      <c r="C628" s="1" t="n">
        <v>45890</v>
      </c>
      <c r="D628" t="inlineStr">
        <is>
          <t>UPPSALA LÄN</t>
        </is>
      </c>
      <c r="E628" t="inlineStr">
        <is>
          <t>TIERP</t>
        </is>
      </c>
      <c r="G628" t="n">
        <v>1.3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2025-08-21T08:29:02Z</dcterms:created>
  <dcterms:modified xmlns:dcterms="http://purl.org/dc/terms/" xmlns:xsi="http://www.w3.org/2001/XMLSchema-instance" xsi:type="dcterms:W3CDTF">2025-08-21T08:29:03Z</dcterms:modified>
</cp:coreProperties>
</file>