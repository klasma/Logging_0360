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45708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45708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45708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45708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45708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45708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45708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45708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45708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45708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45708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45708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45708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45708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45708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45708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45708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45708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45708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45708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45708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45708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35563-2019</t>
        </is>
      </c>
      <c r="B42" s="1" t="n">
        <v>43664</v>
      </c>
      <c r="C42" s="1" t="n">
        <v>45708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Nästrot
Tibast</t>
        </is>
      </c>
      <c r="S42">
        <f>HYPERLINK("https://klasma.github.io/Logging_0360/artfynd/A 35563-2019 artfynd.xlsx", "A 35563-2019")</f>
        <v/>
      </c>
      <c r="T42">
        <f>HYPERLINK("https://klasma.github.io/Logging_0360/kartor/A 35563-2019 karta.png", "A 35563-2019")</f>
        <v/>
      </c>
      <c r="V42">
        <f>HYPERLINK("https://klasma.github.io/Logging_0360/klagomål/A 35563-2019 FSC-klagomål.docx", "A 35563-2019")</f>
        <v/>
      </c>
      <c r="W42">
        <f>HYPERLINK("https://klasma.github.io/Logging_0360/klagomålsmail/A 35563-2019 FSC-klagomål mail.docx", "A 35563-2019")</f>
        <v/>
      </c>
      <c r="X42">
        <f>HYPERLINK("https://klasma.github.io/Logging_0360/tillsyn/A 35563-2019 tillsynsbegäran.docx", "A 35563-2019")</f>
        <v/>
      </c>
      <c r="Y42">
        <f>HYPERLINK("https://klasma.github.io/Logging_0360/tillsynsmail/A 35563-2019 tillsynsbegäran mail.docx", "A 35563-2019")</f>
        <v/>
      </c>
    </row>
    <row r="43" ht="15" customHeight="1">
      <c r="A43" t="inlineStr">
        <is>
          <t>A 60083-2019</t>
        </is>
      </c>
      <c r="B43" s="1" t="n">
        <v>43777</v>
      </c>
      <c r="C43" s="1" t="n">
        <v>45708</v>
      </c>
      <c r="D43" t="inlineStr">
        <is>
          <t>UPPSALA LÄN</t>
        </is>
      </c>
      <c r="E43" t="inlineStr">
        <is>
          <t>TIERP</t>
        </is>
      </c>
      <c r="G43" t="n">
        <v>2.7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Granbarkgnagare
Skarp dropptaggsvamp</t>
        </is>
      </c>
      <c r="S43">
        <f>HYPERLINK("https://klasma.github.io/Logging_0360/artfynd/A 60083-2019 artfynd.xlsx", "A 60083-2019")</f>
        <v/>
      </c>
      <c r="T43">
        <f>HYPERLINK("https://klasma.github.io/Logging_0360/kartor/A 60083-2019 karta.png", "A 60083-2019")</f>
        <v/>
      </c>
      <c r="V43">
        <f>HYPERLINK("https://klasma.github.io/Logging_0360/klagomål/A 60083-2019 FSC-klagomål.docx", "A 60083-2019")</f>
        <v/>
      </c>
      <c r="W43">
        <f>HYPERLINK("https://klasma.github.io/Logging_0360/klagomålsmail/A 60083-2019 FSC-klagomål mail.docx", "A 60083-2019")</f>
        <v/>
      </c>
      <c r="X43">
        <f>HYPERLINK("https://klasma.github.io/Logging_0360/tillsyn/A 60083-2019 tillsynsbegäran.docx", "A 60083-2019")</f>
        <v/>
      </c>
      <c r="Y43">
        <f>HYPERLINK("https://klasma.github.io/Logging_0360/tillsynsmail/A 60083-2019 tillsynsbegäran mail.docx", "A 60083-2019")</f>
        <v/>
      </c>
    </row>
    <row r="44" ht="15" customHeight="1">
      <c r="A44" t="inlineStr">
        <is>
          <t>A 18788-2020</t>
        </is>
      </c>
      <c r="B44" s="1" t="n">
        <v>43931</v>
      </c>
      <c r="C44" s="1" t="n">
        <v>45708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Rödbrun blekspik</t>
        </is>
      </c>
      <c r="S44">
        <f>HYPERLINK("https://klasma.github.io/Logging_0360/artfynd/A 18788-2020 artfynd.xlsx", "A 18788-2020")</f>
        <v/>
      </c>
      <c r="T44">
        <f>HYPERLINK("https://klasma.github.io/Logging_0360/kartor/A 18788-2020 karta.png", "A 18788-2020")</f>
        <v/>
      </c>
      <c r="V44">
        <f>HYPERLINK("https://klasma.github.io/Logging_0360/klagomål/A 18788-2020 FSC-klagomål.docx", "A 18788-2020")</f>
        <v/>
      </c>
      <c r="W44">
        <f>HYPERLINK("https://klasma.github.io/Logging_0360/klagomålsmail/A 18788-2020 FSC-klagomål mail.docx", "A 18788-2020")</f>
        <v/>
      </c>
      <c r="X44">
        <f>HYPERLINK("https://klasma.github.io/Logging_0360/tillsyn/A 18788-2020 tillsynsbegäran.docx", "A 18788-2020")</f>
        <v/>
      </c>
      <c r="Y44">
        <f>HYPERLINK("https://klasma.github.io/Logging_0360/tillsynsmail/A 18788-2020 tillsynsbegäran mail.docx", "A 18788-2020")</f>
        <v/>
      </c>
    </row>
    <row r="45" ht="15" customHeight="1">
      <c r="A45" t="inlineStr">
        <is>
          <t>A 53324-2021</t>
        </is>
      </c>
      <c r="B45" s="1" t="n">
        <v>44468</v>
      </c>
      <c r="C45" s="1" t="n">
        <v>45708</v>
      </c>
      <c r="D45" t="inlineStr">
        <is>
          <t>UPPSALA LÄN</t>
        </is>
      </c>
      <c r="E45" t="inlineStr">
        <is>
          <t>TIERP</t>
        </is>
      </c>
      <c r="G45" t="n">
        <v>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Stor aspticka</t>
        </is>
      </c>
      <c r="S45">
        <f>HYPERLINK("https://klasma.github.io/Logging_0360/artfynd/A 53324-2021 artfynd.xlsx", "A 53324-2021")</f>
        <v/>
      </c>
      <c r="T45">
        <f>HYPERLINK("https://klasma.github.io/Logging_0360/kartor/A 53324-2021 karta.png", "A 53324-2021")</f>
        <v/>
      </c>
      <c r="V45">
        <f>HYPERLINK("https://klasma.github.io/Logging_0360/klagomål/A 53324-2021 FSC-klagomål.docx", "A 53324-2021")</f>
        <v/>
      </c>
      <c r="W45">
        <f>HYPERLINK("https://klasma.github.io/Logging_0360/klagomålsmail/A 53324-2021 FSC-klagomål mail.docx", "A 53324-2021")</f>
        <v/>
      </c>
      <c r="X45">
        <f>HYPERLINK("https://klasma.github.io/Logging_0360/tillsyn/A 53324-2021 tillsynsbegäran.docx", "A 53324-2021")</f>
        <v/>
      </c>
      <c r="Y45">
        <f>HYPERLINK("https://klasma.github.io/Logging_0360/tillsynsmail/A 53324-2021 tillsynsbegäran mail.docx", "A 53324-2021")</f>
        <v/>
      </c>
    </row>
    <row r="46" ht="15" customHeight="1">
      <c r="A46" t="inlineStr">
        <is>
          <t>A 12186-2022</t>
        </is>
      </c>
      <c r="B46" s="1" t="n">
        <v>44636</v>
      </c>
      <c r="C46" s="1" t="n">
        <v>45708</v>
      </c>
      <c r="D46" t="inlineStr">
        <is>
          <t>UPPSALA LÄN</t>
        </is>
      </c>
      <c r="E46" t="inlineStr">
        <is>
          <t>TIERP</t>
        </is>
      </c>
      <c r="G46" t="n">
        <v>8.1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Flattoppad klubbsvamp
Äggspindling</t>
        </is>
      </c>
      <c r="S46">
        <f>HYPERLINK("https://klasma.github.io/Logging_0360/artfynd/A 12186-2022 artfynd.xlsx", "A 12186-2022")</f>
        <v/>
      </c>
      <c r="T46">
        <f>HYPERLINK("https://klasma.github.io/Logging_0360/kartor/A 12186-2022 karta.png", "A 12186-2022")</f>
        <v/>
      </c>
      <c r="V46">
        <f>HYPERLINK("https://klasma.github.io/Logging_0360/klagomål/A 12186-2022 FSC-klagomål.docx", "A 12186-2022")</f>
        <v/>
      </c>
      <c r="W46">
        <f>HYPERLINK("https://klasma.github.io/Logging_0360/klagomålsmail/A 12186-2022 FSC-klagomål mail.docx", "A 12186-2022")</f>
        <v/>
      </c>
      <c r="X46">
        <f>HYPERLINK("https://klasma.github.io/Logging_0360/tillsyn/A 12186-2022 tillsynsbegäran.docx", "A 12186-2022")</f>
        <v/>
      </c>
      <c r="Y46">
        <f>HYPERLINK("https://klasma.github.io/Logging_0360/tillsynsmail/A 12186-2022 tillsynsbegäran mail.docx", "A 12186-2022")</f>
        <v/>
      </c>
    </row>
    <row r="47" ht="15" customHeight="1">
      <c r="A47" t="inlineStr">
        <is>
          <t>A 14093-2022</t>
        </is>
      </c>
      <c r="B47" s="1" t="n">
        <v>44651</v>
      </c>
      <c r="C47" s="1" t="n">
        <v>45708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Jättesvampmal</t>
        </is>
      </c>
      <c r="S47">
        <f>HYPERLINK("https://klasma.github.io/Logging_0360/artfynd/A 14093-2022 artfynd.xlsx", "A 14093-2022")</f>
        <v/>
      </c>
      <c r="T47">
        <f>HYPERLINK("https://klasma.github.io/Logging_0360/kartor/A 14093-2022 karta.png", "A 14093-2022")</f>
        <v/>
      </c>
      <c r="V47">
        <f>HYPERLINK("https://klasma.github.io/Logging_0360/klagomål/A 14093-2022 FSC-klagomål.docx", "A 14093-2022")</f>
        <v/>
      </c>
      <c r="W47">
        <f>HYPERLINK("https://klasma.github.io/Logging_0360/klagomålsmail/A 14093-2022 FSC-klagomål mail.docx", "A 14093-2022")</f>
        <v/>
      </c>
      <c r="X47">
        <f>HYPERLINK("https://klasma.github.io/Logging_0360/tillsyn/A 14093-2022 tillsynsbegäran.docx", "A 14093-2022")</f>
        <v/>
      </c>
      <c r="Y47">
        <f>HYPERLINK("https://klasma.github.io/Logging_0360/tillsynsmail/A 14093-2022 tillsynsbegäran mail.docx", "A 14093-2022")</f>
        <v/>
      </c>
    </row>
    <row r="48" ht="15" customHeight="1">
      <c r="A48" t="inlineStr">
        <is>
          <t>A 45851-2022</t>
        </is>
      </c>
      <c r="B48" s="1" t="n">
        <v>44846</v>
      </c>
      <c r="C48" s="1" t="n">
        <v>45708</v>
      </c>
      <c r="D48" t="inlineStr">
        <is>
          <t>UPPSALA LÄN</t>
        </is>
      </c>
      <c r="E48" t="inlineStr">
        <is>
          <t>TIERP</t>
        </is>
      </c>
      <c r="G48" t="n">
        <v>2.6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Olivspindling
Rödgul trumpetsvamp</t>
        </is>
      </c>
      <c r="S48">
        <f>HYPERLINK("https://klasma.github.io/Logging_0360/artfynd/A 45851-2022 artfynd.xlsx", "A 45851-2022")</f>
        <v/>
      </c>
      <c r="T48">
        <f>HYPERLINK("https://klasma.github.io/Logging_0360/kartor/A 45851-2022 karta.png", "A 45851-2022")</f>
        <v/>
      </c>
      <c r="V48">
        <f>HYPERLINK("https://klasma.github.io/Logging_0360/klagomål/A 45851-2022 FSC-klagomål.docx", "A 45851-2022")</f>
        <v/>
      </c>
      <c r="W48">
        <f>HYPERLINK("https://klasma.github.io/Logging_0360/klagomålsmail/A 45851-2022 FSC-klagomål mail.docx", "A 45851-2022")</f>
        <v/>
      </c>
      <c r="X48">
        <f>HYPERLINK("https://klasma.github.io/Logging_0360/tillsyn/A 45851-2022 tillsynsbegäran.docx", "A 45851-2022")</f>
        <v/>
      </c>
      <c r="Y48">
        <f>HYPERLINK("https://klasma.github.io/Logging_0360/tillsynsmail/A 45851-2022 tillsynsbegäran mail.docx", "A 45851-2022")</f>
        <v/>
      </c>
    </row>
    <row r="49" ht="15" customHeight="1">
      <c r="A49" t="inlineStr">
        <is>
          <t>A 56531-2022</t>
        </is>
      </c>
      <c r="B49" s="1" t="n">
        <v>44887</v>
      </c>
      <c r="C49" s="1" t="n">
        <v>45708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14.2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56531-2022 artfynd.xlsx", "A 56531-2022")</f>
        <v/>
      </c>
      <c r="T49">
        <f>HYPERLINK("https://klasma.github.io/Logging_0360/kartor/A 56531-2022 karta.png", "A 56531-2022")</f>
        <v/>
      </c>
      <c r="V49">
        <f>HYPERLINK("https://klasma.github.io/Logging_0360/klagomål/A 56531-2022 FSC-klagomål.docx", "A 56531-2022")</f>
        <v/>
      </c>
      <c r="W49">
        <f>HYPERLINK("https://klasma.github.io/Logging_0360/klagomålsmail/A 56531-2022 FSC-klagomål mail.docx", "A 56531-2022")</f>
        <v/>
      </c>
      <c r="X49">
        <f>HYPERLINK("https://klasma.github.io/Logging_0360/tillsyn/A 56531-2022 tillsynsbegäran.docx", "A 56531-2022")</f>
        <v/>
      </c>
      <c r="Y49">
        <f>HYPERLINK("https://klasma.github.io/Logging_0360/tillsynsmail/A 56531-2022 tillsynsbegäran mail.docx", "A 56531-2022")</f>
        <v/>
      </c>
      <c r="Z49">
        <f>HYPERLINK("https://klasma.github.io/Logging_0360/fåglar/A 56531-2022 prioriterade fågelarter.docx", "A 56531-2022")</f>
        <v/>
      </c>
    </row>
    <row r="50" ht="15" customHeight="1">
      <c r="A50" t="inlineStr">
        <is>
          <t>A 3510-2023</t>
        </is>
      </c>
      <c r="B50" s="1" t="n">
        <v>44950</v>
      </c>
      <c r="C50" s="1" t="n">
        <v>45708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Revlummer</t>
        </is>
      </c>
      <c r="S50">
        <f>HYPERLINK("https://klasma.github.io/Logging_0360/artfynd/A 3510-2023 artfynd.xlsx", "A 3510-2023")</f>
        <v/>
      </c>
      <c r="T50">
        <f>HYPERLINK("https://klasma.github.io/Logging_0360/kartor/A 3510-2023 karta.png", "A 3510-2023")</f>
        <v/>
      </c>
      <c r="V50">
        <f>HYPERLINK("https://klasma.github.io/Logging_0360/klagomål/A 3510-2023 FSC-klagomål.docx", "A 3510-2023")</f>
        <v/>
      </c>
      <c r="W50">
        <f>HYPERLINK("https://klasma.github.io/Logging_0360/klagomålsmail/A 3510-2023 FSC-klagomål mail.docx", "A 3510-2023")</f>
        <v/>
      </c>
      <c r="X50">
        <f>HYPERLINK("https://klasma.github.io/Logging_0360/tillsyn/A 3510-2023 tillsynsbegäran.docx", "A 3510-2023")</f>
        <v/>
      </c>
      <c r="Y50">
        <f>HYPERLINK("https://klasma.github.io/Logging_0360/tillsynsmail/A 3510-2023 tillsynsbegäran mail.docx", "A 3510-2023")</f>
        <v/>
      </c>
    </row>
    <row r="51" ht="15" customHeight="1">
      <c r="A51" t="inlineStr">
        <is>
          <t>A 14191-2023</t>
        </is>
      </c>
      <c r="B51" s="1" t="n">
        <v>45009</v>
      </c>
      <c r="C51" s="1" t="n">
        <v>45708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HYPERLINK("https://klasma.github.io/Logging_0360/artfynd/A 14191-2023 artfynd.xlsx", "A 14191-2023")</f>
        <v/>
      </c>
      <c r="T51">
        <f>HYPERLINK("https://klasma.github.io/Logging_0360/kartor/A 14191-2023 karta.png", "A 14191-2023")</f>
        <v/>
      </c>
      <c r="V51">
        <f>HYPERLINK("https://klasma.github.io/Logging_0360/klagomål/A 14191-2023 FSC-klagomål.docx", "A 14191-2023")</f>
        <v/>
      </c>
      <c r="W51">
        <f>HYPERLINK("https://klasma.github.io/Logging_0360/klagomålsmail/A 14191-2023 FSC-klagomål mail.docx", "A 14191-2023")</f>
        <v/>
      </c>
      <c r="X51">
        <f>HYPERLINK("https://klasma.github.io/Logging_0360/tillsyn/A 14191-2023 tillsynsbegäran.docx", "A 14191-2023")</f>
        <v/>
      </c>
      <c r="Y51">
        <f>HYPERLINK("https://klasma.github.io/Logging_0360/tillsynsmail/A 14191-2023 tillsynsbegäran mail.docx", "A 14191-2023")</f>
        <v/>
      </c>
      <c r="Z51">
        <f>HYPERLINK("https://klasma.github.io/Logging_0360/fåglar/A 14191-2023 prioriterade fågelarter.docx", "A 14191-2023")</f>
        <v/>
      </c>
    </row>
    <row r="52" ht="15" customHeight="1">
      <c r="A52" t="inlineStr">
        <is>
          <t>A 29226-2023</t>
        </is>
      </c>
      <c r="B52" s="1" t="n">
        <v>45105</v>
      </c>
      <c r="C52" s="1" t="n">
        <v>45708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Bronshjon
Blåsippa</t>
        </is>
      </c>
      <c r="S52">
        <f>HYPERLINK("https://klasma.github.io/Logging_0360/artfynd/A 29226-2023 artfynd.xlsx", "A 29226-2023")</f>
        <v/>
      </c>
      <c r="T52">
        <f>HYPERLINK("https://klasma.github.io/Logging_0360/kartor/A 29226-2023 karta.png", "A 29226-2023")</f>
        <v/>
      </c>
      <c r="V52">
        <f>HYPERLINK("https://klasma.github.io/Logging_0360/klagomål/A 29226-2023 FSC-klagomål.docx", "A 29226-2023")</f>
        <v/>
      </c>
      <c r="W52">
        <f>HYPERLINK("https://klasma.github.io/Logging_0360/klagomålsmail/A 29226-2023 FSC-klagomål mail.docx", "A 29226-2023")</f>
        <v/>
      </c>
      <c r="X52">
        <f>HYPERLINK("https://klasma.github.io/Logging_0360/tillsyn/A 29226-2023 tillsynsbegäran.docx", "A 29226-2023")</f>
        <v/>
      </c>
      <c r="Y52">
        <f>HYPERLINK("https://klasma.github.io/Logging_0360/tillsynsmail/A 29226-2023 tillsynsbegäran mail.docx", "A 29226-2023")</f>
        <v/>
      </c>
    </row>
    <row r="53" ht="15" customHeight="1">
      <c r="A53" t="inlineStr">
        <is>
          <t>A 34979-2023</t>
        </is>
      </c>
      <c r="B53" s="1" t="n">
        <v>45142</v>
      </c>
      <c r="C53" s="1" t="n">
        <v>45708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1.2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Vedticka</t>
        </is>
      </c>
      <c r="S53">
        <f>HYPERLINK("https://klasma.github.io/Logging_0360/artfynd/A 34979-2023 artfynd.xlsx", "A 34979-2023")</f>
        <v/>
      </c>
      <c r="T53">
        <f>HYPERLINK("https://klasma.github.io/Logging_0360/kartor/A 34979-2023 karta.png", "A 34979-2023")</f>
        <v/>
      </c>
      <c r="V53">
        <f>HYPERLINK("https://klasma.github.io/Logging_0360/klagomål/A 34979-2023 FSC-klagomål.docx", "A 34979-2023")</f>
        <v/>
      </c>
      <c r="W53">
        <f>HYPERLINK("https://klasma.github.io/Logging_0360/klagomålsmail/A 34979-2023 FSC-klagomål mail.docx", "A 34979-2023")</f>
        <v/>
      </c>
      <c r="X53">
        <f>HYPERLINK("https://klasma.github.io/Logging_0360/tillsyn/A 34979-2023 tillsynsbegäran.docx", "A 34979-2023")</f>
        <v/>
      </c>
      <c r="Y53">
        <f>HYPERLINK("https://klasma.github.io/Logging_0360/tillsynsmail/A 34979-2023 tillsynsbegäran mail.docx", "A 34979-2023")</f>
        <v/>
      </c>
    </row>
    <row r="54" ht="15" customHeight="1">
      <c r="A54" t="inlineStr">
        <is>
          <t>A 47948-2023</t>
        </is>
      </c>
      <c r="B54" s="1" t="n">
        <v>45204</v>
      </c>
      <c r="C54" s="1" t="n">
        <v>45708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Gulvit blekspik
Liten blekspik</t>
        </is>
      </c>
      <c r="S54">
        <f>HYPERLINK("https://klasma.github.io/Logging_0360/artfynd/A 47948-2023 artfynd.xlsx", "A 47948-2023")</f>
        <v/>
      </c>
      <c r="T54">
        <f>HYPERLINK("https://klasma.github.io/Logging_0360/kartor/A 47948-2023 karta.png", "A 47948-2023")</f>
        <v/>
      </c>
      <c r="V54">
        <f>HYPERLINK("https://klasma.github.io/Logging_0360/klagomål/A 47948-2023 FSC-klagomål.docx", "A 47948-2023")</f>
        <v/>
      </c>
      <c r="W54">
        <f>HYPERLINK("https://klasma.github.io/Logging_0360/klagomålsmail/A 47948-2023 FSC-klagomål mail.docx", "A 47948-2023")</f>
        <v/>
      </c>
      <c r="X54">
        <f>HYPERLINK("https://klasma.github.io/Logging_0360/tillsyn/A 47948-2023 tillsynsbegäran.docx", "A 47948-2023")</f>
        <v/>
      </c>
      <c r="Y54">
        <f>HYPERLINK("https://klasma.github.io/Logging_0360/tillsynsmail/A 47948-2023 tillsynsbegäran mail.docx", "A 47948-2023")</f>
        <v/>
      </c>
    </row>
    <row r="55" ht="15" customHeight="1">
      <c r="A55" t="inlineStr">
        <is>
          <t>A 48917-2023</t>
        </is>
      </c>
      <c r="B55" s="1" t="n">
        <v>45209</v>
      </c>
      <c r="C55" s="1" t="n">
        <v>45708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3.4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Talltita</t>
        </is>
      </c>
      <c r="S55">
        <f>HYPERLINK("https://klasma.github.io/Logging_0360/artfynd/A 48917-2023 artfynd.xlsx", "A 48917-2023")</f>
        <v/>
      </c>
      <c r="T55">
        <f>HYPERLINK("https://klasma.github.io/Logging_0360/kartor/A 48917-2023 karta.png", "A 48917-2023")</f>
        <v/>
      </c>
      <c r="V55">
        <f>HYPERLINK("https://klasma.github.io/Logging_0360/klagomål/A 48917-2023 FSC-klagomål.docx", "A 48917-2023")</f>
        <v/>
      </c>
      <c r="W55">
        <f>HYPERLINK("https://klasma.github.io/Logging_0360/klagomålsmail/A 48917-2023 FSC-klagomål mail.docx", "A 48917-2023")</f>
        <v/>
      </c>
      <c r="X55">
        <f>HYPERLINK("https://klasma.github.io/Logging_0360/tillsyn/A 48917-2023 tillsynsbegäran.docx", "A 48917-2023")</f>
        <v/>
      </c>
      <c r="Y55">
        <f>HYPERLINK("https://klasma.github.io/Logging_0360/tillsynsmail/A 48917-2023 tillsynsbegäran mail.docx", "A 48917-2023")</f>
        <v/>
      </c>
      <c r="Z55">
        <f>HYPERLINK("https://klasma.github.io/Logging_0360/fåglar/A 48917-2023 prioriterade fågelarter.docx", "A 48917-2023")</f>
        <v/>
      </c>
    </row>
    <row r="56" ht="15" customHeight="1">
      <c r="A56" t="inlineStr">
        <is>
          <t>A 54436-2023</t>
        </is>
      </c>
      <c r="B56" s="1" t="n">
        <v>45233</v>
      </c>
      <c r="C56" s="1" t="n">
        <v>45708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30.2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Tvåblad</t>
        </is>
      </c>
      <c r="S56">
        <f>HYPERLINK("https://klasma.github.io/Logging_0360/artfynd/A 54436-2023 artfynd.xlsx", "A 54436-2023")</f>
        <v/>
      </c>
      <c r="T56">
        <f>HYPERLINK("https://klasma.github.io/Logging_0360/kartor/A 54436-2023 karta.png", "A 54436-2023")</f>
        <v/>
      </c>
      <c r="V56">
        <f>HYPERLINK("https://klasma.github.io/Logging_0360/klagomål/A 54436-2023 FSC-klagomål.docx", "A 54436-2023")</f>
        <v/>
      </c>
      <c r="W56">
        <f>HYPERLINK("https://klasma.github.io/Logging_0360/klagomålsmail/A 54436-2023 FSC-klagomål mail.docx", "A 54436-2023")</f>
        <v/>
      </c>
      <c r="X56">
        <f>HYPERLINK("https://klasma.github.io/Logging_0360/tillsyn/A 54436-2023 tillsynsbegäran.docx", "A 54436-2023")</f>
        <v/>
      </c>
      <c r="Y56">
        <f>HYPERLINK("https://klasma.github.io/Logging_0360/tillsynsmail/A 54436-2023 tillsynsbegäran mail.docx", "A 54436-2023")</f>
        <v/>
      </c>
    </row>
    <row r="57" ht="15" customHeight="1">
      <c r="A57" t="inlineStr">
        <is>
          <t>A 59949-2023</t>
        </is>
      </c>
      <c r="B57" s="1" t="n">
        <v>45257</v>
      </c>
      <c r="C57" s="1" t="n">
        <v>45708</v>
      </c>
      <c r="D57" t="inlineStr">
        <is>
          <t>UPPSALA LÄN</t>
        </is>
      </c>
      <c r="E57" t="inlineStr">
        <is>
          <t>TIERP</t>
        </is>
      </c>
      <c r="G57" t="n">
        <v>1.3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Svavelriska</t>
        </is>
      </c>
      <c r="S57">
        <f>HYPERLINK("https://klasma.github.io/Logging_0360/artfynd/A 59949-2023 artfynd.xlsx", "A 59949-2023")</f>
        <v/>
      </c>
      <c r="T57">
        <f>HYPERLINK("https://klasma.github.io/Logging_0360/kartor/A 59949-2023 karta.png", "A 59949-2023")</f>
        <v/>
      </c>
      <c r="V57">
        <f>HYPERLINK("https://klasma.github.io/Logging_0360/klagomål/A 59949-2023 FSC-klagomål.docx", "A 59949-2023")</f>
        <v/>
      </c>
      <c r="W57">
        <f>HYPERLINK("https://klasma.github.io/Logging_0360/klagomålsmail/A 59949-2023 FSC-klagomål mail.docx", "A 59949-2023")</f>
        <v/>
      </c>
      <c r="X57">
        <f>HYPERLINK("https://klasma.github.io/Logging_0360/tillsyn/A 59949-2023 tillsynsbegäran.docx", "A 59949-2023")</f>
        <v/>
      </c>
      <c r="Y57">
        <f>HYPERLINK("https://klasma.github.io/Logging_0360/tillsynsmail/A 59949-2023 tillsynsbegäran mail.docx", "A 59949-2023")</f>
        <v/>
      </c>
    </row>
    <row r="58" ht="15" customHeight="1">
      <c r="A58" t="inlineStr">
        <is>
          <t>A 140-2024</t>
        </is>
      </c>
      <c r="B58" s="1" t="n">
        <v>45294</v>
      </c>
      <c r="C58" s="1" t="n">
        <v>45708</v>
      </c>
      <c r="D58" t="inlineStr">
        <is>
          <t>UPPSALA LÄN</t>
        </is>
      </c>
      <c r="E58" t="inlineStr">
        <is>
          <t>TIERP</t>
        </is>
      </c>
      <c r="G58" t="n">
        <v>2.9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Ärtsångare</t>
        </is>
      </c>
      <c r="S58">
        <f>HYPERLINK("https://klasma.github.io/Logging_0360/artfynd/A 140-2024 artfynd.xlsx", "A 140-2024")</f>
        <v/>
      </c>
      <c r="T58">
        <f>HYPERLINK("https://klasma.github.io/Logging_0360/kartor/A 140-2024 karta.png", "A 140-2024")</f>
        <v/>
      </c>
      <c r="V58">
        <f>HYPERLINK("https://klasma.github.io/Logging_0360/klagomål/A 140-2024 FSC-klagomål.docx", "A 140-2024")</f>
        <v/>
      </c>
      <c r="W58">
        <f>HYPERLINK("https://klasma.github.io/Logging_0360/klagomålsmail/A 140-2024 FSC-klagomål mail.docx", "A 140-2024")</f>
        <v/>
      </c>
      <c r="X58">
        <f>HYPERLINK("https://klasma.github.io/Logging_0360/tillsyn/A 140-2024 tillsynsbegäran.docx", "A 140-2024")</f>
        <v/>
      </c>
      <c r="Y58">
        <f>HYPERLINK("https://klasma.github.io/Logging_0360/tillsynsmail/A 140-2024 tillsynsbegäran mail.docx", "A 140-2024")</f>
        <v/>
      </c>
      <c r="Z58">
        <f>HYPERLINK("https://klasma.github.io/Logging_0360/fåglar/A 140-2024 prioriterade fågelarter.docx", "A 140-2024")</f>
        <v/>
      </c>
    </row>
    <row r="59" ht="15" customHeight="1">
      <c r="A59" t="inlineStr">
        <is>
          <t>A 11449-2024</t>
        </is>
      </c>
      <c r="B59" s="1" t="n">
        <v>45372</v>
      </c>
      <c r="C59" s="1" t="n">
        <v>45708</v>
      </c>
      <c r="D59" t="inlineStr">
        <is>
          <t>UPPSALA LÄN</t>
        </is>
      </c>
      <c r="E59" t="inlineStr">
        <is>
          <t>TIERP</t>
        </is>
      </c>
      <c r="G59" t="n">
        <v>1.9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Blek fingersvamp
Rödgul trumpetsvamp</t>
        </is>
      </c>
      <c r="S59">
        <f>HYPERLINK("https://klasma.github.io/Logging_0360/artfynd/A 11449-2024 artfynd.xlsx", "A 11449-2024")</f>
        <v/>
      </c>
      <c r="T59">
        <f>HYPERLINK("https://klasma.github.io/Logging_0360/kartor/A 11449-2024 karta.png", "A 11449-2024")</f>
        <v/>
      </c>
      <c r="V59">
        <f>HYPERLINK("https://klasma.github.io/Logging_0360/klagomål/A 11449-2024 FSC-klagomål.docx", "A 11449-2024")</f>
        <v/>
      </c>
      <c r="W59">
        <f>HYPERLINK("https://klasma.github.io/Logging_0360/klagomålsmail/A 11449-2024 FSC-klagomål mail.docx", "A 11449-2024")</f>
        <v/>
      </c>
      <c r="X59">
        <f>HYPERLINK("https://klasma.github.io/Logging_0360/tillsyn/A 11449-2024 tillsynsbegäran.docx", "A 11449-2024")</f>
        <v/>
      </c>
      <c r="Y59">
        <f>HYPERLINK("https://klasma.github.io/Logging_0360/tillsynsmail/A 11449-2024 tillsynsbegäran mail.docx", "A 11449-2024")</f>
        <v/>
      </c>
    </row>
    <row r="60" ht="15" customHeight="1">
      <c r="A60" t="inlineStr">
        <is>
          <t>A 12971-2024</t>
        </is>
      </c>
      <c r="B60" s="1" t="n">
        <v>45385</v>
      </c>
      <c r="C60" s="1" t="n">
        <v>45708</v>
      </c>
      <c r="D60" t="inlineStr">
        <is>
          <t>UPPSALA LÄN</t>
        </is>
      </c>
      <c r="E60" t="inlineStr">
        <is>
          <t>TIERP</t>
        </is>
      </c>
      <c r="G60" t="n">
        <v>21.4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Rödvingetrast</t>
        </is>
      </c>
      <c r="S60">
        <f>HYPERLINK("https://klasma.github.io/Logging_0360/artfynd/A 12971-2024 artfynd.xlsx", "A 12971-2024")</f>
        <v/>
      </c>
      <c r="T60">
        <f>HYPERLINK("https://klasma.github.io/Logging_0360/kartor/A 12971-2024 karta.png", "A 12971-2024")</f>
        <v/>
      </c>
      <c r="V60">
        <f>HYPERLINK("https://klasma.github.io/Logging_0360/klagomål/A 12971-2024 FSC-klagomål.docx", "A 12971-2024")</f>
        <v/>
      </c>
      <c r="W60">
        <f>HYPERLINK("https://klasma.github.io/Logging_0360/klagomålsmail/A 12971-2024 FSC-klagomål mail.docx", "A 12971-2024")</f>
        <v/>
      </c>
      <c r="X60">
        <f>HYPERLINK("https://klasma.github.io/Logging_0360/tillsyn/A 12971-2024 tillsynsbegäran.docx", "A 12971-2024")</f>
        <v/>
      </c>
      <c r="Y60">
        <f>HYPERLINK("https://klasma.github.io/Logging_0360/tillsynsmail/A 12971-2024 tillsynsbegäran mail.docx", "A 12971-2024")</f>
        <v/>
      </c>
      <c r="Z60">
        <f>HYPERLINK("https://klasma.github.io/Logging_0360/fåglar/A 12971-2024 prioriterade fågelarter.docx", "A 12971-2024")</f>
        <v/>
      </c>
    </row>
    <row r="61" ht="15" customHeight="1">
      <c r="A61" t="inlineStr">
        <is>
          <t>A 15040-2024</t>
        </is>
      </c>
      <c r="B61" s="1" t="n">
        <v>45399</v>
      </c>
      <c r="C61" s="1" t="n">
        <v>45708</v>
      </c>
      <c r="D61" t="inlineStr">
        <is>
          <t>UPPSALA LÄN</t>
        </is>
      </c>
      <c r="E61" t="inlineStr">
        <is>
          <t>TIERP</t>
        </is>
      </c>
      <c r="G61" t="n">
        <v>7.2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Granbräken
Grönkulla</t>
        </is>
      </c>
      <c r="S61">
        <f>HYPERLINK("https://klasma.github.io/Logging_0360/artfynd/A 15040-2024 artfynd.xlsx", "A 15040-2024")</f>
        <v/>
      </c>
      <c r="T61">
        <f>HYPERLINK("https://klasma.github.io/Logging_0360/kartor/A 15040-2024 karta.png", "A 15040-2024")</f>
        <v/>
      </c>
      <c r="V61">
        <f>HYPERLINK("https://klasma.github.io/Logging_0360/klagomål/A 15040-2024 FSC-klagomål.docx", "A 15040-2024")</f>
        <v/>
      </c>
      <c r="W61">
        <f>HYPERLINK("https://klasma.github.io/Logging_0360/klagomålsmail/A 15040-2024 FSC-klagomål mail.docx", "A 15040-2024")</f>
        <v/>
      </c>
      <c r="X61">
        <f>HYPERLINK("https://klasma.github.io/Logging_0360/tillsyn/A 15040-2024 tillsynsbegäran.docx", "A 15040-2024")</f>
        <v/>
      </c>
      <c r="Y61">
        <f>HYPERLINK("https://klasma.github.io/Logging_0360/tillsynsmail/A 15040-2024 tillsynsbegäran mail.docx", "A 15040-2024")</f>
        <v/>
      </c>
    </row>
    <row r="62" ht="15" customHeight="1">
      <c r="A62" t="inlineStr">
        <is>
          <t>A 20710-2024</t>
        </is>
      </c>
      <c r="B62" s="1" t="n">
        <v>45436</v>
      </c>
      <c r="C62" s="1" t="n">
        <v>45708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Underviol
Gullviva</t>
        </is>
      </c>
      <c r="S62">
        <f>HYPERLINK("https://klasma.github.io/Logging_0360/artfynd/A 20710-2024 artfynd.xlsx", "A 20710-2024")</f>
        <v/>
      </c>
      <c r="T62">
        <f>HYPERLINK("https://klasma.github.io/Logging_0360/kartor/A 20710-2024 karta.png", "A 20710-2024")</f>
        <v/>
      </c>
      <c r="V62">
        <f>HYPERLINK("https://klasma.github.io/Logging_0360/klagomål/A 20710-2024 FSC-klagomål.docx", "A 20710-2024")</f>
        <v/>
      </c>
      <c r="W62">
        <f>HYPERLINK("https://klasma.github.io/Logging_0360/klagomålsmail/A 20710-2024 FSC-klagomål mail.docx", "A 20710-2024")</f>
        <v/>
      </c>
      <c r="X62">
        <f>HYPERLINK("https://klasma.github.io/Logging_0360/tillsyn/A 20710-2024 tillsynsbegäran.docx", "A 20710-2024")</f>
        <v/>
      </c>
      <c r="Y62">
        <f>HYPERLINK("https://klasma.github.io/Logging_0360/tillsynsmail/A 20710-2024 tillsynsbegäran mail.docx", "A 20710-2024")</f>
        <v/>
      </c>
    </row>
    <row r="63" ht="15" customHeight="1">
      <c r="A63" t="inlineStr">
        <is>
          <t>A 39018-2024</t>
        </is>
      </c>
      <c r="B63" s="1" t="n">
        <v>45548</v>
      </c>
      <c r="C63" s="1" t="n">
        <v>45708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19.1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Rödvingetrast
Talltita</t>
        </is>
      </c>
      <c r="S63">
        <f>HYPERLINK("https://klasma.github.io/Logging_0360/artfynd/A 39018-2024 artfynd.xlsx", "A 39018-2024")</f>
        <v/>
      </c>
      <c r="T63">
        <f>HYPERLINK("https://klasma.github.io/Logging_0360/kartor/A 39018-2024 karta.png", "A 39018-2024")</f>
        <v/>
      </c>
      <c r="V63">
        <f>HYPERLINK("https://klasma.github.io/Logging_0360/klagomål/A 39018-2024 FSC-klagomål.docx", "A 39018-2024")</f>
        <v/>
      </c>
      <c r="W63">
        <f>HYPERLINK("https://klasma.github.io/Logging_0360/klagomålsmail/A 39018-2024 FSC-klagomål mail.docx", "A 39018-2024")</f>
        <v/>
      </c>
      <c r="X63">
        <f>HYPERLINK("https://klasma.github.io/Logging_0360/tillsyn/A 39018-2024 tillsynsbegäran.docx", "A 39018-2024")</f>
        <v/>
      </c>
      <c r="Y63">
        <f>HYPERLINK("https://klasma.github.io/Logging_0360/tillsynsmail/A 39018-2024 tillsynsbegäran mail.docx", "A 39018-2024")</f>
        <v/>
      </c>
      <c r="Z63">
        <f>HYPERLINK("https://klasma.github.io/Logging_0360/fåglar/A 39018-2024 prioriterade fågelarter.docx", "A 39018-2024")</f>
        <v/>
      </c>
    </row>
    <row r="64" ht="15" customHeight="1">
      <c r="A64" t="inlineStr">
        <is>
          <t>A 43643-2024</t>
        </is>
      </c>
      <c r="B64" s="1" t="n">
        <v>45569</v>
      </c>
      <c r="C64" s="1" t="n">
        <v>45708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43643-2024 artfynd.xlsx", "A 43643-2024")</f>
        <v/>
      </c>
      <c r="T64">
        <f>HYPERLINK("https://klasma.github.io/Logging_0360/kartor/A 43643-2024 karta.png", "A 43643-2024")</f>
        <v/>
      </c>
      <c r="V64">
        <f>HYPERLINK("https://klasma.github.io/Logging_0360/klagomål/A 43643-2024 FSC-klagomål.docx", "A 43643-2024")</f>
        <v/>
      </c>
      <c r="W64">
        <f>HYPERLINK("https://klasma.github.io/Logging_0360/klagomålsmail/A 43643-2024 FSC-klagomål mail.docx", "A 43643-2024")</f>
        <v/>
      </c>
      <c r="X64">
        <f>HYPERLINK("https://klasma.github.io/Logging_0360/tillsyn/A 43643-2024 tillsynsbegäran.docx", "A 43643-2024")</f>
        <v/>
      </c>
      <c r="Y64">
        <f>HYPERLINK("https://klasma.github.io/Logging_0360/tillsynsmail/A 43643-2024 tillsynsbegäran mail.docx", "A 43643-2024")</f>
        <v/>
      </c>
      <c r="Z64">
        <f>HYPERLINK("https://klasma.github.io/Logging_0360/fåglar/A 43643-2024 prioriterade fågelarter.docx", "A 43643-2024")</f>
        <v/>
      </c>
    </row>
    <row r="65" ht="15" customHeight="1">
      <c r="A65" t="inlineStr">
        <is>
          <t>A 43645-2024</t>
        </is>
      </c>
      <c r="B65" s="1" t="n">
        <v>45569</v>
      </c>
      <c r="C65" s="1" t="n">
        <v>45708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43645-2024 artfynd.xlsx", "A 43645-2024")</f>
        <v/>
      </c>
      <c r="T65">
        <f>HYPERLINK("https://klasma.github.io/Logging_0360/kartor/A 43645-2024 karta.png", "A 43645-2024")</f>
        <v/>
      </c>
      <c r="V65">
        <f>HYPERLINK("https://klasma.github.io/Logging_0360/klagomål/A 43645-2024 FSC-klagomål.docx", "A 43645-2024")</f>
        <v/>
      </c>
      <c r="W65">
        <f>HYPERLINK("https://klasma.github.io/Logging_0360/klagomålsmail/A 43645-2024 FSC-klagomål mail.docx", "A 43645-2024")</f>
        <v/>
      </c>
      <c r="X65">
        <f>HYPERLINK("https://klasma.github.io/Logging_0360/tillsyn/A 43645-2024 tillsynsbegäran.docx", "A 43645-2024")</f>
        <v/>
      </c>
      <c r="Y65">
        <f>HYPERLINK("https://klasma.github.io/Logging_0360/tillsynsmail/A 43645-2024 tillsynsbegäran mail.docx", "A 43645-2024")</f>
        <v/>
      </c>
      <c r="Z65">
        <f>HYPERLINK("https://klasma.github.io/Logging_0360/fåglar/A 43645-2024 prioriterade fågelarter.docx", "A 43645-2024")</f>
        <v/>
      </c>
    </row>
    <row r="66" ht="15" customHeight="1">
      <c r="A66" t="inlineStr">
        <is>
          <t>A 43642-2024</t>
        </is>
      </c>
      <c r="B66" s="1" t="n">
        <v>45569</v>
      </c>
      <c r="C66" s="1" t="n">
        <v>45708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43642-2024 artfynd.xlsx", "A 43642-2024")</f>
        <v/>
      </c>
      <c r="T66">
        <f>HYPERLINK("https://klasma.github.io/Logging_0360/kartor/A 43642-2024 karta.png", "A 43642-2024")</f>
        <v/>
      </c>
      <c r="V66">
        <f>HYPERLINK("https://klasma.github.io/Logging_0360/klagomål/A 43642-2024 FSC-klagomål.docx", "A 43642-2024")</f>
        <v/>
      </c>
      <c r="W66">
        <f>HYPERLINK("https://klasma.github.io/Logging_0360/klagomålsmail/A 43642-2024 FSC-klagomål mail.docx", "A 43642-2024")</f>
        <v/>
      </c>
      <c r="X66">
        <f>HYPERLINK("https://klasma.github.io/Logging_0360/tillsyn/A 43642-2024 tillsynsbegäran.docx", "A 43642-2024")</f>
        <v/>
      </c>
      <c r="Y66">
        <f>HYPERLINK("https://klasma.github.io/Logging_0360/tillsynsmail/A 43642-2024 tillsynsbegäran mail.docx", "A 43642-2024")</f>
        <v/>
      </c>
      <c r="Z66">
        <f>HYPERLINK("https://klasma.github.io/Logging_0360/fåglar/A 43642-2024 prioriterade fågelarter.docx", "A 43642-2024")</f>
        <v/>
      </c>
    </row>
    <row r="67" ht="15" customHeight="1">
      <c r="A67" t="inlineStr">
        <is>
          <t>A 58146-2024</t>
        </is>
      </c>
      <c r="B67" s="1" t="n">
        <v>45632</v>
      </c>
      <c r="C67" s="1" t="n">
        <v>45708</v>
      </c>
      <c r="D67" t="inlineStr">
        <is>
          <t>UPPSALA LÄN</t>
        </is>
      </c>
      <c r="E67" t="inlineStr">
        <is>
          <t>TIERP</t>
        </is>
      </c>
      <c r="G67" t="n">
        <v>11.8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Vårärt
Blåsippa</t>
        </is>
      </c>
      <c r="S67">
        <f>HYPERLINK("https://klasma.github.io/Logging_0360/artfynd/A 58146-2024 artfynd.xlsx", "A 58146-2024")</f>
        <v/>
      </c>
      <c r="T67">
        <f>HYPERLINK("https://klasma.github.io/Logging_0360/kartor/A 58146-2024 karta.png", "A 58146-2024")</f>
        <v/>
      </c>
      <c r="V67">
        <f>HYPERLINK("https://klasma.github.io/Logging_0360/klagomål/A 58146-2024 FSC-klagomål.docx", "A 58146-2024")</f>
        <v/>
      </c>
      <c r="W67">
        <f>HYPERLINK("https://klasma.github.io/Logging_0360/klagomålsmail/A 58146-2024 FSC-klagomål mail.docx", "A 58146-2024")</f>
        <v/>
      </c>
      <c r="X67">
        <f>HYPERLINK("https://klasma.github.io/Logging_0360/tillsyn/A 58146-2024 tillsynsbegäran.docx", "A 58146-2024")</f>
        <v/>
      </c>
      <c r="Y67">
        <f>HYPERLINK("https://klasma.github.io/Logging_0360/tillsynsmail/A 58146-2024 tillsynsbegäran mail.docx", "A 58146-2024")</f>
        <v/>
      </c>
    </row>
    <row r="68" ht="15" customHeight="1">
      <c r="A68" t="inlineStr">
        <is>
          <t>A 6831-2025</t>
        </is>
      </c>
      <c r="B68" s="1" t="n">
        <v>45700</v>
      </c>
      <c r="C68" s="1" t="n">
        <v>45708</v>
      </c>
      <c r="D68" t="inlineStr">
        <is>
          <t>UPPSALA LÄN</t>
        </is>
      </c>
      <c r="E68" t="inlineStr">
        <is>
          <t>TIERP</t>
        </is>
      </c>
      <c r="G68" t="n">
        <v>11.7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Tibast
Revlummer</t>
        </is>
      </c>
      <c r="S68">
        <f>HYPERLINK("https://klasma.github.io/Logging_0360/artfynd/A 6831-2025 artfynd.xlsx", "A 6831-2025")</f>
        <v/>
      </c>
      <c r="T68">
        <f>HYPERLINK("https://klasma.github.io/Logging_0360/kartor/A 6831-2025 karta.png", "A 6831-2025")</f>
        <v/>
      </c>
      <c r="V68">
        <f>HYPERLINK("https://klasma.github.io/Logging_0360/klagomål/A 6831-2025 FSC-klagomål.docx", "A 6831-2025")</f>
        <v/>
      </c>
      <c r="W68">
        <f>HYPERLINK("https://klasma.github.io/Logging_0360/klagomålsmail/A 6831-2025 FSC-klagomål mail.docx", "A 6831-2025")</f>
        <v/>
      </c>
      <c r="X68">
        <f>HYPERLINK("https://klasma.github.io/Logging_0360/tillsyn/A 6831-2025 tillsynsbegäran.docx", "A 6831-2025")</f>
        <v/>
      </c>
      <c r="Y68">
        <f>HYPERLINK("https://klasma.github.io/Logging_0360/tillsynsmail/A 6831-2025 tillsynsbegäran mail.docx", "A 6831-2025")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45708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45708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45708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45708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45708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45708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45708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45708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45708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45708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45708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45708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45708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45708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45708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45708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45708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45708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45708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45708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45708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45708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45708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45708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45708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45708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45708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45708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45708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45708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45708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45708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45708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45708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45708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45708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45708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45708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45708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45708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45708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45708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45708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45708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45708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45708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45708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45708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3853-2025</t>
        </is>
      </c>
      <c r="B117" s="1" t="n">
        <v>45683</v>
      </c>
      <c r="C117" s="1" t="n">
        <v>45708</v>
      </c>
      <c r="D117" t="inlineStr">
        <is>
          <t>UPPSALA LÄN</t>
        </is>
      </c>
      <c r="E117" t="inlineStr">
        <is>
          <t>TIERP</t>
        </is>
      </c>
      <c r="G117" t="n">
        <v>1.4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Tvåblad</t>
        </is>
      </c>
      <c r="S117">
        <f>HYPERLINK("https://klasma.github.io/Logging_0360/artfynd/A 3853-2025 artfynd.xlsx", "A 3853-2025")</f>
        <v/>
      </c>
      <c r="T117">
        <f>HYPERLINK("https://klasma.github.io/Logging_0360/kartor/A 3853-2025 karta.png", "A 3853-2025")</f>
        <v/>
      </c>
      <c r="V117">
        <f>HYPERLINK("https://klasma.github.io/Logging_0360/klagomål/A 3853-2025 FSC-klagomål.docx", "A 3853-2025")</f>
        <v/>
      </c>
      <c r="W117">
        <f>HYPERLINK("https://klasma.github.io/Logging_0360/klagomålsmail/A 3853-2025 FSC-klagomål mail.docx", "A 3853-2025")</f>
        <v/>
      </c>
      <c r="X117">
        <f>HYPERLINK("https://klasma.github.io/Logging_0360/tillsyn/A 3853-2025 tillsynsbegäran.docx", "A 3853-2025")</f>
        <v/>
      </c>
      <c r="Y117">
        <f>HYPERLINK("https://klasma.github.io/Logging_0360/tillsynsmail/A 3853-2025 tillsynsbegäran mail.docx", "A 3853-2025")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45708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45708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45708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45708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45708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45708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45708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45708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45708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45708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45708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45708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45708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45708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45708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45708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45708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45708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45708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45708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45708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45708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45708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45708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45708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45708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45708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45708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45708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45708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45708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45708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45708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45708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45708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45708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45708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45708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45708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45708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45708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45708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45708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45708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45708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45708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45708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45708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45708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45708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45708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45708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45708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45708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45708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45708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45708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45708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45708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45708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45708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45708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45708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45708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45708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45708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45708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45708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45708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45708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45708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45708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45708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45708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45708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45708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45708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45708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45708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45708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45708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45708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45708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45708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45708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45708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45708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45708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45708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45708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45708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45708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45708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45708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45708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45708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45708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45708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45708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45708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45708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45708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45708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45708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45708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45708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45708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45708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45708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45708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45708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45708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45708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45708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45708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45708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45708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45708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45708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45708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45708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45708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45708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45708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45708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45708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45708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45708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45708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45708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45708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45708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45708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45708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45708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45708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45708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45708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45708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45708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45708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45708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45708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45708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45708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45708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45708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45708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45708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45708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45708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45708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45708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45708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45708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45708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45708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45708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45708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45708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45708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45708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45708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45708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45708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45708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45708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45708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45708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45708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45708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45708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45708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45708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45708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45708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45708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45708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45708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45708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45708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45708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45708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45708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45708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45708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45708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45708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45708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45708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45708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45708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45708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45708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45708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45708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45708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45708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45708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45708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45708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45708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45708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45708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45708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45708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45708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45708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45708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45708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45708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45708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45708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45708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45708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45708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45708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45708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45708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45708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45708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45708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45708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45708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45708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45708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45708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45708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45708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45708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45708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45708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45708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45708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45708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45708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45708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45708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45708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45708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45708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45708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45708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45708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45708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45708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45708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45708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45708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45708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45708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45708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45708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45708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45708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45708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45708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45708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45708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45708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45708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45708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45708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45708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45708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45708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45708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45708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45708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45708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45708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45708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45708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45708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45708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45708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45708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45708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45708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45708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45708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45708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45708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45708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45708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45708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45708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45708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45708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45708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45708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45708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45708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45708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45708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45708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45708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45708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45708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45708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45708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45708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45708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45708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45708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45708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45708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45708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45708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45708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45708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45708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45708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45708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45708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45708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45708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45708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45708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45708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45708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45708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45708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45708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45708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45708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45708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45708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45708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45708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45708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45708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45708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45708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45708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45708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45708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45708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45708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45708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45708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45708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45708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45708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45708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45708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45708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45708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45708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45708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45708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45708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45708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45708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45708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45708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45708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45708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45708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45708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45708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45708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45708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45708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45708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45708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45708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45708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45708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45708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45708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45708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45708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45708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45708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45708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45708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45708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45708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45708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45708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45708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45708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45708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45708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45708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45708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45708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45708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45708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45708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45708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45708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45708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45708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45708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45708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45708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45708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45708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45708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45708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45708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45708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45708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45708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45708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45708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45708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45708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45708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45708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45708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45708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45708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45708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45708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45708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45708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45708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45708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45708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45708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45708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45708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45708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45708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45708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45708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45708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45708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45708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45708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45708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45708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45708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45708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45708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45708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45708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45708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45708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45708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45708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45708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45708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45708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45708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45708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45708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45708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45708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45708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45708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45708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45708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45708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45708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45708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45708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45708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45708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45708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45708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45708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45708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45708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45708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45708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45708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45708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45708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45708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45708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45708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45708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45708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45708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45708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45708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45708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45708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45708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45708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45708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45708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45708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45708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45708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45708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45708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45708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45708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45708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45708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45708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45708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45708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45708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45708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45708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45708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45708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45708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45708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45708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45708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45708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45708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45708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45708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45708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45708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45708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45708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45708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45708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45708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45708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45708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45708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45708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45708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45708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45708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45708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45708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45708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45708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45708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45708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45708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45708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45708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45708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45708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45708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45708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45708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45708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45708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45708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45708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45708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45708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45708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45708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45708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45708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45708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45708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45708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45708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45708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45708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45708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45708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45708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45708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45708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45708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45708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45708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45708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45708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45708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45708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45708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45708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45708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45708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45708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45708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45708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45708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45708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45708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45708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45708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45708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45708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45708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45708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45708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45708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45708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45708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45708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45708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45708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45708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45708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45708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45708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45708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45708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45708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45708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45708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45708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45708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45708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45708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45708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45708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45708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45708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45708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45708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45708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45708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45708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45708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45708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45708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45708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45708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45708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45708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45708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45708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45708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45708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45708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45708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45708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45708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45708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45708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45708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45708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45708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45708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45708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45708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45708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45708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45708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45708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45708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45708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45708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45708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45708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45708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45708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45708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45708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45708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45708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45708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45708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45708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45708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45708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45708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45708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45708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45708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45708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45708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45708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45708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45708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45708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45708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45708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45708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45708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45708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45708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45708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45708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45708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45708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45708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45708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45708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45708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45708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45708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45708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45708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45708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2549-2025</t>
        </is>
      </c>
      <c r="B1103" s="1" t="n">
        <v>45674</v>
      </c>
      <c r="C1103" s="1" t="n">
        <v>45708</v>
      </c>
      <c r="D1103" t="inlineStr">
        <is>
          <t>UPPSALA LÄN</t>
        </is>
      </c>
      <c r="E1103" t="inlineStr">
        <is>
          <t>TIERP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2407-2025</t>
        </is>
      </c>
      <c r="B1104" s="1" t="n">
        <v>45674</v>
      </c>
      <c r="C1104" s="1" t="n">
        <v>45708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45708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45708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45708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45708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45708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4524-2025</t>
        </is>
      </c>
      <c r="B1110" s="1" t="n">
        <v>45686</v>
      </c>
      <c r="C1110" s="1" t="n">
        <v>45708</v>
      </c>
      <c r="D1110" t="inlineStr">
        <is>
          <t>UPPSALA LÄN</t>
        </is>
      </c>
      <c r="E1110" t="inlineStr">
        <is>
          <t>TIERP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4483-2025</t>
        </is>
      </c>
      <c r="B1111" s="1" t="n">
        <v>45686</v>
      </c>
      <c r="C1111" s="1" t="n">
        <v>45708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45708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5786-2025</t>
        </is>
      </c>
      <c r="B1115" s="1" t="n">
        <v>45694</v>
      </c>
      <c r="C1115" s="1" t="n">
        <v>45708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45708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45708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6889-2025</t>
        </is>
      </c>
      <c r="B1118" s="1" t="n">
        <v>45701</v>
      </c>
      <c r="C1118" s="1" t="n">
        <v>45708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6888-2025</t>
        </is>
      </c>
      <c r="B1119" s="1" t="n">
        <v>45701</v>
      </c>
      <c r="C1119" s="1" t="n">
        <v>45708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7519-2025</t>
        </is>
      </c>
      <c r="B1120" s="1" t="n">
        <v>45703</v>
      </c>
      <c r="C1120" s="1" t="n">
        <v>45708</v>
      </c>
      <c r="D1120" t="inlineStr">
        <is>
          <t>UPPSALA LÄN</t>
        </is>
      </c>
      <c r="E1120" t="inlineStr">
        <is>
          <t>TIERP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7374-2025</t>
        </is>
      </c>
      <c r="B1121" s="1" t="n">
        <v>45705</v>
      </c>
      <c r="C1121" s="1" t="n">
        <v>45708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7375-2025</t>
        </is>
      </c>
      <c r="B1122" s="1" t="n">
        <v>45705</v>
      </c>
      <c r="C1122" s="1" t="n">
        <v>45708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7732-2025</t>
        </is>
      </c>
      <c r="B1123" s="1" t="n">
        <v>45706</v>
      </c>
      <c r="C1123" s="1" t="n">
        <v>45708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8027-2025</t>
        </is>
      </c>
      <c r="B1124" s="1" t="n">
        <v>45707</v>
      </c>
      <c r="C1124" s="1" t="n">
        <v>45708</v>
      </c>
      <c r="D1124" t="inlineStr">
        <is>
          <t>UPPSALA LÄN</t>
        </is>
      </c>
      <c r="E1124" t="inlineStr">
        <is>
          <t>TIERP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7983-2025</t>
        </is>
      </c>
      <c r="B1125" s="1" t="n">
        <v>45707</v>
      </c>
      <c r="C1125" s="1" t="n">
        <v>45708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7896-2025</t>
        </is>
      </c>
      <c r="B1126" s="1" t="n">
        <v>45707</v>
      </c>
      <c r="C1126" s="1" t="n">
        <v>45708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7955-2025</t>
        </is>
      </c>
      <c r="B1127" s="1" t="n">
        <v>45707</v>
      </c>
      <c r="C1127" s="1" t="n">
        <v>45708</v>
      </c>
      <c r="D1127" t="inlineStr">
        <is>
          <t>UPPSALA LÄN</t>
        </is>
      </c>
      <c r="E1127" t="inlineStr">
        <is>
          <t>TIERP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2025-02-20T17:04:09Z</dcterms:created>
  <dcterms:modified xmlns:dcterms="http://purl.org/dc/terms/" xmlns:xsi="http://www.w3.org/2001/XMLSchema-instance" xsi:type="dcterms:W3CDTF">2025-02-20T17:04:10Z</dcterms:modified>
</cp:coreProperties>
</file>