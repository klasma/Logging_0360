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45648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45648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45648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45648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45648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45648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45648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45648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45648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45648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45648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4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9</v>
      </c>
      <c r="R12" s="2" t="inlineStr">
        <is>
          <t>Svart taggsvamp
Anisspindling
Dropptaggsvamp
Guckusko
Olivspindling
Skarp dropptaggsvamp
Tvåblad
Nattviol
Lopplummer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9126-2023</t>
        </is>
      </c>
      <c r="B13" s="1" t="n">
        <v>44980</v>
      </c>
      <c r="C13" s="1" t="n">
        <v>45648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21.8</v>
      </c>
      <c r="H13" t="n">
        <v>7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Tjäder
Skogsödla
Blåsippa
Lopplummer
Revlummer</t>
        </is>
      </c>
      <c r="S13">
        <f>HYPERLINK("https://klasma.github.io/Logging_0360/artfynd/A 9126-2023 artfynd.xlsx", "A 9126-2023")</f>
        <v/>
      </c>
      <c r="T13">
        <f>HYPERLINK("https://klasma.github.io/Logging_0360/kartor/A 9126-2023 karta.png", "A 9126-2023")</f>
        <v/>
      </c>
      <c r="U13">
        <f>HYPERLINK("https://klasma.github.io/Logging_0360/knärot/A 9126-2023 karta knärot.png", "A 9126-2023")</f>
        <v/>
      </c>
      <c r="V13">
        <f>HYPERLINK("https://klasma.github.io/Logging_0360/klagomål/A 9126-2023 FSC-klagomål.docx", "A 9126-2023")</f>
        <v/>
      </c>
      <c r="W13">
        <f>HYPERLINK("https://klasma.github.io/Logging_0360/klagomålsmail/A 9126-2023 FSC-klagomål mail.docx", "A 9126-2023")</f>
        <v/>
      </c>
      <c r="X13">
        <f>HYPERLINK("https://klasma.github.io/Logging_0360/tillsyn/A 9126-2023 tillsynsbegäran.docx", "A 9126-2023")</f>
        <v/>
      </c>
      <c r="Y13">
        <f>HYPERLINK("https://klasma.github.io/Logging_0360/tillsynsmail/A 9126-2023 tillsynsbegäran mail.docx", "A 9126-2023")</f>
        <v/>
      </c>
      <c r="Z13">
        <f>HYPERLINK("https://klasma.github.io/Logging_0360/fåglar/A 9126-2023 prioriterade fågelarter.docx", "A 9126-2023")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45648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45648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45648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45648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45648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45648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45648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45648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45648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45648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45648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45648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45648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45648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45648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45648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45648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45648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45648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45648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45648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45648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45648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45648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45648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45648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45648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45648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45648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45648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45648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45648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45648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45648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4544-2023</t>
        </is>
      </c>
      <c r="B48" s="1" t="n">
        <v>44956</v>
      </c>
      <c r="C48" s="1" t="n">
        <v>45648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11.5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Lopplummer</t>
        </is>
      </c>
      <c r="S48">
        <f>HYPERLINK("https://klasma.github.io/Logging_0360/artfynd/A 4544-2023 artfynd.xlsx", "A 4544-2023")</f>
        <v/>
      </c>
      <c r="T48">
        <f>HYPERLINK("https://klasma.github.io/Logging_0360/kartor/A 4544-2023 karta.png", "A 4544-2023")</f>
        <v/>
      </c>
      <c r="V48">
        <f>HYPERLINK("https://klasma.github.io/Logging_0360/klagomål/A 4544-2023 FSC-klagomål.docx", "A 4544-2023")</f>
        <v/>
      </c>
      <c r="W48">
        <f>HYPERLINK("https://klasma.github.io/Logging_0360/klagomålsmail/A 4544-2023 FSC-klagomål mail.docx", "A 4544-2023")</f>
        <v/>
      </c>
      <c r="X48">
        <f>HYPERLINK("https://klasma.github.io/Logging_0360/tillsyn/A 4544-2023 tillsynsbegäran.docx", "A 4544-2023")</f>
        <v/>
      </c>
      <c r="Y48">
        <f>HYPERLINK("https://klasma.github.io/Logging_0360/tillsynsmail/A 4544-2023 tillsynsbegäran mail.docx", "A 4544-2023")</f>
        <v/>
      </c>
    </row>
    <row r="49" ht="15" customHeight="1">
      <c r="A49" t="inlineStr">
        <is>
          <t>A 14191-2023</t>
        </is>
      </c>
      <c r="B49" s="1" t="n">
        <v>45009</v>
      </c>
      <c r="C49" s="1" t="n">
        <v>45648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HYPERLINK("https://klasma.github.io/Logging_0360/artfynd/A 14191-2023 artfynd.xlsx", "A 14191-2023")</f>
        <v/>
      </c>
      <c r="T49">
        <f>HYPERLINK("https://klasma.github.io/Logging_0360/kartor/A 14191-2023 karta.png", "A 14191-2023")</f>
        <v/>
      </c>
      <c r="V49">
        <f>HYPERLINK("https://klasma.github.io/Logging_0360/klagomål/A 14191-2023 FSC-klagomål.docx", "A 14191-2023")</f>
        <v/>
      </c>
      <c r="W49">
        <f>HYPERLINK("https://klasma.github.io/Logging_0360/klagomålsmail/A 14191-2023 FSC-klagomål mail.docx", "A 14191-2023")</f>
        <v/>
      </c>
      <c r="X49">
        <f>HYPERLINK("https://klasma.github.io/Logging_0360/tillsyn/A 14191-2023 tillsynsbegäran.docx", "A 14191-2023")</f>
        <v/>
      </c>
      <c r="Y49">
        <f>HYPERLINK("https://klasma.github.io/Logging_0360/tillsynsmail/A 14191-2023 tillsynsbegäran mail.docx", "A 14191-2023")</f>
        <v/>
      </c>
      <c r="Z49">
        <f>HYPERLINK("https://klasma.github.io/Logging_0360/fåglar/A 14191-2023 prioriterade fågelarter.docx", "A 14191-2023")</f>
        <v/>
      </c>
    </row>
    <row r="50" ht="15" customHeight="1">
      <c r="A50" t="inlineStr">
        <is>
          <t>A 29226-2023</t>
        </is>
      </c>
      <c r="B50" s="1" t="n">
        <v>45105</v>
      </c>
      <c r="C50" s="1" t="n">
        <v>45648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4.1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Bronshjon
Blåsippa</t>
        </is>
      </c>
      <c r="S50">
        <f>HYPERLINK("https://klasma.github.io/Logging_0360/artfynd/A 29226-2023 artfynd.xlsx", "A 29226-2023")</f>
        <v/>
      </c>
      <c r="T50">
        <f>HYPERLINK("https://klasma.github.io/Logging_0360/kartor/A 29226-2023 karta.png", "A 29226-2023")</f>
        <v/>
      </c>
      <c r="V50">
        <f>HYPERLINK("https://klasma.github.io/Logging_0360/klagomål/A 29226-2023 FSC-klagomål.docx", "A 29226-2023")</f>
        <v/>
      </c>
      <c r="W50">
        <f>HYPERLINK("https://klasma.github.io/Logging_0360/klagomålsmail/A 29226-2023 FSC-klagomål mail.docx", "A 29226-2023")</f>
        <v/>
      </c>
      <c r="X50">
        <f>HYPERLINK("https://klasma.github.io/Logging_0360/tillsyn/A 29226-2023 tillsynsbegäran.docx", "A 29226-2023")</f>
        <v/>
      </c>
      <c r="Y50">
        <f>HYPERLINK("https://klasma.github.io/Logging_0360/tillsynsmail/A 29226-2023 tillsynsbegäran mail.docx", "A 29226-2023")</f>
        <v/>
      </c>
    </row>
    <row r="51" ht="15" customHeight="1">
      <c r="A51" t="inlineStr">
        <is>
          <t>A 34979-2023</t>
        </is>
      </c>
      <c r="B51" s="1" t="n">
        <v>45142</v>
      </c>
      <c r="C51" s="1" t="n">
        <v>45648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1.2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Vedticka</t>
        </is>
      </c>
      <c r="S51">
        <f>HYPERLINK("https://klasma.github.io/Logging_0360/artfynd/A 34979-2023 artfynd.xlsx", "A 34979-2023")</f>
        <v/>
      </c>
      <c r="T51">
        <f>HYPERLINK("https://klasma.github.io/Logging_0360/kartor/A 34979-2023 karta.png", "A 34979-2023")</f>
        <v/>
      </c>
      <c r="V51">
        <f>HYPERLINK("https://klasma.github.io/Logging_0360/klagomål/A 34979-2023 FSC-klagomål.docx", "A 34979-2023")</f>
        <v/>
      </c>
      <c r="W51">
        <f>HYPERLINK("https://klasma.github.io/Logging_0360/klagomålsmail/A 34979-2023 FSC-klagomål mail.docx", "A 34979-2023")</f>
        <v/>
      </c>
      <c r="X51">
        <f>HYPERLINK("https://klasma.github.io/Logging_0360/tillsyn/A 34979-2023 tillsynsbegäran.docx", "A 34979-2023")</f>
        <v/>
      </c>
      <c r="Y51">
        <f>HYPERLINK("https://klasma.github.io/Logging_0360/tillsynsmail/A 34979-2023 tillsynsbegäran mail.docx", "A 34979-2023")</f>
        <v/>
      </c>
    </row>
    <row r="52" ht="15" customHeight="1">
      <c r="A52" t="inlineStr">
        <is>
          <t>A 47948-2023</t>
        </is>
      </c>
      <c r="B52" s="1" t="n">
        <v>45204</v>
      </c>
      <c r="C52" s="1" t="n">
        <v>45648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Gulvit blekspik
Liten blekspik</t>
        </is>
      </c>
      <c r="S52">
        <f>HYPERLINK("https://klasma.github.io/Logging_0360/artfynd/A 47948-2023 artfynd.xlsx", "A 47948-2023")</f>
        <v/>
      </c>
      <c r="T52">
        <f>HYPERLINK("https://klasma.github.io/Logging_0360/kartor/A 47948-2023 karta.png", "A 47948-2023")</f>
        <v/>
      </c>
      <c r="V52">
        <f>HYPERLINK("https://klasma.github.io/Logging_0360/klagomål/A 47948-2023 FSC-klagomål.docx", "A 47948-2023")</f>
        <v/>
      </c>
      <c r="W52">
        <f>HYPERLINK("https://klasma.github.io/Logging_0360/klagomålsmail/A 47948-2023 FSC-klagomål mail.docx", "A 47948-2023")</f>
        <v/>
      </c>
      <c r="X52">
        <f>HYPERLINK("https://klasma.github.io/Logging_0360/tillsyn/A 47948-2023 tillsynsbegäran.docx", "A 47948-2023")</f>
        <v/>
      </c>
      <c r="Y52">
        <f>HYPERLINK("https://klasma.github.io/Logging_0360/tillsynsmail/A 47948-2023 tillsynsbegäran mail.docx", "A 47948-2023")</f>
        <v/>
      </c>
    </row>
    <row r="53" ht="15" customHeight="1">
      <c r="A53" t="inlineStr">
        <is>
          <t>A 48917-2023</t>
        </is>
      </c>
      <c r="B53" s="1" t="n">
        <v>45209</v>
      </c>
      <c r="C53" s="1" t="n">
        <v>45648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3.4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Talltita</t>
        </is>
      </c>
      <c r="S53">
        <f>HYPERLINK("https://klasma.github.io/Logging_0360/artfynd/A 48917-2023 artfynd.xlsx", "A 48917-2023")</f>
        <v/>
      </c>
      <c r="T53">
        <f>HYPERLINK("https://klasma.github.io/Logging_0360/kartor/A 48917-2023 karta.png", "A 48917-2023")</f>
        <v/>
      </c>
      <c r="V53">
        <f>HYPERLINK("https://klasma.github.io/Logging_0360/klagomål/A 48917-2023 FSC-klagomål.docx", "A 48917-2023")</f>
        <v/>
      </c>
      <c r="W53">
        <f>HYPERLINK("https://klasma.github.io/Logging_0360/klagomålsmail/A 48917-2023 FSC-klagomål mail.docx", "A 48917-2023")</f>
        <v/>
      </c>
      <c r="X53">
        <f>HYPERLINK("https://klasma.github.io/Logging_0360/tillsyn/A 48917-2023 tillsynsbegäran.docx", "A 48917-2023")</f>
        <v/>
      </c>
      <c r="Y53">
        <f>HYPERLINK("https://klasma.github.io/Logging_0360/tillsynsmail/A 48917-2023 tillsynsbegäran mail.docx", "A 48917-2023")</f>
        <v/>
      </c>
      <c r="Z53">
        <f>HYPERLINK("https://klasma.github.io/Logging_0360/fåglar/A 48917-2023 prioriterade fågelarter.docx", "A 48917-2023")</f>
        <v/>
      </c>
    </row>
    <row r="54" ht="15" customHeight="1">
      <c r="A54" t="inlineStr">
        <is>
          <t>A 54436-2023</t>
        </is>
      </c>
      <c r="B54" s="1" t="n">
        <v>45233</v>
      </c>
      <c r="C54" s="1" t="n">
        <v>45648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30.2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Slåtterfibbla
Tvåblad</t>
        </is>
      </c>
      <c r="S54">
        <f>HYPERLINK("https://klasma.github.io/Logging_0360/artfynd/A 54436-2023 artfynd.xlsx", "A 54436-2023")</f>
        <v/>
      </c>
      <c r="T54">
        <f>HYPERLINK("https://klasma.github.io/Logging_0360/kartor/A 54436-2023 karta.png", "A 54436-2023")</f>
        <v/>
      </c>
      <c r="V54">
        <f>HYPERLINK("https://klasma.github.io/Logging_0360/klagomål/A 54436-2023 FSC-klagomål.docx", "A 54436-2023")</f>
        <v/>
      </c>
      <c r="W54">
        <f>HYPERLINK("https://klasma.github.io/Logging_0360/klagomålsmail/A 54436-2023 FSC-klagomål mail.docx", "A 54436-2023")</f>
        <v/>
      </c>
      <c r="X54">
        <f>HYPERLINK("https://klasma.github.io/Logging_0360/tillsyn/A 54436-2023 tillsynsbegäran.docx", "A 54436-2023")</f>
        <v/>
      </c>
      <c r="Y54">
        <f>HYPERLINK("https://klasma.github.io/Logging_0360/tillsynsmail/A 54436-2023 tillsynsbegäran mail.docx", "A 54436-2023")</f>
        <v/>
      </c>
    </row>
    <row r="55" ht="15" customHeight="1">
      <c r="A55" t="inlineStr">
        <is>
          <t>A 59949-2023</t>
        </is>
      </c>
      <c r="B55" s="1" t="n">
        <v>45257</v>
      </c>
      <c r="C55" s="1" t="n">
        <v>45648</v>
      </c>
      <c r="D55" t="inlineStr">
        <is>
          <t>UPPSALA LÄN</t>
        </is>
      </c>
      <c r="E55" t="inlineStr">
        <is>
          <t>TIERP</t>
        </is>
      </c>
      <c r="G55" t="n">
        <v>1.3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Svavelriska</t>
        </is>
      </c>
      <c r="S55">
        <f>HYPERLINK("https://klasma.github.io/Logging_0360/artfynd/A 59949-2023 artfynd.xlsx", "A 59949-2023")</f>
        <v/>
      </c>
      <c r="T55">
        <f>HYPERLINK("https://klasma.github.io/Logging_0360/kartor/A 59949-2023 karta.png", "A 59949-2023")</f>
        <v/>
      </c>
      <c r="V55">
        <f>HYPERLINK("https://klasma.github.io/Logging_0360/klagomål/A 59949-2023 FSC-klagomål.docx", "A 59949-2023")</f>
        <v/>
      </c>
      <c r="W55">
        <f>HYPERLINK("https://klasma.github.io/Logging_0360/klagomålsmail/A 59949-2023 FSC-klagomål mail.docx", "A 59949-2023")</f>
        <v/>
      </c>
      <c r="X55">
        <f>HYPERLINK("https://klasma.github.io/Logging_0360/tillsyn/A 59949-2023 tillsynsbegäran.docx", "A 59949-2023")</f>
        <v/>
      </c>
      <c r="Y55">
        <f>HYPERLINK("https://klasma.github.io/Logging_0360/tillsynsmail/A 59949-2023 tillsynsbegäran mail.docx", "A 59949-2023")</f>
        <v/>
      </c>
    </row>
    <row r="56" ht="15" customHeight="1">
      <c r="A56" t="inlineStr">
        <is>
          <t>A 140-2024</t>
        </is>
      </c>
      <c r="B56" s="1" t="n">
        <v>45294</v>
      </c>
      <c r="C56" s="1" t="n">
        <v>45648</v>
      </c>
      <c r="D56" t="inlineStr">
        <is>
          <t>UPPSALA LÄN</t>
        </is>
      </c>
      <c r="E56" t="inlineStr">
        <is>
          <t>TIERP</t>
        </is>
      </c>
      <c r="G56" t="n">
        <v>2.9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Ärtsångare</t>
        </is>
      </c>
      <c r="S56">
        <f>HYPERLINK("https://klasma.github.io/Logging_0360/artfynd/A 140-2024 artfynd.xlsx", "A 140-2024")</f>
        <v/>
      </c>
      <c r="T56">
        <f>HYPERLINK("https://klasma.github.io/Logging_0360/kartor/A 140-2024 karta.png", "A 140-2024")</f>
        <v/>
      </c>
      <c r="V56">
        <f>HYPERLINK("https://klasma.github.io/Logging_0360/klagomål/A 140-2024 FSC-klagomål.docx", "A 140-2024")</f>
        <v/>
      </c>
      <c r="W56">
        <f>HYPERLINK("https://klasma.github.io/Logging_0360/klagomålsmail/A 140-2024 FSC-klagomål mail.docx", "A 140-2024")</f>
        <v/>
      </c>
      <c r="X56">
        <f>HYPERLINK("https://klasma.github.io/Logging_0360/tillsyn/A 140-2024 tillsynsbegäran.docx", "A 140-2024")</f>
        <v/>
      </c>
      <c r="Y56">
        <f>HYPERLINK("https://klasma.github.io/Logging_0360/tillsynsmail/A 140-2024 tillsynsbegäran mail.docx", "A 140-2024")</f>
        <v/>
      </c>
      <c r="Z56">
        <f>HYPERLINK("https://klasma.github.io/Logging_0360/fåglar/A 140-2024 prioriterade fågelarter.docx", "A 140-2024")</f>
        <v/>
      </c>
    </row>
    <row r="57" ht="15" customHeight="1">
      <c r="A57" t="inlineStr">
        <is>
          <t>A 11449-2024</t>
        </is>
      </c>
      <c r="B57" s="1" t="n">
        <v>45372</v>
      </c>
      <c r="C57" s="1" t="n">
        <v>45648</v>
      </c>
      <c r="D57" t="inlineStr">
        <is>
          <t>UPPSALA LÄN</t>
        </is>
      </c>
      <c r="E57" t="inlineStr">
        <is>
          <t>TIERP</t>
        </is>
      </c>
      <c r="G57" t="n">
        <v>1.9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Blek fingersvamp
Rödgul trumpetsvamp</t>
        </is>
      </c>
      <c r="S57">
        <f>HYPERLINK("https://klasma.github.io/Logging_0360/artfynd/A 11449-2024 artfynd.xlsx", "A 11449-2024")</f>
        <v/>
      </c>
      <c r="T57">
        <f>HYPERLINK("https://klasma.github.io/Logging_0360/kartor/A 11449-2024 karta.png", "A 11449-2024")</f>
        <v/>
      </c>
      <c r="V57">
        <f>HYPERLINK("https://klasma.github.io/Logging_0360/klagomål/A 11449-2024 FSC-klagomål.docx", "A 11449-2024")</f>
        <v/>
      </c>
      <c r="W57">
        <f>HYPERLINK("https://klasma.github.io/Logging_0360/klagomålsmail/A 11449-2024 FSC-klagomål mail.docx", "A 11449-2024")</f>
        <v/>
      </c>
      <c r="X57">
        <f>HYPERLINK("https://klasma.github.io/Logging_0360/tillsyn/A 11449-2024 tillsynsbegäran.docx", "A 11449-2024")</f>
        <v/>
      </c>
      <c r="Y57">
        <f>HYPERLINK("https://klasma.github.io/Logging_0360/tillsynsmail/A 11449-2024 tillsynsbegäran mail.docx", "A 11449-2024")</f>
        <v/>
      </c>
    </row>
    <row r="58" ht="15" customHeight="1">
      <c r="A58" t="inlineStr">
        <is>
          <t>A 12971-2024</t>
        </is>
      </c>
      <c r="B58" s="1" t="n">
        <v>45385</v>
      </c>
      <c r="C58" s="1" t="n">
        <v>45648</v>
      </c>
      <c r="D58" t="inlineStr">
        <is>
          <t>UPPSALA LÄN</t>
        </is>
      </c>
      <c r="E58" t="inlineStr">
        <is>
          <t>TIERP</t>
        </is>
      </c>
      <c r="G58" t="n">
        <v>21.4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Rödvingetrast</t>
        </is>
      </c>
      <c r="S58">
        <f>HYPERLINK("https://klasma.github.io/Logging_0360/artfynd/A 12971-2024 artfynd.xlsx", "A 12971-2024")</f>
        <v/>
      </c>
      <c r="T58">
        <f>HYPERLINK("https://klasma.github.io/Logging_0360/kartor/A 12971-2024 karta.png", "A 12971-2024")</f>
        <v/>
      </c>
      <c r="V58">
        <f>HYPERLINK("https://klasma.github.io/Logging_0360/klagomål/A 12971-2024 FSC-klagomål.docx", "A 12971-2024")</f>
        <v/>
      </c>
      <c r="W58">
        <f>HYPERLINK("https://klasma.github.io/Logging_0360/klagomålsmail/A 12971-2024 FSC-klagomål mail.docx", "A 12971-2024")</f>
        <v/>
      </c>
      <c r="X58">
        <f>HYPERLINK("https://klasma.github.io/Logging_0360/tillsyn/A 12971-2024 tillsynsbegäran.docx", "A 12971-2024")</f>
        <v/>
      </c>
      <c r="Y58">
        <f>HYPERLINK("https://klasma.github.io/Logging_0360/tillsynsmail/A 12971-2024 tillsynsbegäran mail.docx", "A 12971-2024")</f>
        <v/>
      </c>
      <c r="Z58">
        <f>HYPERLINK("https://klasma.github.io/Logging_0360/fåglar/A 12971-2024 prioriterade fågelarter.docx", "A 12971-2024")</f>
        <v/>
      </c>
    </row>
    <row r="59" ht="15" customHeight="1">
      <c r="A59" t="inlineStr">
        <is>
          <t>A 15040-2024</t>
        </is>
      </c>
      <c r="B59" s="1" t="n">
        <v>45399</v>
      </c>
      <c r="C59" s="1" t="n">
        <v>45648</v>
      </c>
      <c r="D59" t="inlineStr">
        <is>
          <t>UPPSALA LÄN</t>
        </is>
      </c>
      <c r="E59" t="inlineStr">
        <is>
          <t>TIERP</t>
        </is>
      </c>
      <c r="G59" t="n">
        <v>7.2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Granbräken
Grönkulla</t>
        </is>
      </c>
      <c r="S59">
        <f>HYPERLINK("https://klasma.github.io/Logging_0360/artfynd/A 15040-2024 artfynd.xlsx", "A 15040-2024")</f>
        <v/>
      </c>
      <c r="T59">
        <f>HYPERLINK("https://klasma.github.io/Logging_0360/kartor/A 15040-2024 karta.png", "A 15040-2024")</f>
        <v/>
      </c>
      <c r="V59">
        <f>HYPERLINK("https://klasma.github.io/Logging_0360/klagomål/A 15040-2024 FSC-klagomål.docx", "A 15040-2024")</f>
        <v/>
      </c>
      <c r="W59">
        <f>HYPERLINK("https://klasma.github.io/Logging_0360/klagomålsmail/A 15040-2024 FSC-klagomål mail.docx", "A 15040-2024")</f>
        <v/>
      </c>
      <c r="X59">
        <f>HYPERLINK("https://klasma.github.io/Logging_0360/tillsyn/A 15040-2024 tillsynsbegäran.docx", "A 15040-2024")</f>
        <v/>
      </c>
      <c r="Y59">
        <f>HYPERLINK("https://klasma.github.io/Logging_0360/tillsynsmail/A 15040-2024 tillsynsbegäran mail.docx", "A 15040-2024")</f>
        <v/>
      </c>
    </row>
    <row r="60" ht="15" customHeight="1">
      <c r="A60" t="inlineStr">
        <is>
          <t>A 20710-2024</t>
        </is>
      </c>
      <c r="B60" s="1" t="n">
        <v>45436</v>
      </c>
      <c r="C60" s="1" t="n">
        <v>45648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21.4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Underviol
Gullviva</t>
        </is>
      </c>
      <c r="S60">
        <f>HYPERLINK("https://klasma.github.io/Logging_0360/artfynd/A 20710-2024 artfynd.xlsx", "A 20710-2024")</f>
        <v/>
      </c>
      <c r="T60">
        <f>HYPERLINK("https://klasma.github.io/Logging_0360/kartor/A 20710-2024 karta.png", "A 20710-2024")</f>
        <v/>
      </c>
      <c r="V60">
        <f>HYPERLINK("https://klasma.github.io/Logging_0360/klagomål/A 20710-2024 FSC-klagomål.docx", "A 20710-2024")</f>
        <v/>
      </c>
      <c r="W60">
        <f>HYPERLINK("https://klasma.github.io/Logging_0360/klagomålsmail/A 20710-2024 FSC-klagomål mail.docx", "A 20710-2024")</f>
        <v/>
      </c>
      <c r="X60">
        <f>HYPERLINK("https://klasma.github.io/Logging_0360/tillsyn/A 20710-2024 tillsynsbegäran.docx", "A 20710-2024")</f>
        <v/>
      </c>
      <c r="Y60">
        <f>HYPERLINK("https://klasma.github.io/Logging_0360/tillsynsmail/A 20710-2024 tillsynsbegäran mail.docx", "A 20710-2024")</f>
        <v/>
      </c>
    </row>
    <row r="61" ht="15" customHeight="1">
      <c r="A61" t="inlineStr">
        <is>
          <t>A 39018-2024</t>
        </is>
      </c>
      <c r="B61" s="1" t="n">
        <v>45548</v>
      </c>
      <c r="C61" s="1" t="n">
        <v>45648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19.1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Rödvingetrast
Talltita</t>
        </is>
      </c>
      <c r="S61">
        <f>HYPERLINK("https://klasma.github.io/Logging_0360/artfynd/A 39018-2024 artfynd.xlsx", "A 39018-2024")</f>
        <v/>
      </c>
      <c r="T61">
        <f>HYPERLINK("https://klasma.github.io/Logging_0360/kartor/A 39018-2024 karta.png", "A 39018-2024")</f>
        <v/>
      </c>
      <c r="V61">
        <f>HYPERLINK("https://klasma.github.io/Logging_0360/klagomål/A 39018-2024 FSC-klagomål.docx", "A 39018-2024")</f>
        <v/>
      </c>
      <c r="W61">
        <f>HYPERLINK("https://klasma.github.io/Logging_0360/klagomålsmail/A 39018-2024 FSC-klagomål mail.docx", "A 39018-2024")</f>
        <v/>
      </c>
      <c r="X61">
        <f>HYPERLINK("https://klasma.github.io/Logging_0360/tillsyn/A 39018-2024 tillsynsbegäran.docx", "A 39018-2024")</f>
        <v/>
      </c>
      <c r="Y61">
        <f>HYPERLINK("https://klasma.github.io/Logging_0360/tillsynsmail/A 39018-2024 tillsynsbegäran mail.docx", "A 39018-2024")</f>
        <v/>
      </c>
      <c r="Z61">
        <f>HYPERLINK("https://klasma.github.io/Logging_0360/fåglar/A 39018-2024 prioriterade fågelarter.docx", "A 39018-2024")</f>
        <v/>
      </c>
    </row>
    <row r="62" ht="15" customHeight="1">
      <c r="A62" t="inlineStr">
        <is>
          <t>A 43643-2024</t>
        </is>
      </c>
      <c r="B62" s="1" t="n">
        <v>45569</v>
      </c>
      <c r="C62" s="1" t="n">
        <v>45648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43643-2024 artfynd.xlsx", "A 43643-2024")</f>
        <v/>
      </c>
      <c r="T62">
        <f>HYPERLINK("https://klasma.github.io/Logging_0360/kartor/A 43643-2024 karta.png", "A 43643-2024")</f>
        <v/>
      </c>
      <c r="V62">
        <f>HYPERLINK("https://klasma.github.io/Logging_0360/klagomål/A 43643-2024 FSC-klagomål.docx", "A 43643-2024")</f>
        <v/>
      </c>
      <c r="W62">
        <f>HYPERLINK("https://klasma.github.io/Logging_0360/klagomålsmail/A 43643-2024 FSC-klagomål mail.docx", "A 43643-2024")</f>
        <v/>
      </c>
      <c r="X62">
        <f>HYPERLINK("https://klasma.github.io/Logging_0360/tillsyn/A 43643-2024 tillsynsbegäran.docx", "A 43643-2024")</f>
        <v/>
      </c>
      <c r="Y62">
        <f>HYPERLINK("https://klasma.github.io/Logging_0360/tillsynsmail/A 43643-2024 tillsynsbegäran mail.docx", "A 43643-2024")</f>
        <v/>
      </c>
      <c r="Z62">
        <f>HYPERLINK("https://klasma.github.io/Logging_0360/fåglar/A 43643-2024 prioriterade fågelarter.docx", "A 43643-2024")</f>
        <v/>
      </c>
    </row>
    <row r="63" ht="15" customHeight="1">
      <c r="A63" t="inlineStr">
        <is>
          <t>A 43645-2024</t>
        </is>
      </c>
      <c r="B63" s="1" t="n">
        <v>45569</v>
      </c>
      <c r="C63" s="1" t="n">
        <v>45648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43645-2024 artfynd.xlsx", "A 43645-2024")</f>
        <v/>
      </c>
      <c r="T63">
        <f>HYPERLINK("https://klasma.github.io/Logging_0360/kartor/A 43645-2024 karta.png", "A 43645-2024")</f>
        <v/>
      </c>
      <c r="V63">
        <f>HYPERLINK("https://klasma.github.io/Logging_0360/klagomål/A 43645-2024 FSC-klagomål.docx", "A 43645-2024")</f>
        <v/>
      </c>
      <c r="W63">
        <f>HYPERLINK("https://klasma.github.io/Logging_0360/klagomålsmail/A 43645-2024 FSC-klagomål mail.docx", "A 43645-2024")</f>
        <v/>
      </c>
      <c r="X63">
        <f>HYPERLINK("https://klasma.github.io/Logging_0360/tillsyn/A 43645-2024 tillsynsbegäran.docx", "A 43645-2024")</f>
        <v/>
      </c>
      <c r="Y63">
        <f>HYPERLINK("https://klasma.github.io/Logging_0360/tillsynsmail/A 43645-2024 tillsynsbegäran mail.docx", "A 43645-2024")</f>
        <v/>
      </c>
      <c r="Z63">
        <f>HYPERLINK("https://klasma.github.io/Logging_0360/fåglar/A 43645-2024 prioriterade fågelarter.docx", "A 43645-2024")</f>
        <v/>
      </c>
    </row>
    <row r="64" ht="15" customHeight="1">
      <c r="A64" t="inlineStr">
        <is>
          <t>A 43642-2024</t>
        </is>
      </c>
      <c r="B64" s="1" t="n">
        <v>45569</v>
      </c>
      <c r="C64" s="1" t="n">
        <v>45648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16.3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Järpe</t>
        </is>
      </c>
      <c r="S64">
        <f>HYPERLINK("https://klasma.github.io/Logging_0360/artfynd/A 43642-2024 artfynd.xlsx", "A 43642-2024")</f>
        <v/>
      </c>
      <c r="T64">
        <f>HYPERLINK("https://klasma.github.io/Logging_0360/kartor/A 43642-2024 karta.png", "A 43642-2024")</f>
        <v/>
      </c>
      <c r="V64">
        <f>HYPERLINK("https://klasma.github.io/Logging_0360/klagomål/A 43642-2024 FSC-klagomål.docx", "A 43642-2024")</f>
        <v/>
      </c>
      <c r="W64">
        <f>HYPERLINK("https://klasma.github.io/Logging_0360/klagomålsmail/A 43642-2024 FSC-klagomål mail.docx", "A 43642-2024")</f>
        <v/>
      </c>
      <c r="X64">
        <f>HYPERLINK("https://klasma.github.io/Logging_0360/tillsyn/A 43642-2024 tillsynsbegäran.docx", "A 43642-2024")</f>
        <v/>
      </c>
      <c r="Y64">
        <f>HYPERLINK("https://klasma.github.io/Logging_0360/tillsynsmail/A 43642-2024 tillsynsbegäran mail.docx", "A 43642-2024")</f>
        <v/>
      </c>
      <c r="Z64">
        <f>HYPERLINK("https://klasma.github.io/Logging_0360/fåglar/A 43642-2024 prioriterade fågelarter.docx", "A 43642-2024")</f>
        <v/>
      </c>
    </row>
    <row r="65" ht="15" customHeight="1">
      <c r="A65" t="inlineStr">
        <is>
          <t>A 58146-2024</t>
        </is>
      </c>
      <c r="B65" s="1" t="n">
        <v>45632</v>
      </c>
      <c r="C65" s="1" t="n">
        <v>45648</v>
      </c>
      <c r="D65" t="inlineStr">
        <is>
          <t>UPPSALA LÄN</t>
        </is>
      </c>
      <c r="E65" t="inlineStr">
        <is>
          <t>TIERP</t>
        </is>
      </c>
      <c r="G65" t="n">
        <v>11.8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Vårärt
Blåsippa</t>
        </is>
      </c>
      <c r="S65">
        <f>HYPERLINK("https://klasma.github.io/Logging_0360/artfynd/A 58146-2024 artfynd.xlsx", "A 58146-2024")</f>
        <v/>
      </c>
      <c r="T65">
        <f>HYPERLINK("https://klasma.github.io/Logging_0360/kartor/A 58146-2024 karta.png", "A 58146-2024")</f>
        <v/>
      </c>
      <c r="V65">
        <f>HYPERLINK("https://klasma.github.io/Logging_0360/klagomål/A 58146-2024 FSC-klagomål.docx", "A 58146-2024")</f>
        <v/>
      </c>
      <c r="W65">
        <f>HYPERLINK("https://klasma.github.io/Logging_0360/klagomålsmail/A 58146-2024 FSC-klagomål mail.docx", "A 58146-2024")</f>
        <v/>
      </c>
      <c r="X65">
        <f>HYPERLINK("https://klasma.github.io/Logging_0360/tillsyn/A 58146-2024 tillsynsbegäran.docx", "A 58146-2024")</f>
        <v/>
      </c>
      <c r="Y65">
        <f>HYPERLINK("https://klasma.github.io/Logging_0360/tillsynsmail/A 58146-2024 tillsynsbegäran mail.docx", "A 58146-2024")</f>
        <v/>
      </c>
    </row>
    <row r="66" ht="15" customHeight="1">
      <c r="A66" t="inlineStr">
        <is>
          <t>A 30583-2019</t>
        </is>
      </c>
      <c r="B66" s="1" t="n">
        <v>43635</v>
      </c>
      <c r="C66" s="1" t="n">
        <v>45648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Guckusko</t>
        </is>
      </c>
      <c r="S66">
        <f>HYPERLINK("https://klasma.github.io/Logging_0360/artfynd/A 30583-2019 artfynd.xlsx", "A 30583-2019")</f>
        <v/>
      </c>
      <c r="T66">
        <f>HYPERLINK("https://klasma.github.io/Logging_0360/kartor/A 30583-2019 karta.png", "A 30583-2019")</f>
        <v/>
      </c>
      <c r="V66">
        <f>HYPERLINK("https://klasma.github.io/Logging_0360/klagomål/A 30583-2019 FSC-klagomål.docx", "A 30583-2019")</f>
        <v/>
      </c>
      <c r="W66">
        <f>HYPERLINK("https://klasma.github.io/Logging_0360/klagomålsmail/A 30583-2019 FSC-klagomål mail.docx", "A 30583-2019")</f>
        <v/>
      </c>
      <c r="X66">
        <f>HYPERLINK("https://klasma.github.io/Logging_0360/tillsyn/A 30583-2019 tillsynsbegäran.docx", "A 30583-2019")</f>
        <v/>
      </c>
      <c r="Y66">
        <f>HYPERLINK("https://klasma.github.io/Logging_0360/tillsynsmail/A 30583-2019 tillsynsbegäran mail.docx", "A 30583-2019")</f>
        <v/>
      </c>
    </row>
    <row r="67" ht="15" customHeight="1">
      <c r="A67" t="inlineStr">
        <is>
          <t>A 33753-2019</t>
        </is>
      </c>
      <c r="B67" s="1" t="n">
        <v>43651</v>
      </c>
      <c r="C67" s="1" t="n">
        <v>45648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HYPERLINK("https://klasma.github.io/Logging_0360/artfynd/A 33753-2019 artfynd.xlsx", "A 33753-2019")</f>
        <v/>
      </c>
      <c r="T67">
        <f>HYPERLINK("https://klasma.github.io/Logging_0360/kartor/A 33753-2019 karta.png", "A 33753-2019")</f>
        <v/>
      </c>
      <c r="V67">
        <f>HYPERLINK("https://klasma.github.io/Logging_0360/klagomål/A 33753-2019 FSC-klagomål.docx", "A 33753-2019")</f>
        <v/>
      </c>
      <c r="W67">
        <f>HYPERLINK("https://klasma.github.io/Logging_0360/klagomålsmail/A 33753-2019 FSC-klagomål mail.docx", "A 33753-2019")</f>
        <v/>
      </c>
      <c r="X67">
        <f>HYPERLINK("https://klasma.github.io/Logging_0360/tillsyn/A 33753-2019 tillsynsbegäran.docx", "A 33753-2019")</f>
        <v/>
      </c>
      <c r="Y67">
        <f>HYPERLINK("https://klasma.github.io/Logging_0360/tillsynsmail/A 33753-2019 tillsynsbegäran mail.docx", "A 33753-2019")</f>
        <v/>
      </c>
    </row>
    <row r="68" ht="15" customHeight="1">
      <c r="A68" t="inlineStr">
        <is>
          <t>A 2391-2020</t>
        </is>
      </c>
      <c r="B68" s="1" t="n">
        <v>43847</v>
      </c>
      <c r="C68" s="1" t="n">
        <v>45648</v>
      </c>
      <c r="D68" t="inlineStr">
        <is>
          <t>UPPSALA LÄN</t>
        </is>
      </c>
      <c r="E68" t="inlineStr">
        <is>
          <t>TIERP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Äggspindling</t>
        </is>
      </c>
      <c r="S68">
        <f>HYPERLINK("https://klasma.github.io/Logging_0360/artfynd/A 2391-2020 artfynd.xlsx", "A 2391-2020")</f>
        <v/>
      </c>
      <c r="T68">
        <f>HYPERLINK("https://klasma.github.io/Logging_0360/kartor/A 2391-2020 karta.png", "A 2391-2020")</f>
        <v/>
      </c>
      <c r="V68">
        <f>HYPERLINK("https://klasma.github.io/Logging_0360/klagomål/A 2391-2020 FSC-klagomål.docx", "A 2391-2020")</f>
        <v/>
      </c>
      <c r="W68">
        <f>HYPERLINK("https://klasma.github.io/Logging_0360/klagomålsmail/A 2391-2020 FSC-klagomål mail.docx", "A 2391-2020")</f>
        <v/>
      </c>
      <c r="X68">
        <f>HYPERLINK("https://klasma.github.io/Logging_0360/tillsyn/A 2391-2020 tillsynsbegäran.docx", "A 2391-2020")</f>
        <v/>
      </c>
      <c r="Y68">
        <f>HYPERLINK("https://klasma.github.io/Logging_0360/tillsynsmail/A 2391-2020 tillsynsbegäran mail.docx", "A 2391-2020")</f>
        <v/>
      </c>
    </row>
    <row r="69" ht="15" customHeight="1">
      <c r="A69" t="inlineStr">
        <is>
          <t>A 2835-2020</t>
        </is>
      </c>
      <c r="B69" s="1" t="n">
        <v>43850</v>
      </c>
      <c r="C69" s="1" t="n">
        <v>45648</v>
      </c>
      <c r="D69" t="inlineStr">
        <is>
          <t>UPPSALA LÄN</t>
        </is>
      </c>
      <c r="E69" t="inlineStr">
        <is>
          <t>TIERP</t>
        </is>
      </c>
      <c r="G69" t="n">
        <v>7.6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HYPERLINK("https://klasma.github.io/Logging_0360/artfynd/A 2835-2020 artfynd.xlsx", "A 2835-2020")</f>
        <v/>
      </c>
      <c r="T69">
        <f>HYPERLINK("https://klasma.github.io/Logging_0360/kartor/A 2835-2020 karta.png", "A 2835-2020")</f>
        <v/>
      </c>
      <c r="V69">
        <f>HYPERLINK("https://klasma.github.io/Logging_0360/klagomål/A 2835-2020 FSC-klagomål.docx", "A 2835-2020")</f>
        <v/>
      </c>
      <c r="W69">
        <f>HYPERLINK("https://klasma.github.io/Logging_0360/klagomålsmail/A 2835-2020 FSC-klagomål mail.docx", "A 2835-2020")</f>
        <v/>
      </c>
      <c r="X69">
        <f>HYPERLINK("https://klasma.github.io/Logging_0360/tillsyn/A 2835-2020 tillsynsbegäran.docx", "A 2835-2020")</f>
        <v/>
      </c>
      <c r="Y69">
        <f>HYPERLINK("https://klasma.github.io/Logging_0360/tillsynsmail/A 2835-2020 tillsynsbegäran mail.docx", "A 2835-2020")</f>
        <v/>
      </c>
    </row>
    <row r="70" ht="15" customHeight="1">
      <c r="A70" t="inlineStr">
        <is>
          <t>A 5316-2020</t>
        </is>
      </c>
      <c r="B70" s="1" t="n">
        <v>43860</v>
      </c>
      <c r="C70" s="1" t="n">
        <v>45648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HYPERLINK("https://klasma.github.io/Logging_0360/artfynd/A 5316-2020 artfynd.xlsx", "A 5316-2020")</f>
        <v/>
      </c>
      <c r="T70">
        <f>HYPERLINK("https://klasma.github.io/Logging_0360/kartor/A 5316-2020 karta.png", "A 5316-2020")</f>
        <v/>
      </c>
      <c r="V70">
        <f>HYPERLINK("https://klasma.github.io/Logging_0360/klagomål/A 5316-2020 FSC-klagomål.docx", "A 5316-2020")</f>
        <v/>
      </c>
      <c r="W70">
        <f>HYPERLINK("https://klasma.github.io/Logging_0360/klagomålsmail/A 5316-2020 FSC-klagomål mail.docx", "A 5316-2020")</f>
        <v/>
      </c>
      <c r="X70">
        <f>HYPERLINK("https://klasma.github.io/Logging_0360/tillsyn/A 5316-2020 tillsynsbegäran.docx", "A 5316-2020")</f>
        <v/>
      </c>
      <c r="Y70">
        <f>HYPERLINK("https://klasma.github.io/Logging_0360/tillsynsmail/A 5316-2020 tillsynsbegäran mail.docx", "A 5316-2020")</f>
        <v/>
      </c>
      <c r="Z70">
        <f>HYPERLINK("https://klasma.github.io/Logging_0360/fåglar/A 5316-2020 prioriterade fågelarter.docx", "A 5316-2020")</f>
        <v/>
      </c>
    </row>
    <row r="71" ht="15" customHeight="1">
      <c r="A71" t="inlineStr">
        <is>
          <t>A 14008-2020</t>
        </is>
      </c>
      <c r="B71" s="1" t="n">
        <v>43906</v>
      </c>
      <c r="C71" s="1" t="n">
        <v>45648</v>
      </c>
      <c r="D71" t="inlineStr">
        <is>
          <t>UPPSALA LÄN</t>
        </is>
      </c>
      <c r="E71" t="inlineStr">
        <is>
          <t>TIERP</t>
        </is>
      </c>
      <c r="G71" t="n">
        <v>22.3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HYPERLINK("https://klasma.github.io/Logging_0360/artfynd/A 14008-2020 artfynd.xlsx", "A 14008-2020")</f>
        <v/>
      </c>
      <c r="T71">
        <f>HYPERLINK("https://klasma.github.io/Logging_0360/kartor/A 14008-2020 karta.png", "A 14008-2020")</f>
        <v/>
      </c>
      <c r="V71">
        <f>HYPERLINK("https://klasma.github.io/Logging_0360/klagomål/A 14008-2020 FSC-klagomål.docx", "A 14008-2020")</f>
        <v/>
      </c>
      <c r="W71">
        <f>HYPERLINK("https://klasma.github.io/Logging_0360/klagomålsmail/A 14008-2020 FSC-klagomål mail.docx", "A 14008-2020")</f>
        <v/>
      </c>
      <c r="X71">
        <f>HYPERLINK("https://klasma.github.io/Logging_0360/tillsyn/A 14008-2020 tillsynsbegäran.docx", "A 14008-2020")</f>
        <v/>
      </c>
      <c r="Y71">
        <f>HYPERLINK("https://klasma.github.io/Logging_0360/tillsynsmail/A 14008-2020 tillsynsbegäran mail.docx", "A 14008-2020")</f>
        <v/>
      </c>
    </row>
    <row r="72" ht="15" customHeight="1">
      <c r="A72" t="inlineStr">
        <is>
          <t>A 18773-2020</t>
        </is>
      </c>
      <c r="B72" s="1" t="n">
        <v>43930</v>
      </c>
      <c r="C72" s="1" t="n">
        <v>45648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2.4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HYPERLINK("https://klasma.github.io/Logging_0360/artfynd/A 18773-2020 artfynd.xlsx", "A 18773-2020")</f>
        <v/>
      </c>
      <c r="T72">
        <f>HYPERLINK("https://klasma.github.io/Logging_0360/kartor/A 18773-2020 karta.png", "A 18773-2020")</f>
        <v/>
      </c>
      <c r="V72">
        <f>HYPERLINK("https://klasma.github.io/Logging_0360/klagomål/A 18773-2020 FSC-klagomål.docx", "A 18773-2020")</f>
        <v/>
      </c>
      <c r="W72">
        <f>HYPERLINK("https://klasma.github.io/Logging_0360/klagomålsmail/A 18773-2020 FSC-klagomål mail.docx", "A 18773-2020")</f>
        <v/>
      </c>
      <c r="X72">
        <f>HYPERLINK("https://klasma.github.io/Logging_0360/tillsyn/A 18773-2020 tillsynsbegäran.docx", "A 18773-2020")</f>
        <v/>
      </c>
      <c r="Y72">
        <f>HYPERLINK("https://klasma.github.io/Logging_0360/tillsynsmail/A 18773-2020 tillsynsbegäran mail.docx", "A 18773-2020")</f>
        <v/>
      </c>
    </row>
    <row r="73" ht="15" customHeight="1">
      <c r="A73" t="inlineStr">
        <is>
          <t>A 3444-2021</t>
        </is>
      </c>
      <c r="B73" s="1" t="n">
        <v>44218</v>
      </c>
      <c r="C73" s="1" t="n">
        <v>45648</v>
      </c>
      <c r="D73" t="inlineStr">
        <is>
          <t>UPPSALA LÄN</t>
        </is>
      </c>
      <c r="E73" t="inlineStr">
        <is>
          <t>TIERP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HYPERLINK("https://klasma.github.io/Logging_0360/artfynd/A 3444-2021 artfynd.xlsx", "A 3444-2021")</f>
        <v/>
      </c>
      <c r="T73">
        <f>HYPERLINK("https://klasma.github.io/Logging_0360/kartor/A 3444-2021 karta.png", "A 3444-2021")</f>
        <v/>
      </c>
      <c r="V73">
        <f>HYPERLINK("https://klasma.github.io/Logging_0360/klagomål/A 3444-2021 FSC-klagomål.docx", "A 3444-2021")</f>
        <v/>
      </c>
      <c r="W73">
        <f>HYPERLINK("https://klasma.github.io/Logging_0360/klagomålsmail/A 3444-2021 FSC-klagomål mail.docx", "A 3444-2021")</f>
        <v/>
      </c>
      <c r="X73">
        <f>HYPERLINK("https://klasma.github.io/Logging_0360/tillsyn/A 3444-2021 tillsynsbegäran.docx", "A 3444-2021")</f>
        <v/>
      </c>
      <c r="Y73">
        <f>HYPERLINK("https://klasma.github.io/Logging_0360/tillsynsmail/A 3444-2021 tillsynsbegäran mail.docx", "A 3444-2021")</f>
        <v/>
      </c>
    </row>
    <row r="74" ht="15" customHeight="1">
      <c r="A74" t="inlineStr">
        <is>
          <t>A 50442-2021</t>
        </is>
      </c>
      <c r="B74" s="1" t="n">
        <v>44459</v>
      </c>
      <c r="C74" s="1" t="n">
        <v>45648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50442-2021 artfynd.xlsx", "A 50442-2021")</f>
        <v/>
      </c>
      <c r="T74">
        <f>HYPERLINK("https://klasma.github.io/Logging_0360/kartor/A 50442-2021 karta.png", "A 50442-2021")</f>
        <v/>
      </c>
      <c r="V74">
        <f>HYPERLINK("https://klasma.github.io/Logging_0360/klagomål/A 50442-2021 FSC-klagomål.docx", "A 50442-2021")</f>
        <v/>
      </c>
      <c r="W74">
        <f>HYPERLINK("https://klasma.github.io/Logging_0360/klagomålsmail/A 50442-2021 FSC-klagomål mail.docx", "A 50442-2021")</f>
        <v/>
      </c>
      <c r="X74">
        <f>HYPERLINK("https://klasma.github.io/Logging_0360/tillsyn/A 50442-2021 tillsynsbegäran.docx", "A 50442-2021")</f>
        <v/>
      </c>
      <c r="Y74">
        <f>HYPERLINK("https://klasma.github.io/Logging_0360/tillsynsmail/A 50442-2021 tillsynsbegäran mail.docx", "A 50442-2021")</f>
        <v/>
      </c>
      <c r="Z74">
        <f>HYPERLINK("https://klasma.github.io/Logging_0360/fåglar/A 50442-2021 prioriterade fågelarter.docx", "A 50442-2021")</f>
        <v/>
      </c>
    </row>
    <row r="75" ht="15" customHeight="1">
      <c r="A75" t="inlineStr">
        <is>
          <t>A 50429-2021</t>
        </is>
      </c>
      <c r="B75" s="1" t="n">
        <v>44459</v>
      </c>
      <c r="C75" s="1" t="n">
        <v>45648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HYPERLINK("https://klasma.github.io/Logging_0360/artfynd/A 50429-2021 artfynd.xlsx", "A 50429-2021")</f>
        <v/>
      </c>
      <c r="T75">
        <f>HYPERLINK("https://klasma.github.io/Logging_0360/kartor/A 50429-2021 karta.png", "A 50429-2021")</f>
        <v/>
      </c>
      <c r="V75">
        <f>HYPERLINK("https://klasma.github.io/Logging_0360/klagomål/A 50429-2021 FSC-klagomål.docx", "A 50429-2021")</f>
        <v/>
      </c>
      <c r="W75">
        <f>HYPERLINK("https://klasma.github.io/Logging_0360/klagomålsmail/A 50429-2021 FSC-klagomål mail.docx", "A 50429-2021")</f>
        <v/>
      </c>
      <c r="X75">
        <f>HYPERLINK("https://klasma.github.io/Logging_0360/tillsyn/A 50429-2021 tillsynsbegäran.docx", "A 50429-2021")</f>
        <v/>
      </c>
      <c r="Y75">
        <f>HYPERLINK("https://klasma.github.io/Logging_0360/tillsynsmail/A 50429-2021 tillsynsbegäran mail.docx", "A 50429-2021")</f>
        <v/>
      </c>
      <c r="Z75">
        <f>HYPERLINK("https://klasma.github.io/Logging_0360/fåglar/A 50429-2021 prioriterade fågelarter.docx", "A 50429-2021")</f>
        <v/>
      </c>
    </row>
    <row r="76" ht="15" customHeight="1">
      <c r="A76" t="inlineStr">
        <is>
          <t>A 73320-2021</t>
        </is>
      </c>
      <c r="B76" s="1" t="n">
        <v>44551</v>
      </c>
      <c r="C76" s="1" t="n">
        <v>45648</v>
      </c>
      <c r="D76" t="inlineStr">
        <is>
          <t>UPPSALA LÄN</t>
        </is>
      </c>
      <c r="E76" t="inlineStr">
        <is>
          <t>TIERP</t>
        </is>
      </c>
      <c r="G76" t="n">
        <v>8.699999999999999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HYPERLINK("https://klasma.github.io/Logging_0360/artfynd/A 73320-2021 artfynd.xlsx", "A 73320-2021")</f>
        <v/>
      </c>
      <c r="T76">
        <f>HYPERLINK("https://klasma.github.io/Logging_0360/kartor/A 73320-2021 karta.png", "A 73320-2021")</f>
        <v/>
      </c>
      <c r="V76">
        <f>HYPERLINK("https://klasma.github.io/Logging_0360/klagomål/A 73320-2021 FSC-klagomål.docx", "A 73320-2021")</f>
        <v/>
      </c>
      <c r="W76">
        <f>HYPERLINK("https://klasma.github.io/Logging_0360/klagomålsmail/A 73320-2021 FSC-klagomål mail.docx", "A 73320-2021")</f>
        <v/>
      </c>
      <c r="X76">
        <f>HYPERLINK("https://klasma.github.io/Logging_0360/tillsyn/A 73320-2021 tillsynsbegäran.docx", "A 73320-2021")</f>
        <v/>
      </c>
      <c r="Y76">
        <f>HYPERLINK("https://klasma.github.io/Logging_0360/tillsynsmail/A 73320-2021 tillsynsbegäran mail.docx", "A 73320-2021")</f>
        <v/>
      </c>
    </row>
    <row r="77" ht="15" customHeight="1">
      <c r="A77" t="inlineStr">
        <is>
          <t>A 74472-2021</t>
        </is>
      </c>
      <c r="B77" s="1" t="n">
        <v>44560</v>
      </c>
      <c r="C77" s="1" t="n">
        <v>45648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Underviol</t>
        </is>
      </c>
      <c r="S77">
        <f>HYPERLINK("https://klasma.github.io/Logging_0360/artfynd/A 74472-2021 artfynd.xlsx", "A 74472-2021")</f>
        <v/>
      </c>
      <c r="T77">
        <f>HYPERLINK("https://klasma.github.io/Logging_0360/kartor/A 74472-2021 karta.png", "A 74472-2021")</f>
        <v/>
      </c>
      <c r="V77">
        <f>HYPERLINK("https://klasma.github.io/Logging_0360/klagomål/A 74472-2021 FSC-klagomål.docx", "A 74472-2021")</f>
        <v/>
      </c>
      <c r="W77">
        <f>HYPERLINK("https://klasma.github.io/Logging_0360/klagomålsmail/A 74472-2021 FSC-klagomål mail.docx", "A 74472-2021")</f>
        <v/>
      </c>
      <c r="X77">
        <f>HYPERLINK("https://klasma.github.io/Logging_0360/tillsyn/A 74472-2021 tillsynsbegäran.docx", "A 74472-2021")</f>
        <v/>
      </c>
      <c r="Y77">
        <f>HYPERLINK("https://klasma.github.io/Logging_0360/tillsynsmail/A 74472-2021 tillsynsbegäran mail.docx", "A 74472-2021")</f>
        <v/>
      </c>
    </row>
    <row r="78" ht="15" customHeight="1">
      <c r="A78" t="inlineStr">
        <is>
          <t>A 5454-2022</t>
        </is>
      </c>
      <c r="B78" s="1" t="n">
        <v>44595</v>
      </c>
      <c r="C78" s="1" t="n">
        <v>45648</v>
      </c>
      <c r="D78" t="inlineStr">
        <is>
          <t>UPPSALA LÄN</t>
        </is>
      </c>
      <c r="E78" t="inlineStr">
        <is>
          <t>TIERP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Anisspindling</t>
        </is>
      </c>
      <c r="S78">
        <f>HYPERLINK("https://klasma.github.io/Logging_0360/artfynd/A 5454-2022 artfynd.xlsx", "A 5454-2022")</f>
        <v/>
      </c>
      <c r="T78">
        <f>HYPERLINK("https://klasma.github.io/Logging_0360/kartor/A 5454-2022 karta.png", "A 5454-2022")</f>
        <v/>
      </c>
      <c r="U78">
        <f>HYPERLINK("https://klasma.github.io/Logging_0360/knärot/A 5454-2022 karta knärot.png", "A 5454-2022")</f>
        <v/>
      </c>
      <c r="V78">
        <f>HYPERLINK("https://klasma.github.io/Logging_0360/klagomål/A 5454-2022 FSC-klagomål.docx", "A 5454-2022")</f>
        <v/>
      </c>
      <c r="W78">
        <f>HYPERLINK("https://klasma.github.io/Logging_0360/klagomålsmail/A 5454-2022 FSC-klagomål mail.docx", "A 5454-2022")</f>
        <v/>
      </c>
      <c r="X78">
        <f>HYPERLINK("https://klasma.github.io/Logging_0360/tillsyn/A 5454-2022 tillsynsbegäran.docx", "A 5454-2022")</f>
        <v/>
      </c>
      <c r="Y78">
        <f>HYPERLINK("https://klasma.github.io/Logging_0360/tillsynsmail/A 5454-2022 tillsynsbegäran mail.docx", "A 5454-2022")</f>
        <v/>
      </c>
    </row>
    <row r="79" ht="15" customHeight="1">
      <c r="A79" t="inlineStr">
        <is>
          <t>A 7505-2022</t>
        </is>
      </c>
      <c r="B79" s="1" t="n">
        <v>44607</v>
      </c>
      <c r="C79" s="1" t="n">
        <v>45648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Grentaggsvamp</t>
        </is>
      </c>
      <c r="S79">
        <f>HYPERLINK("https://klasma.github.io/Logging_0360/artfynd/A 7505-2022 artfynd.xlsx", "A 7505-2022")</f>
        <v/>
      </c>
      <c r="T79">
        <f>HYPERLINK("https://klasma.github.io/Logging_0360/kartor/A 7505-2022 karta.png", "A 7505-2022")</f>
        <v/>
      </c>
      <c r="V79">
        <f>HYPERLINK("https://klasma.github.io/Logging_0360/klagomål/A 7505-2022 FSC-klagomål.docx", "A 7505-2022")</f>
        <v/>
      </c>
      <c r="W79">
        <f>HYPERLINK("https://klasma.github.io/Logging_0360/klagomålsmail/A 7505-2022 FSC-klagomål mail.docx", "A 7505-2022")</f>
        <v/>
      </c>
      <c r="X79">
        <f>HYPERLINK("https://klasma.github.io/Logging_0360/tillsyn/A 7505-2022 tillsynsbegäran.docx", "A 7505-2022")</f>
        <v/>
      </c>
      <c r="Y79">
        <f>HYPERLINK("https://klasma.github.io/Logging_0360/tillsynsmail/A 7505-2022 tillsynsbegäran mail.docx", "A 7505-2022")</f>
        <v/>
      </c>
    </row>
    <row r="80" ht="15" customHeight="1">
      <c r="A80" t="inlineStr">
        <is>
          <t>A 33375-2022</t>
        </is>
      </c>
      <c r="B80" s="1" t="n">
        <v>44788</v>
      </c>
      <c r="C80" s="1" t="n">
        <v>45648</v>
      </c>
      <c r="D80" t="inlineStr">
        <is>
          <t>UPPSALA LÄN</t>
        </is>
      </c>
      <c r="E80" t="inlineStr">
        <is>
          <t>TIERP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Fältgentiana</t>
        </is>
      </c>
      <c r="S80">
        <f>HYPERLINK("https://klasma.github.io/Logging_0360/artfynd/A 33375-2022 artfynd.xlsx", "A 33375-2022")</f>
        <v/>
      </c>
      <c r="T80">
        <f>HYPERLINK("https://klasma.github.io/Logging_0360/kartor/A 33375-2022 karta.png", "A 33375-2022")</f>
        <v/>
      </c>
      <c r="V80">
        <f>HYPERLINK("https://klasma.github.io/Logging_0360/klagomål/A 33375-2022 FSC-klagomål.docx", "A 33375-2022")</f>
        <v/>
      </c>
      <c r="W80">
        <f>HYPERLINK("https://klasma.github.io/Logging_0360/klagomålsmail/A 33375-2022 FSC-klagomål mail.docx", "A 33375-2022")</f>
        <v/>
      </c>
      <c r="X80">
        <f>HYPERLINK("https://klasma.github.io/Logging_0360/tillsyn/A 33375-2022 tillsynsbegäran.docx", "A 33375-2022")</f>
        <v/>
      </c>
      <c r="Y80">
        <f>HYPERLINK("https://klasma.github.io/Logging_0360/tillsynsmail/A 33375-2022 tillsynsbegäran mail.docx", "A 33375-2022")</f>
        <v/>
      </c>
    </row>
    <row r="81" ht="15" customHeight="1">
      <c r="A81" t="inlineStr">
        <is>
          <t>A 40362-2022</t>
        </is>
      </c>
      <c r="B81" s="1" t="n">
        <v>44823</v>
      </c>
      <c r="C81" s="1" t="n">
        <v>45648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HYPERLINK("https://klasma.github.io/Logging_0360/artfynd/A 40362-2022 artfynd.xlsx", "A 40362-2022")</f>
        <v/>
      </c>
      <c r="T81">
        <f>HYPERLINK("https://klasma.github.io/Logging_0360/kartor/A 40362-2022 karta.png", "A 40362-2022")</f>
        <v/>
      </c>
      <c r="V81">
        <f>HYPERLINK("https://klasma.github.io/Logging_0360/klagomål/A 40362-2022 FSC-klagomål.docx", "A 40362-2022")</f>
        <v/>
      </c>
      <c r="W81">
        <f>HYPERLINK("https://klasma.github.io/Logging_0360/klagomålsmail/A 40362-2022 FSC-klagomål mail.docx", "A 40362-2022")</f>
        <v/>
      </c>
      <c r="X81">
        <f>HYPERLINK("https://klasma.github.io/Logging_0360/tillsyn/A 40362-2022 tillsynsbegäran.docx", "A 40362-2022")</f>
        <v/>
      </c>
      <c r="Y81">
        <f>HYPERLINK("https://klasma.github.io/Logging_0360/tillsynsmail/A 40362-2022 tillsynsbegäran mail.docx", "A 40362-2022")</f>
        <v/>
      </c>
    </row>
    <row r="82" ht="15" customHeight="1">
      <c r="A82" t="inlineStr">
        <is>
          <t>A 45536-2022</t>
        </is>
      </c>
      <c r="B82" s="1" t="n">
        <v>44845</v>
      </c>
      <c r="C82" s="1" t="n">
        <v>45648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HYPERLINK("https://klasma.github.io/Logging_0360/artfynd/A 45536-2022 artfynd.xlsx", "A 45536-2022")</f>
        <v/>
      </c>
      <c r="T82">
        <f>HYPERLINK("https://klasma.github.io/Logging_0360/kartor/A 45536-2022 karta.png", "A 45536-2022")</f>
        <v/>
      </c>
      <c r="V82">
        <f>HYPERLINK("https://klasma.github.io/Logging_0360/klagomål/A 45536-2022 FSC-klagomål.docx", "A 45536-2022")</f>
        <v/>
      </c>
      <c r="W82">
        <f>HYPERLINK("https://klasma.github.io/Logging_0360/klagomålsmail/A 45536-2022 FSC-klagomål mail.docx", "A 45536-2022")</f>
        <v/>
      </c>
      <c r="X82">
        <f>HYPERLINK("https://klasma.github.io/Logging_0360/tillsyn/A 45536-2022 tillsynsbegäran.docx", "A 45536-2022")</f>
        <v/>
      </c>
      <c r="Y82">
        <f>HYPERLINK("https://klasma.github.io/Logging_0360/tillsynsmail/A 45536-2022 tillsynsbegäran mail.docx", "A 45536-2022")</f>
        <v/>
      </c>
    </row>
    <row r="83" ht="15" customHeight="1">
      <c r="A83" t="inlineStr">
        <is>
          <t>A 47227-2022</t>
        </is>
      </c>
      <c r="B83" s="1" t="n">
        <v>44852</v>
      </c>
      <c r="C83" s="1" t="n">
        <v>45648</v>
      </c>
      <c r="D83" t="inlineStr">
        <is>
          <t>UPPSALA LÄN</t>
        </is>
      </c>
      <c r="E83" t="inlineStr">
        <is>
          <t>TIERP</t>
        </is>
      </c>
      <c r="G83" t="n">
        <v>5.9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Nästrot</t>
        </is>
      </c>
      <c r="S83">
        <f>HYPERLINK("https://klasma.github.io/Logging_0360/artfynd/A 47227-2022 artfynd.xlsx", "A 47227-2022")</f>
        <v/>
      </c>
      <c r="T83">
        <f>HYPERLINK("https://klasma.github.io/Logging_0360/kartor/A 47227-2022 karta.png", "A 47227-2022")</f>
        <v/>
      </c>
      <c r="V83">
        <f>HYPERLINK("https://klasma.github.io/Logging_0360/klagomål/A 47227-2022 FSC-klagomål.docx", "A 47227-2022")</f>
        <v/>
      </c>
      <c r="W83">
        <f>HYPERLINK("https://klasma.github.io/Logging_0360/klagomålsmail/A 47227-2022 FSC-klagomål mail.docx", "A 47227-2022")</f>
        <v/>
      </c>
      <c r="X83">
        <f>HYPERLINK("https://klasma.github.io/Logging_0360/tillsyn/A 47227-2022 tillsynsbegäran.docx", "A 47227-2022")</f>
        <v/>
      </c>
      <c r="Y83">
        <f>HYPERLINK("https://klasma.github.io/Logging_0360/tillsynsmail/A 47227-2022 tillsynsbegäran mail.docx", "A 47227-2022")</f>
        <v/>
      </c>
    </row>
    <row r="84" ht="15" customHeight="1">
      <c r="A84" t="inlineStr">
        <is>
          <t>A 56968-2022</t>
        </is>
      </c>
      <c r="B84" s="1" t="n">
        <v>44894</v>
      </c>
      <c r="C84" s="1" t="n">
        <v>45648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Olivspindling</t>
        </is>
      </c>
      <c r="S84">
        <f>HYPERLINK("https://klasma.github.io/Logging_0360/artfynd/A 56968-2022 artfynd.xlsx", "A 56968-2022")</f>
        <v/>
      </c>
      <c r="T84">
        <f>HYPERLINK("https://klasma.github.io/Logging_0360/kartor/A 56968-2022 karta.png", "A 56968-2022")</f>
        <v/>
      </c>
      <c r="V84">
        <f>HYPERLINK("https://klasma.github.io/Logging_0360/klagomål/A 56968-2022 FSC-klagomål.docx", "A 56968-2022")</f>
        <v/>
      </c>
      <c r="W84">
        <f>HYPERLINK("https://klasma.github.io/Logging_0360/klagomålsmail/A 56968-2022 FSC-klagomål mail.docx", "A 56968-2022")</f>
        <v/>
      </c>
      <c r="X84">
        <f>HYPERLINK("https://klasma.github.io/Logging_0360/tillsyn/A 56968-2022 tillsynsbegäran.docx", "A 56968-2022")</f>
        <v/>
      </c>
      <c r="Y84">
        <f>HYPERLINK("https://klasma.github.io/Logging_0360/tillsynsmail/A 56968-2022 tillsynsbegäran mail.docx", "A 56968-2022")</f>
        <v/>
      </c>
    </row>
    <row r="85" ht="15" customHeight="1">
      <c r="A85" t="inlineStr">
        <is>
          <t>A 60555-2022</t>
        </is>
      </c>
      <c r="B85" s="1" t="n">
        <v>44911</v>
      </c>
      <c r="C85" s="1" t="n">
        <v>45648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HYPERLINK("https://klasma.github.io/Logging_0360/artfynd/A 60555-2022 artfynd.xlsx", "A 60555-2022")</f>
        <v/>
      </c>
      <c r="T85">
        <f>HYPERLINK("https://klasma.github.io/Logging_0360/kartor/A 60555-2022 karta.png", "A 60555-2022")</f>
        <v/>
      </c>
      <c r="V85">
        <f>HYPERLINK("https://klasma.github.io/Logging_0360/klagomål/A 60555-2022 FSC-klagomål.docx", "A 60555-2022")</f>
        <v/>
      </c>
      <c r="W85">
        <f>HYPERLINK("https://klasma.github.io/Logging_0360/klagomålsmail/A 60555-2022 FSC-klagomål mail.docx", "A 60555-2022")</f>
        <v/>
      </c>
      <c r="X85">
        <f>HYPERLINK("https://klasma.github.io/Logging_0360/tillsyn/A 60555-2022 tillsynsbegäran.docx", "A 60555-2022")</f>
        <v/>
      </c>
      <c r="Y85">
        <f>HYPERLINK("https://klasma.github.io/Logging_0360/tillsynsmail/A 60555-2022 tillsynsbegäran mail.docx", "A 60555-2022")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45648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45648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45648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45648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45648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45648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45648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45648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45648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45648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45648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45648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45648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45648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45648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45648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45648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45648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45648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45648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45648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45648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45648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45648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45648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45648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45648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45648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45648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45648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45648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45648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45648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45648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45648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45648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45648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45648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45648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45648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45648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45648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45648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45648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45648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45648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45648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45648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45648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45648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45648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45648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45648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45648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45648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45648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45648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45648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45648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45648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45648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45648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45648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45648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45648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45648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45648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45648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45648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45648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45648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45648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45648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45648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45648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45648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45648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45648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45648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45648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45648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45648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45648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45648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45648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45648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45648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45648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45648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45648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45648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45648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45648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45648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45648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45648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45648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45648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45648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45648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45648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45648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45648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45648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45648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45648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45648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45648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45648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45648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45648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45648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45648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45648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45648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45648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45648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45648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45648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45648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45648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45648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45648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45648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45648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45648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45648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45648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45648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45648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45648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45648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45648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45648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45648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45648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45648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45648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45648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45648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45648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45648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45648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45648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45648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45648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45648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45648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45648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45648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45648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45648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45648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45648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45648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45648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45648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45648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45648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45648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45648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45648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45648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45648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45648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45648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45648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45648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45648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45648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45648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45648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45648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45648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45648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45648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45648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45648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45648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45648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45648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45648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45648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45648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45648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45648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45648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45648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45648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45648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45648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45648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45648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45648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45648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45648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45648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45648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45648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45648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45648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45648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45648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45648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45648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45648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45648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45648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45648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45648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45648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45648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45648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45648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45648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45648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45648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45648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45648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45648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45648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45648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45648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45648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45648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45648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45648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45648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45648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45648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45648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45648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45648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45648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45648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45648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45648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45648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45648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45648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45648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45648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45648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45648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45648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45648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45648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45648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45648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45648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45648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45648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45648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45648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45648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45648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45648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45648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45648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45648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45648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45648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45648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45648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45648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45648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45648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45648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45648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45648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45648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45648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45648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45648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45648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45648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45648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45648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45648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45648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45648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45648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45648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45648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45648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45648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45648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45648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45648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45648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45648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45648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45648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45648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45648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45648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45648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45648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45648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45648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45648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45648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45648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45648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45648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45648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45648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45648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45648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45648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45648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45648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45648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45648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45648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45648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45648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45648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45648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45648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45648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45648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45648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45648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45648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45648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45648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45648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45648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45648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45648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45648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45648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45648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45648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45648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45648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45648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45648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45648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45648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45648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45648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45648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45648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45648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45648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45648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45648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45648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45648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45648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45648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45648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45648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45648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45648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45648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45648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45648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45648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45648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45648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45648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45648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45648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45648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45648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45648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45648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45648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45648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45648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45648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45648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45648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45648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45648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45648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45648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45648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45648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45648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45648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45648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45648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45648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45648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45648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45648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45648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45648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45648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45648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45648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45648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45648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45648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45648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45648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45648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45648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45648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45648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45648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45648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45648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45648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45648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45648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45648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45648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45648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45648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45648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45648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45648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45648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45648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45648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45648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45648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45648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45648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45648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45648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45648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45648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45648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45648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45648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45648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45648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45648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45648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45648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45648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45648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45648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45648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45648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45648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45648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45648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45648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45648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45648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45648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45648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45648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45648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45648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45648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45648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45648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45648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45648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45648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45648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45648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45648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45648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45648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45648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45648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45648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45648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45648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45648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45648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45648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45648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45648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45648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45648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45648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45648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45648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45648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45648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45648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45648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45648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45648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45648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45648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45648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45648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45648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45648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45648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45648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45648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45648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45648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45648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45648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45648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45648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45648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45648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45648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45648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45648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45648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45648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45648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45648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45648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45648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45648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45648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45648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45648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45648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45648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45648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45648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45648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45648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45648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45648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45648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45648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45648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45648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45648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45648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45648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45648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45648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45648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45648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45648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45648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45648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45648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45648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45648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45648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45648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45648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45648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45648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45648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45648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45648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45648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45648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45648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45648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45648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45648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45648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45648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45648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45648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45648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45648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45648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45648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45648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45648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45648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45648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45648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45648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45648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45648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45648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45648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45648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45648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45648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45648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45648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45648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45648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45648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45648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45648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45648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45648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45648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45648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45648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45648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45648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45648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45648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45648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45648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45648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45648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45648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45648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45648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45648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45648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45648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45648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45648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45648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45648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45648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45648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45648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45648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45648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45648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45648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45648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45648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45648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45648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45648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45648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45648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45648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45648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45648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45648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45648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45648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45648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45648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45648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45648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45648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45648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45648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45648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45648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45648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45648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45648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45648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45648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45648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45648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45648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45648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45648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45648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45648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45648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45648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45648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45648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45648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45648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45648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45648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45648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45648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45648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45648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45648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45648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45648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45648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45648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45648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45648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45648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45648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45648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45648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45648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45648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45648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45648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45648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45648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45648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45648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45648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45648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45648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45648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45648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45648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45648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45648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45648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45648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45648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45648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45648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45648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45648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45648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45648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45648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45648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45648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45648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45648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45648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45648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45648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45648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45648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45648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45648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45648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45648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45648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45648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45648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45648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45648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45648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45648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45648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45648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45648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45648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45648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45648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45648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45648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45648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45648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45648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45648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45648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45648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45648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45648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45648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45648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45648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45648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45648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45648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45648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45648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45648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45648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45648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45648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45648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45648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45648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45648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45648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45648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45648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45648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45648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45648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45648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45648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45648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45648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45648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45648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45648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45648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45648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45648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45648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45648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45648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45648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45648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45648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45648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45648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45648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45648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45648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45648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45648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45648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45648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45648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45648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45648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45648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45648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45648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45648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45648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45648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45648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45648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45648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45648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45648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45648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45648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45648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45648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45648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45648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45648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45648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45648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45648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45648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45648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45648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45648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45648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45648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45648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45648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45648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45648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45648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45648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45648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45648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45648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45648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45648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45648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45648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45648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45648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45648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45648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45648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45648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45648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45648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45648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45648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45648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45648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45648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45648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45648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45648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45648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45648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45648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45648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45648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45648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45648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45648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45648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45648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45648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45648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45648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45648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45648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45648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45648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45648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45648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45648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45648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45648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45648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45648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45648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45648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45648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45648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45648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45648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45648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45648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45648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45648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45648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45648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45648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45648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45648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45648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45648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45648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45648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45648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45648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45648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45648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45648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45648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45648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45648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45648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45648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45648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45648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45648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45648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45648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45648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45648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45648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45648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45648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45648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45648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45648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45648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45648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45648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45648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45648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45648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45648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45648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45648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45648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45648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45648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45648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45648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45648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45648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45648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45648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45648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45648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45648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45648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45648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45648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45648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45648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45648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45648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45648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45648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55234-2024</t>
        </is>
      </c>
      <c r="B1018" s="1" t="n">
        <v>45621</v>
      </c>
      <c r="C1018" s="1" t="n">
        <v>45648</v>
      </c>
      <c r="D1018" t="inlineStr">
        <is>
          <t>UPPSALA LÄN</t>
        </is>
      </c>
      <c r="E1018" t="inlineStr">
        <is>
          <t>TIERP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55277-2024</t>
        </is>
      </c>
      <c r="B1019" s="1" t="n">
        <v>45621</v>
      </c>
      <c r="C1019" s="1" t="n">
        <v>45648</v>
      </c>
      <c r="D1019" t="inlineStr">
        <is>
          <t>UPPSALA LÄN</t>
        </is>
      </c>
      <c r="E1019" t="inlineStr">
        <is>
          <t>TIERP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55627-2024</t>
        </is>
      </c>
      <c r="B1020" s="1" t="n">
        <v>45622</v>
      </c>
      <c r="C1020" s="1" t="n">
        <v>45648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55678-2024</t>
        </is>
      </c>
      <c r="B1021" s="1" t="n">
        <v>45622</v>
      </c>
      <c r="C1021" s="1" t="n">
        <v>45648</v>
      </c>
      <c r="D1021" t="inlineStr">
        <is>
          <t>UPPSALA LÄN</t>
        </is>
      </c>
      <c r="E1021" t="inlineStr">
        <is>
          <t>TIERP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55632-2024</t>
        </is>
      </c>
      <c r="B1022" s="1" t="n">
        <v>45622</v>
      </c>
      <c r="C1022" s="1" t="n">
        <v>45648</v>
      </c>
      <c r="D1022" t="inlineStr">
        <is>
          <t>UPPSALA LÄN</t>
        </is>
      </c>
      <c r="E1022" t="inlineStr">
        <is>
          <t>TIERP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55688-2024</t>
        </is>
      </c>
      <c r="B1023" s="1" t="n">
        <v>45622</v>
      </c>
      <c r="C1023" s="1" t="n">
        <v>45648</v>
      </c>
      <c r="D1023" t="inlineStr">
        <is>
          <t>UPPSALA LÄN</t>
        </is>
      </c>
      <c r="E1023" t="inlineStr">
        <is>
          <t>TIERP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55816-2024</t>
        </is>
      </c>
      <c r="B1024" s="1" t="n">
        <v>45623</v>
      </c>
      <c r="C1024" s="1" t="n">
        <v>45648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55780-2024</t>
        </is>
      </c>
      <c r="B1025" s="1" t="n">
        <v>45623</v>
      </c>
      <c r="C1025" s="1" t="n">
        <v>45648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45648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55954-2024</t>
        </is>
      </c>
      <c r="B1027" s="1" t="n">
        <v>45623</v>
      </c>
      <c r="C1027" s="1" t="n">
        <v>45648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väst AB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55962-2024</t>
        </is>
      </c>
      <c r="B1028" s="1" t="n">
        <v>45623</v>
      </c>
      <c r="C1028" s="1" t="n">
        <v>45648</v>
      </c>
      <c r="D1028" t="inlineStr">
        <is>
          <t>UPPSALA LÄN</t>
        </is>
      </c>
      <c r="E1028" t="inlineStr">
        <is>
          <t>TIERP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55966-2024</t>
        </is>
      </c>
      <c r="B1029" s="1" t="n">
        <v>45623</v>
      </c>
      <c r="C1029" s="1" t="n">
        <v>45648</v>
      </c>
      <c r="D1029" t="inlineStr">
        <is>
          <t>UPPSALA LÄN</t>
        </is>
      </c>
      <c r="E1029" t="inlineStr">
        <is>
          <t>TIERP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55957-2024</t>
        </is>
      </c>
      <c r="B1030" s="1" t="n">
        <v>45623</v>
      </c>
      <c r="C1030" s="1" t="n">
        <v>45648</v>
      </c>
      <c r="D1030" t="inlineStr">
        <is>
          <t>UPPSALA LÄN</t>
        </is>
      </c>
      <c r="E1030" t="inlineStr">
        <is>
          <t>TIERP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45648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45648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45648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45648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45648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45648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45648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57829-2024</t>
        </is>
      </c>
      <c r="B1038" s="1" t="n">
        <v>45631</v>
      </c>
      <c r="C1038" s="1" t="n">
        <v>45648</v>
      </c>
      <c r="D1038" t="inlineStr">
        <is>
          <t>UPPSALA LÄN</t>
        </is>
      </c>
      <c r="E1038" t="inlineStr">
        <is>
          <t>TIERP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57934-2024</t>
        </is>
      </c>
      <c r="B1039" s="1" t="n">
        <v>45631</v>
      </c>
      <c r="C1039" s="1" t="n">
        <v>45648</v>
      </c>
      <c r="D1039" t="inlineStr">
        <is>
          <t>UPPSALA LÄN</t>
        </is>
      </c>
      <c r="E1039" t="inlineStr">
        <is>
          <t>TIERP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57938-2024</t>
        </is>
      </c>
      <c r="B1040" s="1" t="n">
        <v>45631</v>
      </c>
      <c r="C1040" s="1" t="n">
        <v>45648</v>
      </c>
      <c r="D1040" t="inlineStr">
        <is>
          <t>UPPSALA LÄN</t>
        </is>
      </c>
      <c r="E1040" t="inlineStr">
        <is>
          <t>TIERP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57961-2024</t>
        </is>
      </c>
      <c r="B1041" s="1" t="n">
        <v>45631</v>
      </c>
      <c r="C1041" s="1" t="n">
        <v>45648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57931-2024</t>
        </is>
      </c>
      <c r="B1042" s="1" t="n">
        <v>45631</v>
      </c>
      <c r="C1042" s="1" t="n">
        <v>45648</v>
      </c>
      <c r="D1042" t="inlineStr">
        <is>
          <t>UPPSALA LÄN</t>
        </is>
      </c>
      <c r="E1042" t="inlineStr">
        <is>
          <t>TIERP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58232-2024</t>
        </is>
      </c>
      <c r="B1043" s="1" t="n">
        <v>45632</v>
      </c>
      <c r="C1043" s="1" t="n">
        <v>45648</v>
      </c>
      <c r="D1043" t="inlineStr">
        <is>
          <t>UPPSALA LÄN</t>
        </is>
      </c>
      <c r="E1043" t="inlineStr">
        <is>
          <t>TIERP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58252-2024</t>
        </is>
      </c>
      <c r="B1044" s="1" t="n">
        <v>45632</v>
      </c>
      <c r="C1044" s="1" t="n">
        <v>45648</v>
      </c>
      <c r="D1044" t="inlineStr">
        <is>
          <t>UPPSALA LÄN</t>
        </is>
      </c>
      <c r="E1044" t="inlineStr">
        <is>
          <t>TIERP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58264-2024</t>
        </is>
      </c>
      <c r="B1045" s="1" t="n">
        <v>45632</v>
      </c>
      <c r="C1045" s="1" t="n">
        <v>45648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58772-2024</t>
        </is>
      </c>
      <c r="B1046" s="1" t="n">
        <v>45635</v>
      </c>
      <c r="C1046" s="1" t="n">
        <v>45648</v>
      </c>
      <c r="D1046" t="inlineStr">
        <is>
          <t>UPPSALA LÄN</t>
        </is>
      </c>
      <c r="E1046" t="inlineStr">
        <is>
          <t>TIERP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58601-2024</t>
        </is>
      </c>
      <c r="B1047" s="1" t="n">
        <v>45635</v>
      </c>
      <c r="C1047" s="1" t="n">
        <v>45648</v>
      </c>
      <c r="D1047" t="inlineStr">
        <is>
          <t>UPPSALA LÄN</t>
        </is>
      </c>
      <c r="E1047" t="inlineStr">
        <is>
          <t>TIERP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45648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59267-2024</t>
        </is>
      </c>
      <c r="B1049" s="1" t="n">
        <v>45637</v>
      </c>
      <c r="C1049" s="1" t="n">
        <v>45648</v>
      </c>
      <c r="D1049" t="inlineStr">
        <is>
          <t>UPPSALA LÄN</t>
        </is>
      </c>
      <c r="E1049" t="inlineStr">
        <is>
          <t>TIERP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59244-2024</t>
        </is>
      </c>
      <c r="B1050" s="1" t="n">
        <v>45637</v>
      </c>
      <c r="C1050" s="1" t="n">
        <v>45648</v>
      </c>
      <c r="D1050" t="inlineStr">
        <is>
          <t>UPPSALA LÄN</t>
        </is>
      </c>
      <c r="E1050" t="inlineStr">
        <is>
          <t>TIERP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59211-2024</t>
        </is>
      </c>
      <c r="B1051" s="1" t="n">
        <v>45637</v>
      </c>
      <c r="C1051" s="1" t="n">
        <v>45648</v>
      </c>
      <c r="D1051" t="inlineStr">
        <is>
          <t>UPPSALA LÄN</t>
        </is>
      </c>
      <c r="E1051" t="inlineStr">
        <is>
          <t>TIERP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45648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45648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60011-2024</t>
        </is>
      </c>
      <c r="B1054" s="1" t="n">
        <v>45642</v>
      </c>
      <c r="C1054" s="1" t="n">
        <v>45648</v>
      </c>
      <c r="D1054" t="inlineStr">
        <is>
          <t>UPPSALA LÄN</t>
        </is>
      </c>
      <c r="E1054" t="inlineStr">
        <is>
          <t>TIERP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60136-2024</t>
        </is>
      </c>
      <c r="B1055" s="1" t="n">
        <v>45642</v>
      </c>
      <c r="C1055" s="1" t="n">
        <v>45648</v>
      </c>
      <c r="D1055" t="inlineStr">
        <is>
          <t>UPPSALA LÄN</t>
        </is>
      </c>
      <c r="E1055" t="inlineStr">
        <is>
          <t>TIERP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60014-2024</t>
        </is>
      </c>
      <c r="B1056" s="1" t="n">
        <v>45642</v>
      </c>
      <c r="C1056" s="1" t="n">
        <v>45648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60123-2024</t>
        </is>
      </c>
      <c r="B1057" s="1" t="n">
        <v>45642</v>
      </c>
      <c r="C1057" s="1" t="n">
        <v>45648</v>
      </c>
      <c r="D1057" t="inlineStr">
        <is>
          <t>UPPSALA LÄN</t>
        </is>
      </c>
      <c r="E1057" t="inlineStr">
        <is>
          <t>TIERP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60129-2024</t>
        </is>
      </c>
      <c r="B1058" s="1" t="n">
        <v>45642</v>
      </c>
      <c r="C1058" s="1" t="n">
        <v>45648</v>
      </c>
      <c r="D1058" t="inlineStr">
        <is>
          <t>UPPSALA LÄN</t>
        </is>
      </c>
      <c r="E1058" t="inlineStr">
        <is>
          <t>TIERP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60304-2024</t>
        </is>
      </c>
      <c r="B1059" s="1" t="n">
        <v>45643</v>
      </c>
      <c r="C1059" s="1" t="n">
        <v>45648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60314-2024</t>
        </is>
      </c>
      <c r="B1060" s="1" t="n">
        <v>45643</v>
      </c>
      <c r="C1060" s="1" t="n">
        <v>45648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60357-2024</t>
        </is>
      </c>
      <c r="B1061" s="1" t="n">
        <v>45643</v>
      </c>
      <c r="C1061" s="1" t="n">
        <v>45648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45648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60985-2024</t>
        </is>
      </c>
      <c r="B1063" s="1" t="n">
        <v>45645</v>
      </c>
      <c r="C1063" s="1" t="n">
        <v>45648</v>
      </c>
      <c r="D1063" t="inlineStr">
        <is>
          <t>UPPSALA LÄN</t>
        </is>
      </c>
      <c r="E1063" t="inlineStr">
        <is>
          <t>TIERP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61149-2024</t>
        </is>
      </c>
      <c r="B1064" s="1" t="n">
        <v>45645</v>
      </c>
      <c r="C1064" s="1" t="n">
        <v>45648</v>
      </c>
      <c r="D1064" t="inlineStr">
        <is>
          <t>UPPSALA LÄN</t>
        </is>
      </c>
      <c r="E1064" t="inlineStr">
        <is>
          <t>TIERP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61154-2024</t>
        </is>
      </c>
      <c r="B1065" s="1" t="n">
        <v>45645</v>
      </c>
      <c r="C1065" s="1" t="n">
        <v>45648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61230-2024</t>
        </is>
      </c>
      <c r="B1066" s="1" t="n">
        <v>45645</v>
      </c>
      <c r="C1066" s="1" t="n">
        <v>45648</v>
      </c>
      <c r="D1066" t="inlineStr">
        <is>
          <t>UPPSALA LÄN</t>
        </is>
      </c>
      <c r="E1066" t="inlineStr">
        <is>
          <t>TIERP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  <c r="U1066">
        <f>HYPERLINK("https://klasma.github.io/Logging_0360/knärot/A 61230-2024 karta knärot.png", "A 61230-2024")</f>
        <v/>
      </c>
      <c r="V1066">
        <f>HYPERLINK("https://klasma.github.io/Logging_0360/klagomål/A 61230-2024 FSC-klagomål.docx", "A 61230-2024")</f>
        <v/>
      </c>
      <c r="W1066">
        <f>HYPERLINK("https://klasma.github.io/Logging_0360/klagomålsmail/A 61230-2024 FSC-klagomål mail.docx", "A 61230-2024")</f>
        <v/>
      </c>
      <c r="X1066">
        <f>HYPERLINK("https://klasma.github.io/Logging_0360/tillsyn/A 61230-2024 tillsynsbegäran.docx", "A 61230-2024")</f>
        <v/>
      </c>
      <c r="Y1066">
        <f>HYPERLINK("https://klasma.github.io/Logging_0360/tillsynsmail/A 61230-2024 tillsynsbegäran mail.docx", "A 61230-2024")</f>
        <v/>
      </c>
    </row>
    <row r="1067" ht="15" customHeight="1">
      <c r="A1067" t="inlineStr">
        <is>
          <t>A 61152-2024</t>
        </is>
      </c>
      <c r="B1067" s="1" t="n">
        <v>45645</v>
      </c>
      <c r="C1067" s="1" t="n">
        <v>45648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61246-2024</t>
        </is>
      </c>
      <c r="B1068" s="1" t="n">
        <v>45645</v>
      </c>
      <c r="C1068" s="1" t="n">
        <v>45648</v>
      </c>
      <c r="D1068" t="inlineStr">
        <is>
          <t>UPPSALA LÄN</t>
        </is>
      </c>
      <c r="E1068" t="inlineStr">
        <is>
          <t>TIERP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61156-2024</t>
        </is>
      </c>
      <c r="B1069" s="1" t="n">
        <v>45645</v>
      </c>
      <c r="C1069" s="1" t="n">
        <v>45648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10.6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61248-2024</t>
        </is>
      </c>
      <c r="B1070" s="1" t="n">
        <v>45645</v>
      </c>
      <c r="C1070" s="1" t="n">
        <v>45648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61280-2024</t>
        </is>
      </c>
      <c r="B1071" s="1" t="n">
        <v>45645</v>
      </c>
      <c r="C1071" s="1" t="n">
        <v>45648</v>
      </c>
      <c r="D1071" t="inlineStr">
        <is>
          <t>UPPSALA LÄN</t>
        </is>
      </c>
      <c r="E1071" t="inlineStr">
        <is>
          <t>TIERP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61412-2024</t>
        </is>
      </c>
      <c r="B1072" s="1" t="n">
        <v>45646</v>
      </c>
      <c r="C1072" s="1" t="n">
        <v>45648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61395-2024</t>
        </is>
      </c>
      <c r="B1073" s="1" t="n">
        <v>45646</v>
      </c>
      <c r="C1073" s="1" t="n">
        <v>45648</v>
      </c>
      <c r="D1073" t="inlineStr">
        <is>
          <t>UPPSALA LÄN</t>
        </is>
      </c>
      <c r="E1073" t="inlineStr">
        <is>
          <t>TIERP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61518-2024</t>
        </is>
      </c>
      <c r="B1074" s="1" t="n">
        <v>45646</v>
      </c>
      <c r="C1074" s="1" t="n">
        <v>45648</v>
      </c>
      <c r="D1074" t="inlineStr">
        <is>
          <t>UPPSALA LÄN</t>
        </is>
      </c>
      <c r="E1074" t="inlineStr">
        <is>
          <t>TIERP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61526-2024</t>
        </is>
      </c>
      <c r="B1075" s="1" t="n">
        <v>45646</v>
      </c>
      <c r="C1075" s="1" t="n">
        <v>45648</v>
      </c>
      <c r="D1075" t="inlineStr">
        <is>
          <t>UPPSALA LÄN</t>
        </is>
      </c>
      <c r="E1075" t="inlineStr">
        <is>
          <t>TIERP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2024-12-22T15:54:48Z</dcterms:created>
  <dcterms:modified xmlns:dcterms="http://purl.org/dc/terms/" xmlns:xsi="http://www.w3.org/2001/XMLSchema-instance" xsi:type="dcterms:W3CDTF">2024-12-22T15:54:49Z</dcterms:modified>
</cp:coreProperties>
</file>