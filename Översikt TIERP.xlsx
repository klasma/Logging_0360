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45688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45688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45688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45688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45688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45688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162-2025</t>
        </is>
      </c>
      <c r="B8" s="1" t="n">
        <v>45659</v>
      </c>
      <c r="C8" s="1" t="n">
        <v>45688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22.4</v>
      </c>
      <c r="H8" t="n">
        <v>4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Knärot
Rynkskinn
Kortskaftad ärgspik
Rosenticka
Spillkråka
Talltita
Ullticka
Blodticka
Grönpyrola
Kattfotslav
Vedticka
Blåsippa</t>
        </is>
      </c>
      <c r="S8">
        <f>HYPERLINK("https://klasma.github.io/Logging_0360/artfynd/A 162-2025 artfynd.xlsx", "A 162-2025")</f>
        <v/>
      </c>
      <c r="T8">
        <f>HYPERLINK("https://klasma.github.io/Logging_0360/kartor/A 162-2025 karta.png", "A 162-2025")</f>
        <v/>
      </c>
      <c r="U8">
        <f>HYPERLINK("https://klasma.github.io/Logging_0360/knärot/A 162-2025 karta knärot.png", "A 162-2025")</f>
        <v/>
      </c>
      <c r="V8">
        <f>HYPERLINK("https://klasma.github.io/Logging_0360/klagomål/A 162-2025 FSC-klagomål.docx", "A 162-2025")</f>
        <v/>
      </c>
      <c r="W8">
        <f>HYPERLINK("https://klasma.github.io/Logging_0360/klagomålsmail/A 162-2025 FSC-klagomål mail.docx", "A 162-2025")</f>
        <v/>
      </c>
      <c r="X8">
        <f>HYPERLINK("https://klasma.github.io/Logging_0360/tillsyn/A 162-2025 tillsynsbegäran.docx", "A 162-2025")</f>
        <v/>
      </c>
      <c r="Y8">
        <f>HYPERLINK("https://klasma.github.io/Logging_0360/tillsynsmail/A 162-2025 tillsynsbegäran mail.docx", "A 162-2025")</f>
        <v/>
      </c>
      <c r="Z8">
        <f>HYPERLINK("https://klasma.github.io/Logging_0360/fåglar/A 162-2025 prioriterade fågelarter.docx", "A 162-2025")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45688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45688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45688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45688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45688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45688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45688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45688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45688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45688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45688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45688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45688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45688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45688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45688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45688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45688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45688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45688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45688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45688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45688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45688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45688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45688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45688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45688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45688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45688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45688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45688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45688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45688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45688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45688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45688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45688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45688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45688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45688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45688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45688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45688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45688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45688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45688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45688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45688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45688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45688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45688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45688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45688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45688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45688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45688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45688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45688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45688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45688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45688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45688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45688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45688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45688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45688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45688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45688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45688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45688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45688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45688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45688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45688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45688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45688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45688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45688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45688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45688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45688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45688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45688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45688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45688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45688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45688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45688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45688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45688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45688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45688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45688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45688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45688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45688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45688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45688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45688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45688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45688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45688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45688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45688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45688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45688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45688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45688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45688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45688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45688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45688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45688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45688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45688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45688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45688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45688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45688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45688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45688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45688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45688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45688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45688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45688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45688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45688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45688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45688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45688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45688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45688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45688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45688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45688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45688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45688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45688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45688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45688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45688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45688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45688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45688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45688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45688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45688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45688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45688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45688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45688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45688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45688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45688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45688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45688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45688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45688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45688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45688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45688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45688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45688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45688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45688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45688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45688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45688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45688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45688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45688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45688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45688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45688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45688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45688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45688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45688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45688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45688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45688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45688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45688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45688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45688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45688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45688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45688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45688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45688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45688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45688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45688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45688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45688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45688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45688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45688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45688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45688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45688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45688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45688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45688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45688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45688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45688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45688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45688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45688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45688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45688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45688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45688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45688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45688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45688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45688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45688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45688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45688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45688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45688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45688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45688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45688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45688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45688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45688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45688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45688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45688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45688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45688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45688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45688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45688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45688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45688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45688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45688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45688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45688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45688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45688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45688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45688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45688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45688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45688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45688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45688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45688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45688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45688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45688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45688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45688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45688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45688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45688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45688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45688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45688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45688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45688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45688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45688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45688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45688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45688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45688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45688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45688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45688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45688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45688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45688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45688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45688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45688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45688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45688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45688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45688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45688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45688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45688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45688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45688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45688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45688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45688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45688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45688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45688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45688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45688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45688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45688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45688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45688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45688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45688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45688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45688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45688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45688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45688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45688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45688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45688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45688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45688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45688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45688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45688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45688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45688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45688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45688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45688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45688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45688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45688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45688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45688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45688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45688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45688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45688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45688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45688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45688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45688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45688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45688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45688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45688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45688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45688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45688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45688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45688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45688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45688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45688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45688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45688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45688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45688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45688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45688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45688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45688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45688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45688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45688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45688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45688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45688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45688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45688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45688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45688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45688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45688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45688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45688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45688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45688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45688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45688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45688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45688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45688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45688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45688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45688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45688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45688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45688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45688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45688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45688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45688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45688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45688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45688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45688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45688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45688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45688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45688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45688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45688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45688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45688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45688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45688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45688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45688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45688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45688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45688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45688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45688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45688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45688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45688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45688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45688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45688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45688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45688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45688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45688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45688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45688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45688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45688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45688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45688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45688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45688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45688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45688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45688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45688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45688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45688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45688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45688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45688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45688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45688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45688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45688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45688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45688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45688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45688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45688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45688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45688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45688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45688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45688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45688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45688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45688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45688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45688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45688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45688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45688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45688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45688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45688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45688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45688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45688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45688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45688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45688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45688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45688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45688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45688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45688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45688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45688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45688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45688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45688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45688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45688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45688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45688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45688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45688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45688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45688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45688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45688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45688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45688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45688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45688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45688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45688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45688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45688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45688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45688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45688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45688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45688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45688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45688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45688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45688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45688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45688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45688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45688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45688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45688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45688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45688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45688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45688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45688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45688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45688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45688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45688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45688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45688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45688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45688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45688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45688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45688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45688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45688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45688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45688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45688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45688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45688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45688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45688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45688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45688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45688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45688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45688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45688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45688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45688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45688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45688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45688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45688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45688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45688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45688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45688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45688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45688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45688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45688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45688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45688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45688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45688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45688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45688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45688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45688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45688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45688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45688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45688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45688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45688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45688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45688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45688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45688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45688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45688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45688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45688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45688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45688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45688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45688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45688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45688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45688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45688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45688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45688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45688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45688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45688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45688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45688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45688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45688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45688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45688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45688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45688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45688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45688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45688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45688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45688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45688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45688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45688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45688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45688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45688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45688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45688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45688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45688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45688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45688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45688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45688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45688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45688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45688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45688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45688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45688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45688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45688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45688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45688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45688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45688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45688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45688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45688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45688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45688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45688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45688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45688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45688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45688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45688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45688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45688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45688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45688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45688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45688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45688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45688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45688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45688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45688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45688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45688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45688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45688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45688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45688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45688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45688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45688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45688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45688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45688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45688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45688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45688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45688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45688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45688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45688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45688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45688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45688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45688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45688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45688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45688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45688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45688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45688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45688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45688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45688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45688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45688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45688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45688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45688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45688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45688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45688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45688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45688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45688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45688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45688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45688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45688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45688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45688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45688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45688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45688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45688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45688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45688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45688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45688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45688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45688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45688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45688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45688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45688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45688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45688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45688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45688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45688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45688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45688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45688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45688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45688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45688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45688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45688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45688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45688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45688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45688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45688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45688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45688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45688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45688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45688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45688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45688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45688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45688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45688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45688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45688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45688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45688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45688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45688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45688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45688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45688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45688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45688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45688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45688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45688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45688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45688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45688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45688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45688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45688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45688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45688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45688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45688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45688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45688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45688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45688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45688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45688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45688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45688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45688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45688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45688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45688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45688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45688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45688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45688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45688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45688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45688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45688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45688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45688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45688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45688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45688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45688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45688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45688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45688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45688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45688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45688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45688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45688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45688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45688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45688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45688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45688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45688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45688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45688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45688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45688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45688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45688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45688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45688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45688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45688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45688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45688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45688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45688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45688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45688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45688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45688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45688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45688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45688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45688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45688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45688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45688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45688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45688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45688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45688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45688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45688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45688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45688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45688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45688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45688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45688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45688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45688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45688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45688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45688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45688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45688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45688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45688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45688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45688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45688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45688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45688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45688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45688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45688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45688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45688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45688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45688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45688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45688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45688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45688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45688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45688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45688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45688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45688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45688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45688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45688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45688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45688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45688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45688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45688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45688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45688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45688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45688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45688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45688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45688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45688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45688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45688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45688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45688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45688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45688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45688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45688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45688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45688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45688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45688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45688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45688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45688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45688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45688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45688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45688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45688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45688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45688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45688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45688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45688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45688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45688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45688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45688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45688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45688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45688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45688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45688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45688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45688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45688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45688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45688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45688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45688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45688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45688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45688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45688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45688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45688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45688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45688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45688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45688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45688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45688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45688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45688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45688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45688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45688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45688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45688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45688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45688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45688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45688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45688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45688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45688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45688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45688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45688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45688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45688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45688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45688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45688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45688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45688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45688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45688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45688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45688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45688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45688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45688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45688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45688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45688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45688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45688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45688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45688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45688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45688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45688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45688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45688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45688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45688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45688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45688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45688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45688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45688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45688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45688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45688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45688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45688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45688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45688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45688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45688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45688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45688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45688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45688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45688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45688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45688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45688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45688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45688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45688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45688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45688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45688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45688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45688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45688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45688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45688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45688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45688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45688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45688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45688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45688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45688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45688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45688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45688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45688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45688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45688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45688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45688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45688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45688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45688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45688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45688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45688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45688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45688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45688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45688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45688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45688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45688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45688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45688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45688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45688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45688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45688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45688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45688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45688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45688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45688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45688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45688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45688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45688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45688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45688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45688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45688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45688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45688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45688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45688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45688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45688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45688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45688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45688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45688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45688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45688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45688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45688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45688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45688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45688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45688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45688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1202-2025</t>
        </is>
      </c>
      <c r="B1095" s="1" t="n">
        <v>45667</v>
      </c>
      <c r="C1095" s="1" t="n">
        <v>45688</v>
      </c>
      <c r="D1095" t="inlineStr">
        <is>
          <t>UPPSALA LÄN</t>
        </is>
      </c>
      <c r="E1095" t="inlineStr">
        <is>
          <t>TIERP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1229-2025</t>
        </is>
      </c>
      <c r="B1096" s="1" t="n">
        <v>45667</v>
      </c>
      <c r="C1096" s="1" t="n">
        <v>45688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1245-2025</t>
        </is>
      </c>
      <c r="B1097" s="1" t="n">
        <v>45667</v>
      </c>
      <c r="C1097" s="1" t="n">
        <v>45688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45688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45688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2407-2025</t>
        </is>
      </c>
      <c r="B1100" s="1" t="n">
        <v>45674</v>
      </c>
      <c r="C1100" s="1" t="n">
        <v>45688</v>
      </c>
      <c r="D1100" t="inlineStr">
        <is>
          <t>UPPSALA LÄN</t>
        </is>
      </c>
      <c r="E1100" t="inlineStr">
        <is>
          <t>TIERP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2411-2025</t>
        </is>
      </c>
      <c r="B1101" s="1" t="n">
        <v>45674</v>
      </c>
      <c r="C1101" s="1" t="n">
        <v>45688</v>
      </c>
      <c r="D1101" t="inlineStr">
        <is>
          <t>UPPSALA LÄN</t>
        </is>
      </c>
      <c r="E1101" t="inlineStr">
        <is>
          <t>TIERP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2549-2025</t>
        </is>
      </c>
      <c r="B1102" s="1" t="n">
        <v>45674</v>
      </c>
      <c r="C1102" s="1" t="n">
        <v>45688</v>
      </c>
      <c r="D1102" t="inlineStr">
        <is>
          <t>UPPSALA LÄN</t>
        </is>
      </c>
      <c r="E1102" t="inlineStr">
        <is>
          <t>TIERP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45688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45688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45688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4447-2025</t>
        </is>
      </c>
      <c r="B1106" s="1" t="n">
        <v>45686</v>
      </c>
      <c r="C1106" s="1" t="n">
        <v>45688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4473-2025</t>
        </is>
      </c>
      <c r="B1107" s="1" t="n">
        <v>45686</v>
      </c>
      <c r="C1107" s="1" t="n">
        <v>45688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4524-2025</t>
        </is>
      </c>
      <c r="B1108" s="1" t="n">
        <v>45686</v>
      </c>
      <c r="C1108" s="1" t="n">
        <v>45688</v>
      </c>
      <c r="D1108" t="inlineStr">
        <is>
          <t>UPPSALA LÄN</t>
        </is>
      </c>
      <c r="E1108" t="inlineStr">
        <is>
          <t>TIERP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4483-2025</t>
        </is>
      </c>
      <c r="B1109" s="1" t="n">
        <v>45686</v>
      </c>
      <c r="C1109" s="1" t="n">
        <v>45688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2025-01-31T22:04:51Z</dcterms:created>
  <dcterms:modified xmlns:dcterms="http://purl.org/dc/terms/" xmlns:xsi="http://www.w3.org/2001/XMLSchema-instance" xsi:type="dcterms:W3CDTF">2025-01-31T22:04:52Z</dcterms:modified>
</cp:coreProperties>
</file>