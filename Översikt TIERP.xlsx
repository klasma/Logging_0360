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46075</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46075</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46075</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46075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46075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46075</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46075</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46075</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46075</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46075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46075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46075</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46075</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46075</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46075</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46075</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46075</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46075</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46075</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46075</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46075</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46075</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46075</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46075</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46075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46075</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46075</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46075</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46075</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46075</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46075</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46075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46075</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46075</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46075</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46075</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46075</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46075</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45851-2022</t>
        </is>
      </c>
      <c r="B45" s="1" t="n">
        <v>44846</v>
      </c>
      <c r="C45" s="1" t="n">
        <v>46075</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54237-2025</t>
        </is>
      </c>
      <c r="B46" s="1" t="n">
        <v>45964.62684027778</v>
      </c>
      <c r="C46" s="1" t="n">
        <v>46075</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46075</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140-2024</t>
        </is>
      </c>
      <c r="B48" s="1" t="n">
        <v>45294.44883101852</v>
      </c>
      <c r="C48" s="1" t="n">
        <v>46075</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57856-2025</t>
        </is>
      </c>
      <c r="B49" s="1" t="n">
        <v>45981.63950231481</v>
      </c>
      <c r="C49" s="1" t="n">
        <v>46075</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34979-2023</t>
        </is>
      </c>
      <c r="B50" s="1" t="n">
        <v>45142</v>
      </c>
      <c r="C50" s="1" t="n">
        <v>46075</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53324-2021</t>
        </is>
      </c>
      <c r="B51" s="1" t="n">
        <v>44468</v>
      </c>
      <c r="C51" s="1" t="n">
        <v>46075</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39018-2024</t>
        </is>
      </c>
      <c r="B52" s="1" t="n">
        <v>45548.4465162037</v>
      </c>
      <c r="C52" s="1" t="n">
        <v>46075</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46075</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46075</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46075</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46075</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46075</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46075</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46075</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46075</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3853-2025</t>
        </is>
      </c>
      <c r="B61" s="1" t="n">
        <v>45683</v>
      </c>
      <c r="C61" s="1" t="n">
        <v>46075</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57398-2024</t>
        </is>
      </c>
      <c r="B62" s="1" t="n">
        <v>45629</v>
      </c>
      <c r="C62" s="1" t="n">
        <v>46075</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46075</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46075</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46075</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46075</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46075</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46075</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46075</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46075</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46075</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46075</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16733-2025</t>
        </is>
      </c>
      <c r="B73" s="1" t="n">
        <v>45754</v>
      </c>
      <c r="C73" s="1" t="n">
        <v>46075</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54141-2025</t>
        </is>
      </c>
      <c r="B74" s="1" t="n">
        <v>45964</v>
      </c>
      <c r="C74" s="1" t="n">
        <v>46075</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46075</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46075</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47584-2025</t>
        </is>
      </c>
      <c r="B77" s="1" t="n">
        <v>45931.43355324074</v>
      </c>
      <c r="C77" s="1" t="n">
        <v>46075</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46075</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46075</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46075</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46075</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46075</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46075</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9493-2026</t>
        </is>
      </c>
      <c r="B84" s="1" t="n">
        <v>46071.55975694444</v>
      </c>
      <c r="C84" s="1" t="n">
        <v>46075</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14515-2025</t>
        </is>
      </c>
      <c r="B85" s="1" t="n">
        <v>45741.63833333334</v>
      </c>
      <c r="C85" s="1" t="n">
        <v>46075</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46075</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46075</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46075</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46075</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46075</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46075</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55331-2024</t>
        </is>
      </c>
      <c r="B92" s="1" t="n">
        <v>45621.68104166666</v>
      </c>
      <c r="C92" s="1" t="n">
        <v>46075</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46075</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46075</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46075</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46075</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46075</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46075</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46075</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46075</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46075</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46075</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46075</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46075</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46075</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46075</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46075</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46075</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46075</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46075</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46075</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46075</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46075</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46075</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46075</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46075</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46075</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46075</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46075</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46075</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46075</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46075</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46075</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46075</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46075</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46075</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46075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46075</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46075</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46075</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46075</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46075</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46075</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46075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46075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46075</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46075</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46075</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46075</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46075</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46075</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46075</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46075</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46075</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46075</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46075</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46075</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46075</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46075</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46075</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46075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46075</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46075</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46075</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46075</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46075</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46075</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46075</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46075</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46075</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46075</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46075</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46075</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46075</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46075</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46075</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46075</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46075</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20552-2025</t>
        </is>
      </c>
      <c r="B173" s="1" t="n">
        <v>45775.63877314814</v>
      </c>
      <c r="C173" s="1" t="n">
        <v>46075</v>
      </c>
      <c r="D173" t="inlineStr">
        <is>
          <t>UPPSALA LÄN</t>
        </is>
      </c>
      <c r="E173" t="inlineStr">
        <is>
          <t>TIERP</t>
        </is>
      </c>
      <c r="F173" t="inlineStr">
        <is>
          <t>Bergvik skog öst AB</t>
        </is>
      </c>
      <c r="G173" t="n">
        <v>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46075</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46075</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46075</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48486-2022</t>
        </is>
      </c>
      <c r="B177" s="1" t="n">
        <v>44858.783125</v>
      </c>
      <c r="C177" s="1" t="n">
        <v>46075</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54449-2024</t>
        </is>
      </c>
      <c r="B178" s="1" t="n">
        <v>45617</v>
      </c>
      <c r="C178" s="1" t="n">
        <v>46075</v>
      </c>
      <c r="D178" t="inlineStr">
        <is>
          <t>UPPSALA LÄN</t>
        </is>
      </c>
      <c r="E178" t="inlineStr">
        <is>
          <t>TIERP</t>
        </is>
      </c>
      <c r="G178" t="n">
        <v>8.5</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46075</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46075</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46075</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46075</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46075</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46075</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46075</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46075</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46075</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46075</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46075</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46075</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46075</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46075</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46075</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46075</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46075</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46075</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46075</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52380-2023</t>
        </is>
      </c>
      <c r="B198" s="1" t="n">
        <v>45224.79760416667</v>
      </c>
      <c r="C198" s="1" t="n">
        <v>46075</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46075</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46075</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46075</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46075</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46075</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46075</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46075</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11570-2025</t>
        </is>
      </c>
      <c r="B206" s="1" t="n">
        <v>45727.37976851852</v>
      </c>
      <c r="C206" s="1" t="n">
        <v>46075</v>
      </c>
      <c r="D206" t="inlineStr">
        <is>
          <t>UPPSALA LÄN</t>
        </is>
      </c>
      <c r="E206" t="inlineStr">
        <is>
          <t>TIERP</t>
        </is>
      </c>
      <c r="F206" t="inlineStr">
        <is>
          <t>Bergvik skog öst AB</t>
        </is>
      </c>
      <c r="G206" t="n">
        <v>3.7</v>
      </c>
      <c r="H206" t="n">
        <v>0</v>
      </c>
      <c r="I206" t="n">
        <v>0</v>
      </c>
      <c r="J206" t="n">
        <v>0</v>
      </c>
      <c r="K206" t="n">
        <v>0</v>
      </c>
      <c r="L206" t="n">
        <v>0</v>
      </c>
      <c r="M206" t="n">
        <v>0</v>
      </c>
      <c r="N206" t="n">
        <v>0</v>
      </c>
      <c r="O206" t="n">
        <v>0</v>
      </c>
      <c r="P206" t="n">
        <v>0</v>
      </c>
      <c r="Q206" t="n">
        <v>0</v>
      </c>
      <c r="R206" s="2" t="inlineStr"/>
    </row>
    <row r="207" ht="15" customHeight="1">
      <c r="A207" t="inlineStr">
        <is>
          <t>A 38109-2023</t>
        </is>
      </c>
      <c r="B207" s="1" t="n">
        <v>45161.32083333333</v>
      </c>
      <c r="C207" s="1" t="n">
        <v>46075</v>
      </c>
      <c r="D207" t="inlineStr">
        <is>
          <t>UPPSALA LÄN</t>
        </is>
      </c>
      <c r="E207" t="inlineStr">
        <is>
          <t>TIERP</t>
        </is>
      </c>
      <c r="F207" t="inlineStr">
        <is>
          <t>Bergvik skog öst AB</t>
        </is>
      </c>
      <c r="G207" t="n">
        <v>2.1</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46075</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46075</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437-2023</t>
        </is>
      </c>
      <c r="B210" s="1" t="n">
        <v>44924</v>
      </c>
      <c r="C210" s="1" t="n">
        <v>46075</v>
      </c>
      <c r="D210" t="inlineStr">
        <is>
          <t>UPPSALA LÄN</t>
        </is>
      </c>
      <c r="E210" t="inlineStr">
        <is>
          <t>TIERP</t>
        </is>
      </c>
      <c r="G210" t="n">
        <v>3.3</v>
      </c>
      <c r="H210" t="n">
        <v>0</v>
      </c>
      <c r="I210" t="n">
        <v>0</v>
      </c>
      <c r="J210" t="n">
        <v>0</v>
      </c>
      <c r="K210" t="n">
        <v>0</v>
      </c>
      <c r="L210" t="n">
        <v>0</v>
      </c>
      <c r="M210" t="n">
        <v>0</v>
      </c>
      <c r="N210" t="n">
        <v>0</v>
      </c>
      <c r="O210" t="n">
        <v>0</v>
      </c>
      <c r="P210" t="n">
        <v>0</v>
      </c>
      <c r="Q210" t="n">
        <v>0</v>
      </c>
      <c r="R210" s="2" t="inlineStr"/>
    </row>
    <row r="211" ht="15" customHeight="1">
      <c r="A211" t="inlineStr">
        <is>
          <t>A 61617-2022</t>
        </is>
      </c>
      <c r="B211" s="1" t="n">
        <v>44916.6696875</v>
      </c>
      <c r="C211" s="1" t="n">
        <v>46075</v>
      </c>
      <c r="D211" t="inlineStr">
        <is>
          <t>UPPSALA LÄN</t>
        </is>
      </c>
      <c r="E211" t="inlineStr">
        <is>
          <t>TIERP</t>
        </is>
      </c>
      <c r="G211" t="n">
        <v>0.3</v>
      </c>
      <c r="H211" t="n">
        <v>0</v>
      </c>
      <c r="I211" t="n">
        <v>0</v>
      </c>
      <c r="J211" t="n">
        <v>0</v>
      </c>
      <c r="K211" t="n">
        <v>0</v>
      </c>
      <c r="L211" t="n">
        <v>0</v>
      </c>
      <c r="M211" t="n">
        <v>0</v>
      </c>
      <c r="N211" t="n">
        <v>0</v>
      </c>
      <c r="O211" t="n">
        <v>0</v>
      </c>
      <c r="P211" t="n">
        <v>0</v>
      </c>
      <c r="Q211" t="n">
        <v>0</v>
      </c>
      <c r="R211" s="2" t="inlineStr"/>
    </row>
    <row r="212" ht="15" customHeight="1">
      <c r="A212" t="inlineStr">
        <is>
          <t>A 26656-2022</t>
        </is>
      </c>
      <c r="B212" s="1" t="n">
        <v>44739</v>
      </c>
      <c r="C212" s="1" t="n">
        <v>46075</v>
      </c>
      <c r="D212" t="inlineStr">
        <is>
          <t>UPPSALA LÄN</t>
        </is>
      </c>
      <c r="E212" t="inlineStr">
        <is>
          <t>TIERP</t>
        </is>
      </c>
      <c r="G212" t="n">
        <v>2.8</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46075</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37476-2024</t>
        </is>
      </c>
      <c r="B214" s="1" t="n">
        <v>45541.29972222223</v>
      </c>
      <c r="C214" s="1" t="n">
        <v>46075</v>
      </c>
      <c r="D214" t="inlineStr">
        <is>
          <t>UPPSALA LÄN</t>
        </is>
      </c>
      <c r="E214" t="inlineStr">
        <is>
          <t>TIERP</t>
        </is>
      </c>
      <c r="G214" t="n">
        <v>0.4</v>
      </c>
      <c r="H214" t="n">
        <v>0</v>
      </c>
      <c r="I214" t="n">
        <v>0</v>
      </c>
      <c r="J214" t="n">
        <v>0</v>
      </c>
      <c r="K214" t="n">
        <v>0</v>
      </c>
      <c r="L214" t="n">
        <v>0</v>
      </c>
      <c r="M214" t="n">
        <v>0</v>
      </c>
      <c r="N214" t="n">
        <v>0</v>
      </c>
      <c r="O214" t="n">
        <v>0</v>
      </c>
      <c r="P214" t="n">
        <v>0</v>
      </c>
      <c r="Q214" t="n">
        <v>0</v>
      </c>
      <c r="R214" s="2" t="inlineStr"/>
    </row>
    <row r="215" ht="15" customHeight="1">
      <c r="A215" t="inlineStr">
        <is>
          <t>A 38298-2023</t>
        </is>
      </c>
      <c r="B215" s="1" t="n">
        <v>45161.64891203704</v>
      </c>
      <c r="C215" s="1" t="n">
        <v>46075</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46075</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46075</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51716-2023</t>
        </is>
      </c>
      <c r="B218" s="1" t="n">
        <v>45222</v>
      </c>
      <c r="C218" s="1" t="n">
        <v>46075</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15055-2024</t>
        </is>
      </c>
      <c r="B219" s="1" t="n">
        <v>45399</v>
      </c>
      <c r="C219" s="1" t="n">
        <v>46075</v>
      </c>
      <c r="D219" t="inlineStr">
        <is>
          <t>UPPSALA LÄN</t>
        </is>
      </c>
      <c r="E219" t="inlineStr">
        <is>
          <t>TIERP</t>
        </is>
      </c>
      <c r="G219" t="n">
        <v>2.9</v>
      </c>
      <c r="H219" t="n">
        <v>0</v>
      </c>
      <c r="I219" t="n">
        <v>0</v>
      </c>
      <c r="J219" t="n">
        <v>0</v>
      </c>
      <c r="K219" t="n">
        <v>0</v>
      </c>
      <c r="L219" t="n">
        <v>0</v>
      </c>
      <c r="M219" t="n">
        <v>0</v>
      </c>
      <c r="N219" t="n">
        <v>0</v>
      </c>
      <c r="O219" t="n">
        <v>0</v>
      </c>
      <c r="P219" t="n">
        <v>0</v>
      </c>
      <c r="Q219" t="n">
        <v>0</v>
      </c>
      <c r="R219" s="2" t="inlineStr"/>
    </row>
    <row r="220" ht="15" customHeight="1">
      <c r="A220" t="inlineStr">
        <is>
          <t>A 18060-2025</t>
        </is>
      </c>
      <c r="B220" s="1" t="n">
        <v>45761</v>
      </c>
      <c r="C220" s="1" t="n">
        <v>46075</v>
      </c>
      <c r="D220" t="inlineStr">
        <is>
          <t>UPPSALA LÄN</t>
        </is>
      </c>
      <c r="E220" t="inlineStr">
        <is>
          <t>TIERP</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19339-2025</t>
        </is>
      </c>
      <c r="B221" s="1" t="n">
        <v>45769.59454861111</v>
      </c>
      <c r="C221" s="1" t="n">
        <v>46075</v>
      </c>
      <c r="D221" t="inlineStr">
        <is>
          <t>UPPSALA LÄN</t>
        </is>
      </c>
      <c r="E221" t="inlineStr">
        <is>
          <t>TIERP</t>
        </is>
      </c>
      <c r="F221" t="inlineStr">
        <is>
          <t>Bergvik skog öst AB</t>
        </is>
      </c>
      <c r="G221" t="n">
        <v>2.8</v>
      </c>
      <c r="H221" t="n">
        <v>0</v>
      </c>
      <c r="I221" t="n">
        <v>0</v>
      </c>
      <c r="J221" t="n">
        <v>0</v>
      </c>
      <c r="K221" t="n">
        <v>0</v>
      </c>
      <c r="L221" t="n">
        <v>0</v>
      </c>
      <c r="M221" t="n">
        <v>0</v>
      </c>
      <c r="N221" t="n">
        <v>0</v>
      </c>
      <c r="O221" t="n">
        <v>0</v>
      </c>
      <c r="P221" t="n">
        <v>0</v>
      </c>
      <c r="Q221" t="n">
        <v>0</v>
      </c>
      <c r="R221" s="2" t="inlineStr"/>
    </row>
    <row r="222" ht="15" customHeight="1">
      <c r="A222" t="inlineStr">
        <is>
          <t>A 44505-2023</t>
        </is>
      </c>
      <c r="B222" s="1" t="n">
        <v>45184</v>
      </c>
      <c r="C222" s="1" t="n">
        <v>46075</v>
      </c>
      <c r="D222" t="inlineStr">
        <is>
          <t>UPPSALA LÄN</t>
        </is>
      </c>
      <c r="E222" t="inlineStr">
        <is>
          <t>TIERP</t>
        </is>
      </c>
      <c r="G222" t="n">
        <v>1.9</v>
      </c>
      <c r="H222" t="n">
        <v>0</v>
      </c>
      <c r="I222" t="n">
        <v>0</v>
      </c>
      <c r="J222" t="n">
        <v>0</v>
      </c>
      <c r="K222" t="n">
        <v>0</v>
      </c>
      <c r="L222" t="n">
        <v>0</v>
      </c>
      <c r="M222" t="n">
        <v>0</v>
      </c>
      <c r="N222" t="n">
        <v>0</v>
      </c>
      <c r="O222" t="n">
        <v>0</v>
      </c>
      <c r="P222" t="n">
        <v>0</v>
      </c>
      <c r="Q222" t="n">
        <v>0</v>
      </c>
      <c r="R222" s="2" t="inlineStr"/>
    </row>
    <row r="223" ht="15" customHeight="1">
      <c r="A223" t="inlineStr">
        <is>
          <t>A 23759-2024</t>
        </is>
      </c>
      <c r="B223" s="1" t="n">
        <v>45455</v>
      </c>
      <c r="C223" s="1" t="n">
        <v>46075</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7359-2023</t>
        </is>
      </c>
      <c r="B224" s="1" t="n">
        <v>44966</v>
      </c>
      <c r="C224" s="1" t="n">
        <v>46075</v>
      </c>
      <c r="D224" t="inlineStr">
        <is>
          <t>UPPSALA LÄN</t>
        </is>
      </c>
      <c r="E224" t="inlineStr">
        <is>
          <t>TIERP</t>
        </is>
      </c>
      <c r="G224" t="n">
        <v>3.4</v>
      </c>
      <c r="H224" t="n">
        <v>0</v>
      </c>
      <c r="I224" t="n">
        <v>0</v>
      </c>
      <c r="J224" t="n">
        <v>0</v>
      </c>
      <c r="K224" t="n">
        <v>0</v>
      </c>
      <c r="L224" t="n">
        <v>0</v>
      </c>
      <c r="M224" t="n">
        <v>0</v>
      </c>
      <c r="N224" t="n">
        <v>0</v>
      </c>
      <c r="O224" t="n">
        <v>0</v>
      </c>
      <c r="P224" t="n">
        <v>0</v>
      </c>
      <c r="Q224" t="n">
        <v>0</v>
      </c>
      <c r="R224" s="2" t="inlineStr"/>
    </row>
    <row r="225" ht="15" customHeight="1">
      <c r="A225" t="inlineStr">
        <is>
          <t>A 22393-2024</t>
        </is>
      </c>
      <c r="B225" s="1" t="n">
        <v>45446</v>
      </c>
      <c r="C225" s="1" t="n">
        <v>46075</v>
      </c>
      <c r="D225" t="inlineStr">
        <is>
          <t>UPPSALA LÄN</t>
        </is>
      </c>
      <c r="E225" t="inlineStr">
        <is>
          <t>TIERP</t>
        </is>
      </c>
      <c r="F225" t="inlineStr">
        <is>
          <t>Bergvik skog väst AB</t>
        </is>
      </c>
      <c r="G225" t="n">
        <v>3</v>
      </c>
      <c r="H225" t="n">
        <v>0</v>
      </c>
      <c r="I225" t="n">
        <v>0</v>
      </c>
      <c r="J225" t="n">
        <v>0</v>
      </c>
      <c r="K225" t="n">
        <v>0</v>
      </c>
      <c r="L225" t="n">
        <v>0</v>
      </c>
      <c r="M225" t="n">
        <v>0</v>
      </c>
      <c r="N225" t="n">
        <v>0</v>
      </c>
      <c r="O225" t="n">
        <v>0</v>
      </c>
      <c r="P225" t="n">
        <v>0</v>
      </c>
      <c r="Q225" t="n">
        <v>0</v>
      </c>
      <c r="R225" s="2" t="inlineStr"/>
    </row>
    <row r="226" ht="15" customHeight="1">
      <c r="A226" t="inlineStr">
        <is>
          <t>A 3561-2023</t>
        </is>
      </c>
      <c r="B226" s="1" t="n">
        <v>44950.47427083334</v>
      </c>
      <c r="C226" s="1" t="n">
        <v>46075</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28223-2025</t>
        </is>
      </c>
      <c r="B227" s="1" t="n">
        <v>45818.47733796296</v>
      </c>
      <c r="C227" s="1" t="n">
        <v>46075</v>
      </c>
      <c r="D227" t="inlineStr">
        <is>
          <t>UPPSALA LÄN</t>
        </is>
      </c>
      <c r="E227" t="inlineStr">
        <is>
          <t>TIERP</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28285-2025</t>
        </is>
      </c>
      <c r="B228" s="1" t="n">
        <v>45818.58984953703</v>
      </c>
      <c r="C228" s="1" t="n">
        <v>46075</v>
      </c>
      <c r="D228" t="inlineStr">
        <is>
          <t>UPPSALA LÄN</t>
        </is>
      </c>
      <c r="E228" t="inlineStr">
        <is>
          <t>TIERP</t>
        </is>
      </c>
      <c r="F228" t="inlineStr">
        <is>
          <t>Bergvik skog öst AB</t>
        </is>
      </c>
      <c r="G228" t="n">
        <v>2</v>
      </c>
      <c r="H228" t="n">
        <v>0</v>
      </c>
      <c r="I228" t="n">
        <v>0</v>
      </c>
      <c r="J228" t="n">
        <v>0</v>
      </c>
      <c r="K228" t="n">
        <v>0</v>
      </c>
      <c r="L228" t="n">
        <v>0</v>
      </c>
      <c r="M228" t="n">
        <v>0</v>
      </c>
      <c r="N228" t="n">
        <v>0</v>
      </c>
      <c r="O228" t="n">
        <v>0</v>
      </c>
      <c r="P228" t="n">
        <v>0</v>
      </c>
      <c r="Q228" t="n">
        <v>0</v>
      </c>
      <c r="R228" s="2" t="inlineStr"/>
    </row>
    <row r="229" ht="15" customHeight="1">
      <c r="A229" t="inlineStr">
        <is>
          <t>A 61827-2024</t>
        </is>
      </c>
      <c r="B229" s="1" t="n">
        <v>45649.6225</v>
      </c>
      <c r="C229" s="1" t="n">
        <v>46075</v>
      </c>
      <c r="D229" t="inlineStr">
        <is>
          <t>UPPSALA LÄN</t>
        </is>
      </c>
      <c r="E229" t="inlineStr">
        <is>
          <t>TIERP</t>
        </is>
      </c>
      <c r="G229" t="n">
        <v>2.5</v>
      </c>
      <c r="H229" t="n">
        <v>0</v>
      </c>
      <c r="I229" t="n">
        <v>0</v>
      </c>
      <c r="J229" t="n">
        <v>0</v>
      </c>
      <c r="K229" t="n">
        <v>0</v>
      </c>
      <c r="L229" t="n">
        <v>0</v>
      </c>
      <c r="M229" t="n">
        <v>0</v>
      </c>
      <c r="N229" t="n">
        <v>0</v>
      </c>
      <c r="O229" t="n">
        <v>0</v>
      </c>
      <c r="P229" t="n">
        <v>0</v>
      </c>
      <c r="Q229" t="n">
        <v>0</v>
      </c>
      <c r="R229" s="2" t="inlineStr"/>
    </row>
    <row r="230" ht="15" customHeight="1">
      <c r="A230" t="inlineStr">
        <is>
          <t>A 60314-2024</t>
        </is>
      </c>
      <c r="B230" s="1" t="n">
        <v>45643</v>
      </c>
      <c r="C230" s="1" t="n">
        <v>46075</v>
      </c>
      <c r="D230" t="inlineStr">
        <is>
          <t>UPPSALA LÄN</t>
        </is>
      </c>
      <c r="E230" t="inlineStr">
        <is>
          <t>TIERP</t>
        </is>
      </c>
      <c r="F230" t="inlineStr">
        <is>
          <t>Bergvik skog öst AB</t>
        </is>
      </c>
      <c r="G230" t="n">
        <v>4.4</v>
      </c>
      <c r="H230" t="n">
        <v>0</v>
      </c>
      <c r="I230" t="n">
        <v>0</v>
      </c>
      <c r="J230" t="n">
        <v>0</v>
      </c>
      <c r="K230" t="n">
        <v>0</v>
      </c>
      <c r="L230" t="n">
        <v>0</v>
      </c>
      <c r="M230" t="n">
        <v>0</v>
      </c>
      <c r="N230" t="n">
        <v>0</v>
      </c>
      <c r="O230" t="n">
        <v>0</v>
      </c>
      <c r="P230" t="n">
        <v>0</v>
      </c>
      <c r="Q230" t="n">
        <v>0</v>
      </c>
      <c r="R230" s="2" t="inlineStr"/>
    </row>
    <row r="231" ht="15" customHeight="1">
      <c r="A231" t="inlineStr">
        <is>
          <t>A 37053-2024</t>
        </is>
      </c>
      <c r="B231" s="1" t="n">
        <v>45539.43512731481</v>
      </c>
      <c r="C231" s="1" t="n">
        <v>46075</v>
      </c>
      <c r="D231" t="inlineStr">
        <is>
          <t>UPPSALA LÄN</t>
        </is>
      </c>
      <c r="E231" t="inlineStr">
        <is>
          <t>TIERP</t>
        </is>
      </c>
      <c r="G231" t="n">
        <v>1.7</v>
      </c>
      <c r="H231" t="n">
        <v>0</v>
      </c>
      <c r="I231" t="n">
        <v>0</v>
      </c>
      <c r="J231" t="n">
        <v>0</v>
      </c>
      <c r="K231" t="n">
        <v>0</v>
      </c>
      <c r="L231" t="n">
        <v>0</v>
      </c>
      <c r="M231" t="n">
        <v>0</v>
      </c>
      <c r="N231" t="n">
        <v>0</v>
      </c>
      <c r="O231" t="n">
        <v>0</v>
      </c>
      <c r="P231" t="n">
        <v>0</v>
      </c>
      <c r="Q231" t="n">
        <v>0</v>
      </c>
      <c r="R231" s="2" t="inlineStr"/>
    </row>
    <row r="232" ht="15" customHeight="1">
      <c r="A232" t="inlineStr">
        <is>
          <t>A 28252-2025</t>
        </is>
      </c>
      <c r="B232" s="1" t="n">
        <v>45818.54159722223</v>
      </c>
      <c r="C232" s="1" t="n">
        <v>46075</v>
      </c>
      <c r="D232" t="inlineStr">
        <is>
          <t>UPPSALA LÄN</t>
        </is>
      </c>
      <c r="E232" t="inlineStr">
        <is>
          <t>TIERP</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38951-2025</t>
        </is>
      </c>
      <c r="B233" s="1" t="n">
        <v>45887.66127314815</v>
      </c>
      <c r="C233" s="1" t="n">
        <v>46075</v>
      </c>
      <c r="D233" t="inlineStr">
        <is>
          <t>UPPSALA LÄN</t>
        </is>
      </c>
      <c r="E233" t="inlineStr">
        <is>
          <t>TIERP</t>
        </is>
      </c>
      <c r="F233" t="inlineStr">
        <is>
          <t>Bergvik skog öst AB</t>
        </is>
      </c>
      <c r="G233" t="n">
        <v>4.5</v>
      </c>
      <c r="H233" t="n">
        <v>0</v>
      </c>
      <c r="I233" t="n">
        <v>0</v>
      </c>
      <c r="J233" t="n">
        <v>0</v>
      </c>
      <c r="K233" t="n">
        <v>0</v>
      </c>
      <c r="L233" t="n">
        <v>0</v>
      </c>
      <c r="M233" t="n">
        <v>0</v>
      </c>
      <c r="N233" t="n">
        <v>0</v>
      </c>
      <c r="O233" t="n">
        <v>0</v>
      </c>
      <c r="P233" t="n">
        <v>0</v>
      </c>
      <c r="Q233" t="n">
        <v>0</v>
      </c>
      <c r="R233" s="2" t="inlineStr"/>
    </row>
    <row r="234" ht="15" customHeight="1">
      <c r="A234" t="inlineStr">
        <is>
          <t>A 44774-2024</t>
        </is>
      </c>
      <c r="B234" s="1" t="n">
        <v>45574</v>
      </c>
      <c r="C234" s="1" t="n">
        <v>46075</v>
      </c>
      <c r="D234" t="inlineStr">
        <is>
          <t>UPPSALA LÄN</t>
        </is>
      </c>
      <c r="E234" t="inlineStr">
        <is>
          <t>TIERP</t>
        </is>
      </c>
      <c r="G234" t="n">
        <v>1.3</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46075</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36561-2022</t>
        </is>
      </c>
      <c r="B236" s="1" t="n">
        <v>44804</v>
      </c>
      <c r="C236" s="1" t="n">
        <v>46075</v>
      </c>
      <c r="D236" t="inlineStr">
        <is>
          <t>UPPSALA LÄN</t>
        </is>
      </c>
      <c r="E236" t="inlineStr">
        <is>
          <t>TIERP</t>
        </is>
      </c>
      <c r="G236" t="n">
        <v>4.6</v>
      </c>
      <c r="H236" t="n">
        <v>0</v>
      </c>
      <c r="I236" t="n">
        <v>0</v>
      </c>
      <c r="J236" t="n">
        <v>0</v>
      </c>
      <c r="K236" t="n">
        <v>0</v>
      </c>
      <c r="L236" t="n">
        <v>0</v>
      </c>
      <c r="M236" t="n">
        <v>0</v>
      </c>
      <c r="N236" t="n">
        <v>0</v>
      </c>
      <c r="O236" t="n">
        <v>0</v>
      </c>
      <c r="P236" t="n">
        <v>0</v>
      </c>
      <c r="Q236" t="n">
        <v>0</v>
      </c>
      <c r="R236" s="2" t="inlineStr"/>
    </row>
    <row r="237" ht="15" customHeight="1">
      <c r="A237" t="inlineStr">
        <is>
          <t>A 38464-2023</t>
        </is>
      </c>
      <c r="B237" s="1" t="n">
        <v>45162.44894675926</v>
      </c>
      <c r="C237" s="1" t="n">
        <v>46075</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46075</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29282-2025</t>
        </is>
      </c>
      <c r="B239" s="1" t="n">
        <v>45824.42741898148</v>
      </c>
      <c r="C239" s="1" t="n">
        <v>46075</v>
      </c>
      <c r="D239" t="inlineStr">
        <is>
          <t>UPPSALA LÄN</t>
        </is>
      </c>
      <c r="E239" t="inlineStr">
        <is>
          <t>TIERP</t>
        </is>
      </c>
      <c r="F239" t="inlineStr">
        <is>
          <t>Bergvik skog väst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39092-2025</t>
        </is>
      </c>
      <c r="B240" s="1" t="n">
        <v>45888.49290509259</v>
      </c>
      <c r="C240" s="1" t="n">
        <v>46075</v>
      </c>
      <c r="D240" t="inlineStr">
        <is>
          <t>UPPSALA LÄN</t>
        </is>
      </c>
      <c r="E240" t="inlineStr">
        <is>
          <t>TIERP</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29133-2025</t>
        </is>
      </c>
      <c r="B241" s="1" t="n">
        <v>45821.60461805556</v>
      </c>
      <c r="C241" s="1" t="n">
        <v>46075</v>
      </c>
      <c r="D241" t="inlineStr">
        <is>
          <t>UPPSALA LÄN</t>
        </is>
      </c>
      <c r="E241" t="inlineStr">
        <is>
          <t>TIERP</t>
        </is>
      </c>
      <c r="F241" t="inlineStr">
        <is>
          <t>Bergvik skog öst AB</t>
        </is>
      </c>
      <c r="G241" t="n">
        <v>2.2</v>
      </c>
      <c r="H241" t="n">
        <v>0</v>
      </c>
      <c r="I241" t="n">
        <v>0</v>
      </c>
      <c r="J241" t="n">
        <v>0</v>
      </c>
      <c r="K241" t="n">
        <v>0</v>
      </c>
      <c r="L241" t="n">
        <v>0</v>
      </c>
      <c r="M241" t="n">
        <v>0</v>
      </c>
      <c r="N241" t="n">
        <v>0</v>
      </c>
      <c r="O241" t="n">
        <v>0</v>
      </c>
      <c r="P241" t="n">
        <v>0</v>
      </c>
      <c r="Q241" t="n">
        <v>0</v>
      </c>
      <c r="R241" s="2" t="inlineStr"/>
    </row>
    <row r="242" ht="15" customHeight="1">
      <c r="A242" t="inlineStr">
        <is>
          <t>A 29382-2025</t>
        </is>
      </c>
      <c r="B242" s="1" t="n">
        <v>45824.59332175926</v>
      </c>
      <c r="C242" s="1" t="n">
        <v>46075</v>
      </c>
      <c r="D242" t="inlineStr">
        <is>
          <t>UPPSALA LÄN</t>
        </is>
      </c>
      <c r="E242" t="inlineStr">
        <is>
          <t>TIERP</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39842-2025</t>
        </is>
      </c>
      <c r="B243" s="1" t="n">
        <v>45891.57488425926</v>
      </c>
      <c r="C243" s="1" t="n">
        <v>46075</v>
      </c>
      <c r="D243" t="inlineStr">
        <is>
          <t>UPPSALA LÄN</t>
        </is>
      </c>
      <c r="E243" t="inlineStr">
        <is>
          <t>TIERP</t>
        </is>
      </c>
      <c r="F243" t="inlineStr">
        <is>
          <t>Bergvik skog öst AB</t>
        </is>
      </c>
      <c r="G243" t="n">
        <v>4</v>
      </c>
      <c r="H243" t="n">
        <v>0</v>
      </c>
      <c r="I243" t="n">
        <v>0</v>
      </c>
      <c r="J243" t="n">
        <v>0</v>
      </c>
      <c r="K243" t="n">
        <v>0</v>
      </c>
      <c r="L243" t="n">
        <v>0</v>
      </c>
      <c r="M243" t="n">
        <v>0</v>
      </c>
      <c r="N243" t="n">
        <v>0</v>
      </c>
      <c r="O243" t="n">
        <v>0</v>
      </c>
      <c r="P243" t="n">
        <v>0</v>
      </c>
      <c r="Q243" t="n">
        <v>0</v>
      </c>
      <c r="R243" s="2" t="inlineStr"/>
    </row>
    <row r="244" ht="15" customHeight="1">
      <c r="A244" t="inlineStr">
        <is>
          <t>A 30083-2025</t>
        </is>
      </c>
      <c r="B244" s="1" t="n">
        <v>45826.65520833333</v>
      </c>
      <c r="C244" s="1" t="n">
        <v>46075</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row>
    <row r="245" ht="15" customHeight="1">
      <c r="A245" t="inlineStr">
        <is>
          <t>A 39856-2025</t>
        </is>
      </c>
      <c r="B245" s="1" t="n">
        <v>45891.58877314815</v>
      </c>
      <c r="C245" s="1" t="n">
        <v>46075</v>
      </c>
      <c r="D245" t="inlineStr">
        <is>
          <t>UPPSALA LÄN</t>
        </is>
      </c>
      <c r="E245" t="inlineStr">
        <is>
          <t>TIERP</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17642-2025</t>
        </is>
      </c>
      <c r="B246" s="1" t="n">
        <v>45758</v>
      </c>
      <c r="C246" s="1" t="n">
        <v>46075</v>
      </c>
      <c r="D246" t="inlineStr">
        <is>
          <t>UPPSALA LÄN</t>
        </is>
      </c>
      <c r="E246" t="inlineStr">
        <is>
          <t>TIERP</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7068-2022</t>
        </is>
      </c>
      <c r="B247" s="1" t="n">
        <v>44603</v>
      </c>
      <c r="C247" s="1" t="n">
        <v>46075</v>
      </c>
      <c r="D247" t="inlineStr">
        <is>
          <t>UPPSALA LÄN</t>
        </is>
      </c>
      <c r="E247" t="inlineStr">
        <is>
          <t>TIERP</t>
        </is>
      </c>
      <c r="G247" t="n">
        <v>5.2</v>
      </c>
      <c r="H247" t="n">
        <v>0</v>
      </c>
      <c r="I247" t="n">
        <v>0</v>
      </c>
      <c r="J247" t="n">
        <v>0</v>
      </c>
      <c r="K247" t="n">
        <v>0</v>
      </c>
      <c r="L247" t="n">
        <v>0</v>
      </c>
      <c r="M247" t="n">
        <v>0</v>
      </c>
      <c r="N247" t="n">
        <v>0</v>
      </c>
      <c r="O247" t="n">
        <v>0</v>
      </c>
      <c r="P247" t="n">
        <v>0</v>
      </c>
      <c r="Q247" t="n">
        <v>0</v>
      </c>
      <c r="R247" s="2" t="inlineStr"/>
    </row>
    <row r="248" ht="15" customHeight="1">
      <c r="A248" t="inlineStr">
        <is>
          <t>A 40163-2025</t>
        </is>
      </c>
      <c r="B248" s="1" t="n">
        <v>45894.6178125</v>
      </c>
      <c r="C248" s="1" t="n">
        <v>46075</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40164-2025</t>
        </is>
      </c>
      <c r="B249" s="1" t="n">
        <v>45894.62137731481</v>
      </c>
      <c r="C249" s="1" t="n">
        <v>46075</v>
      </c>
      <c r="D249" t="inlineStr">
        <is>
          <t>UPPSALA LÄN</t>
        </is>
      </c>
      <c r="E249" t="inlineStr">
        <is>
          <t>TIERP</t>
        </is>
      </c>
      <c r="G249" t="n">
        <v>0.5</v>
      </c>
      <c r="H249" t="n">
        <v>0</v>
      </c>
      <c r="I249" t="n">
        <v>0</v>
      </c>
      <c r="J249" t="n">
        <v>0</v>
      </c>
      <c r="K249" t="n">
        <v>0</v>
      </c>
      <c r="L249" t="n">
        <v>0</v>
      </c>
      <c r="M249" t="n">
        <v>0</v>
      </c>
      <c r="N249" t="n">
        <v>0</v>
      </c>
      <c r="O249" t="n">
        <v>0</v>
      </c>
      <c r="P249" t="n">
        <v>0</v>
      </c>
      <c r="Q249" t="n">
        <v>0</v>
      </c>
      <c r="R249" s="2" t="inlineStr"/>
    </row>
    <row r="250" ht="15" customHeight="1">
      <c r="A250" t="inlineStr">
        <is>
          <t>A 11529-2022</t>
        </is>
      </c>
      <c r="B250" s="1" t="n">
        <v>44631.38126157408</v>
      </c>
      <c r="C250" s="1" t="n">
        <v>46075</v>
      </c>
      <c r="D250" t="inlineStr">
        <is>
          <t>UPPSALA LÄN</t>
        </is>
      </c>
      <c r="E250" t="inlineStr">
        <is>
          <t>TIERP</t>
        </is>
      </c>
      <c r="G250" t="n">
        <v>2.4</v>
      </c>
      <c r="H250" t="n">
        <v>0</v>
      </c>
      <c r="I250" t="n">
        <v>0</v>
      </c>
      <c r="J250" t="n">
        <v>0</v>
      </c>
      <c r="K250" t="n">
        <v>0</v>
      </c>
      <c r="L250" t="n">
        <v>0</v>
      </c>
      <c r="M250" t="n">
        <v>0</v>
      </c>
      <c r="N250" t="n">
        <v>0</v>
      </c>
      <c r="O250" t="n">
        <v>0</v>
      </c>
      <c r="P250" t="n">
        <v>0</v>
      </c>
      <c r="Q250" t="n">
        <v>0</v>
      </c>
      <c r="R250" s="2" t="inlineStr"/>
    </row>
    <row r="251" ht="15" customHeight="1">
      <c r="A251" t="inlineStr">
        <is>
          <t>A 48403-2022</t>
        </is>
      </c>
      <c r="B251" s="1" t="n">
        <v>44858.61703703704</v>
      </c>
      <c r="C251" s="1" t="n">
        <v>46075</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46075</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15574-2024</t>
        </is>
      </c>
      <c r="B253" s="1" t="n">
        <v>45401.68577546296</v>
      </c>
      <c r="C253" s="1" t="n">
        <v>46075</v>
      </c>
      <c r="D253" t="inlineStr">
        <is>
          <t>UPPSALA LÄN</t>
        </is>
      </c>
      <c r="E253" t="inlineStr">
        <is>
          <t>TIERP</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31525-2025</t>
        </is>
      </c>
      <c r="B254" s="1" t="n">
        <v>45833.61322916667</v>
      </c>
      <c r="C254" s="1" t="n">
        <v>46075</v>
      </c>
      <c r="D254" t="inlineStr">
        <is>
          <t>UPPSALA LÄN</t>
        </is>
      </c>
      <c r="E254" t="inlineStr">
        <is>
          <t>TIERP</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31083-2025</t>
        </is>
      </c>
      <c r="B255" s="1" t="n">
        <v>45832.58662037037</v>
      </c>
      <c r="C255" s="1" t="n">
        <v>46075</v>
      </c>
      <c r="D255" t="inlineStr">
        <is>
          <t>UPPSALA LÄN</t>
        </is>
      </c>
      <c r="E255" t="inlineStr">
        <is>
          <t>TIERP</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31549-2025</t>
        </is>
      </c>
      <c r="B256" s="1" t="n">
        <v>45833.63829861111</v>
      </c>
      <c r="C256" s="1" t="n">
        <v>46075</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31556-2025</t>
        </is>
      </c>
      <c r="B257" s="1" t="n">
        <v>45833.65157407407</v>
      </c>
      <c r="C257" s="1" t="n">
        <v>46075</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31201-2025</t>
        </is>
      </c>
      <c r="B258" s="1" t="n">
        <v>45832.69688657407</v>
      </c>
      <c r="C258" s="1" t="n">
        <v>46075</v>
      </c>
      <c r="D258" t="inlineStr">
        <is>
          <t>UPPSALA LÄN</t>
        </is>
      </c>
      <c r="E258" t="inlineStr">
        <is>
          <t>TIERP</t>
        </is>
      </c>
      <c r="F258" t="inlineStr">
        <is>
          <t>Bergvik skog öst AB</t>
        </is>
      </c>
      <c r="G258" t="n">
        <v>2.4</v>
      </c>
      <c r="H258" t="n">
        <v>0</v>
      </c>
      <c r="I258" t="n">
        <v>0</v>
      </c>
      <c r="J258" t="n">
        <v>0</v>
      </c>
      <c r="K258" t="n">
        <v>0</v>
      </c>
      <c r="L258" t="n">
        <v>0</v>
      </c>
      <c r="M258" t="n">
        <v>0</v>
      </c>
      <c r="N258" t="n">
        <v>0</v>
      </c>
      <c r="O258" t="n">
        <v>0</v>
      </c>
      <c r="P258" t="n">
        <v>0</v>
      </c>
      <c r="Q258" t="n">
        <v>0</v>
      </c>
      <c r="R258" s="2" t="inlineStr"/>
    </row>
    <row r="259" ht="15" customHeight="1">
      <c r="A259" t="inlineStr">
        <is>
          <t>A 31523-2025</t>
        </is>
      </c>
      <c r="B259" s="1" t="n">
        <v>45833.60854166667</v>
      </c>
      <c r="C259" s="1" t="n">
        <v>46075</v>
      </c>
      <c r="D259" t="inlineStr">
        <is>
          <t>UPPSALA LÄN</t>
        </is>
      </c>
      <c r="E259" t="inlineStr">
        <is>
          <t>TIERP</t>
        </is>
      </c>
      <c r="F259" t="inlineStr">
        <is>
          <t>Bergvik skog öst AB</t>
        </is>
      </c>
      <c r="G259" t="n">
        <v>5.6</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46075</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40649-2025</t>
        </is>
      </c>
      <c r="B261" s="1" t="n">
        <v>45896.62949074074</v>
      </c>
      <c r="C261" s="1" t="n">
        <v>46075</v>
      </c>
      <c r="D261" t="inlineStr">
        <is>
          <t>UPPSALA LÄN</t>
        </is>
      </c>
      <c r="E261" t="inlineStr">
        <is>
          <t>TIERP</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31199-2025</t>
        </is>
      </c>
      <c r="B262" s="1" t="n">
        <v>45832.69494212963</v>
      </c>
      <c r="C262" s="1" t="n">
        <v>46075</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41490-2025</t>
        </is>
      </c>
      <c r="B263" s="1" t="n">
        <v>45901.48795138889</v>
      </c>
      <c r="C263" s="1" t="n">
        <v>46075</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41497-2025</t>
        </is>
      </c>
      <c r="B264" s="1" t="n">
        <v>45901.49728009259</v>
      </c>
      <c r="C264" s="1" t="n">
        <v>46075</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30867-2025</t>
        </is>
      </c>
      <c r="B265" s="1" t="n">
        <v>45832.32575231481</v>
      </c>
      <c r="C265" s="1" t="n">
        <v>46075</v>
      </c>
      <c r="D265" t="inlineStr">
        <is>
          <t>UPPSALA LÄN</t>
        </is>
      </c>
      <c r="E265" t="inlineStr">
        <is>
          <t>TIERP</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41517-2025</t>
        </is>
      </c>
      <c r="B266" s="1" t="n">
        <v>45901.54505787037</v>
      </c>
      <c r="C266" s="1" t="n">
        <v>46075</v>
      </c>
      <c r="D266" t="inlineStr">
        <is>
          <t>UPPSALA LÄN</t>
        </is>
      </c>
      <c r="E266" t="inlineStr">
        <is>
          <t>TIERP</t>
        </is>
      </c>
      <c r="G266" t="n">
        <v>5.7</v>
      </c>
      <c r="H266" t="n">
        <v>0</v>
      </c>
      <c r="I266" t="n">
        <v>0</v>
      </c>
      <c r="J266" t="n">
        <v>0</v>
      </c>
      <c r="K266" t="n">
        <v>0</v>
      </c>
      <c r="L266" t="n">
        <v>0</v>
      </c>
      <c r="M266" t="n">
        <v>0</v>
      </c>
      <c r="N266" t="n">
        <v>0</v>
      </c>
      <c r="O266" t="n">
        <v>0</v>
      </c>
      <c r="P266" t="n">
        <v>0</v>
      </c>
      <c r="Q266" t="n">
        <v>0</v>
      </c>
      <c r="R266" s="2" t="inlineStr"/>
    </row>
    <row r="267" ht="15" customHeight="1">
      <c r="A267" t="inlineStr">
        <is>
          <t>A 20317-2025</t>
        </is>
      </c>
      <c r="B267" s="1" t="n">
        <v>45775</v>
      </c>
      <c r="C267" s="1" t="n">
        <v>46075</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2899-2023</t>
        </is>
      </c>
      <c r="B268" s="1" t="n">
        <v>44945</v>
      </c>
      <c r="C268" s="1" t="n">
        <v>46075</v>
      </c>
      <c r="D268" t="inlineStr">
        <is>
          <t>UPPSALA LÄN</t>
        </is>
      </c>
      <c r="E268" t="inlineStr">
        <is>
          <t>TIERP</t>
        </is>
      </c>
      <c r="G268" t="n">
        <v>1.7</v>
      </c>
      <c r="H268" t="n">
        <v>0</v>
      </c>
      <c r="I268" t="n">
        <v>0</v>
      </c>
      <c r="J268" t="n">
        <v>0</v>
      </c>
      <c r="K268" t="n">
        <v>0</v>
      </c>
      <c r="L268" t="n">
        <v>0</v>
      </c>
      <c r="M268" t="n">
        <v>0</v>
      </c>
      <c r="N268" t="n">
        <v>0</v>
      </c>
      <c r="O268" t="n">
        <v>0</v>
      </c>
      <c r="P268" t="n">
        <v>0</v>
      </c>
      <c r="Q268" t="n">
        <v>0</v>
      </c>
      <c r="R268" s="2" t="inlineStr"/>
    </row>
    <row r="269" ht="15" customHeight="1">
      <c r="A269" t="inlineStr">
        <is>
          <t>A 41268-2025</t>
        </is>
      </c>
      <c r="B269" s="1" t="n">
        <v>45898.61831018519</v>
      </c>
      <c r="C269" s="1" t="n">
        <v>46075</v>
      </c>
      <c r="D269" t="inlineStr">
        <is>
          <t>UPPSALA LÄN</t>
        </is>
      </c>
      <c r="E269" t="inlineStr">
        <is>
          <t>TIERP</t>
        </is>
      </c>
      <c r="G269" t="n">
        <v>0.6</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46075</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16631-2023</t>
        </is>
      </c>
      <c r="B271" s="1" t="n">
        <v>45030</v>
      </c>
      <c r="C271" s="1" t="n">
        <v>46075</v>
      </c>
      <c r="D271" t="inlineStr">
        <is>
          <t>UPPSALA LÄN</t>
        </is>
      </c>
      <c r="E271" t="inlineStr">
        <is>
          <t>TIERP</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36150-2021</t>
        </is>
      </c>
      <c r="B272" s="1" t="n">
        <v>44389</v>
      </c>
      <c r="C272" s="1" t="n">
        <v>46075</v>
      </c>
      <c r="D272" t="inlineStr">
        <is>
          <t>UPPSALA LÄN</t>
        </is>
      </c>
      <c r="E272" t="inlineStr">
        <is>
          <t>TIERP</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46075</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46075</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31949-2025</t>
        </is>
      </c>
      <c r="B275" s="1" t="n">
        <v>45835.32549768518</v>
      </c>
      <c r="C275" s="1" t="n">
        <v>46075</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41531-2025</t>
        </is>
      </c>
      <c r="B276" s="1" t="n">
        <v>45901.55740740741</v>
      </c>
      <c r="C276" s="1" t="n">
        <v>46075</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41535-2025</t>
        </is>
      </c>
      <c r="B277" s="1" t="n">
        <v>45901.56009259259</v>
      </c>
      <c r="C277" s="1" t="n">
        <v>46075</v>
      </c>
      <c r="D277" t="inlineStr">
        <is>
          <t>UPPSALA LÄN</t>
        </is>
      </c>
      <c r="E277" t="inlineStr">
        <is>
          <t>TIERP</t>
        </is>
      </c>
      <c r="G277" t="n">
        <v>4.2</v>
      </c>
      <c r="H277" t="n">
        <v>0</v>
      </c>
      <c r="I277" t="n">
        <v>0</v>
      </c>
      <c r="J277" t="n">
        <v>0</v>
      </c>
      <c r="K277" t="n">
        <v>0</v>
      </c>
      <c r="L277" t="n">
        <v>0</v>
      </c>
      <c r="M277" t="n">
        <v>0</v>
      </c>
      <c r="N277" t="n">
        <v>0</v>
      </c>
      <c r="O277" t="n">
        <v>0</v>
      </c>
      <c r="P277" t="n">
        <v>0</v>
      </c>
      <c r="Q277" t="n">
        <v>0</v>
      </c>
      <c r="R277" s="2" t="inlineStr"/>
    </row>
    <row r="278" ht="15" customHeight="1">
      <c r="A278" t="inlineStr">
        <is>
          <t>A 32227-2025</t>
        </is>
      </c>
      <c r="B278" s="1" t="n">
        <v>45835.59493055556</v>
      </c>
      <c r="C278" s="1" t="n">
        <v>46075</v>
      </c>
      <c r="D278" t="inlineStr">
        <is>
          <t>UPPSALA LÄN</t>
        </is>
      </c>
      <c r="E278" t="inlineStr">
        <is>
          <t>TIERP</t>
        </is>
      </c>
      <c r="F278" t="inlineStr">
        <is>
          <t>Bergvik skog väst AB</t>
        </is>
      </c>
      <c r="G278" t="n">
        <v>13.1</v>
      </c>
      <c r="H278" t="n">
        <v>0</v>
      </c>
      <c r="I278" t="n">
        <v>0</v>
      </c>
      <c r="J278" t="n">
        <v>0</v>
      </c>
      <c r="K278" t="n">
        <v>0</v>
      </c>
      <c r="L278" t="n">
        <v>0</v>
      </c>
      <c r="M278" t="n">
        <v>0</v>
      </c>
      <c r="N278" t="n">
        <v>0</v>
      </c>
      <c r="O278" t="n">
        <v>0</v>
      </c>
      <c r="P278" t="n">
        <v>0</v>
      </c>
      <c r="Q278" t="n">
        <v>0</v>
      </c>
      <c r="R278" s="2" t="inlineStr"/>
    </row>
    <row r="279" ht="15" customHeight="1">
      <c r="A279" t="inlineStr">
        <is>
          <t>A 31616-2025</t>
        </is>
      </c>
      <c r="B279" s="1" t="n">
        <v>45833.816875</v>
      </c>
      <c r="C279" s="1" t="n">
        <v>46075</v>
      </c>
      <c r="D279" t="inlineStr">
        <is>
          <t>UPPSALA LÄN</t>
        </is>
      </c>
      <c r="E279" t="inlineStr">
        <is>
          <t>TIERP</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26559-2025</t>
        </is>
      </c>
      <c r="B280" s="1" t="n">
        <v>45807.63822916667</v>
      </c>
      <c r="C280" s="1" t="n">
        <v>46075</v>
      </c>
      <c r="D280" t="inlineStr">
        <is>
          <t>UPPSALA LÄN</t>
        </is>
      </c>
      <c r="E280" t="inlineStr">
        <is>
          <t>TIERP</t>
        </is>
      </c>
      <c r="G280" t="n">
        <v>5</v>
      </c>
      <c r="H280" t="n">
        <v>0</v>
      </c>
      <c r="I280" t="n">
        <v>0</v>
      </c>
      <c r="J280" t="n">
        <v>0</v>
      </c>
      <c r="K280" t="n">
        <v>0</v>
      </c>
      <c r="L280" t="n">
        <v>0</v>
      </c>
      <c r="M280" t="n">
        <v>0</v>
      </c>
      <c r="N280" t="n">
        <v>0</v>
      </c>
      <c r="O280" t="n">
        <v>0</v>
      </c>
      <c r="P280" t="n">
        <v>0</v>
      </c>
      <c r="Q280" t="n">
        <v>0</v>
      </c>
      <c r="R280" s="2" t="inlineStr"/>
    </row>
    <row r="281" ht="15" customHeight="1">
      <c r="A281" t="inlineStr">
        <is>
          <t>A 41719-2025</t>
        </is>
      </c>
      <c r="B281" s="1" t="n">
        <v>45902.44439814815</v>
      </c>
      <c r="C281" s="1" t="n">
        <v>46075</v>
      </c>
      <c r="D281" t="inlineStr">
        <is>
          <t>UPPSALA LÄN</t>
        </is>
      </c>
      <c r="E281" t="inlineStr">
        <is>
          <t>TIERP</t>
        </is>
      </c>
      <c r="G281" t="n">
        <v>2.1</v>
      </c>
      <c r="H281" t="n">
        <v>0</v>
      </c>
      <c r="I281" t="n">
        <v>0</v>
      </c>
      <c r="J281" t="n">
        <v>0</v>
      </c>
      <c r="K281" t="n">
        <v>0</v>
      </c>
      <c r="L281" t="n">
        <v>0</v>
      </c>
      <c r="M281" t="n">
        <v>0</v>
      </c>
      <c r="N281" t="n">
        <v>0</v>
      </c>
      <c r="O281" t="n">
        <v>0</v>
      </c>
      <c r="P281" t="n">
        <v>0</v>
      </c>
      <c r="Q281" t="n">
        <v>0</v>
      </c>
      <c r="R281" s="2" t="inlineStr"/>
    </row>
    <row r="282" ht="15" customHeight="1">
      <c r="A282" t="inlineStr">
        <is>
          <t>A 32184-2025</t>
        </is>
      </c>
      <c r="B282" s="1" t="n">
        <v>45835.56524305556</v>
      </c>
      <c r="C282" s="1" t="n">
        <v>46075</v>
      </c>
      <c r="D282" t="inlineStr">
        <is>
          <t>UPPSALA LÄN</t>
        </is>
      </c>
      <c r="E282" t="inlineStr">
        <is>
          <t>TIERP</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41698-2025</t>
        </is>
      </c>
      <c r="B283" s="1" t="n">
        <v>45902.40758101852</v>
      </c>
      <c r="C283" s="1" t="n">
        <v>46075</v>
      </c>
      <c r="D283" t="inlineStr">
        <is>
          <t>UPPSALA LÄN</t>
        </is>
      </c>
      <c r="E283" t="inlineStr">
        <is>
          <t>TIERP</t>
        </is>
      </c>
      <c r="G283" t="n">
        <v>1.8</v>
      </c>
      <c r="H283" t="n">
        <v>0</v>
      </c>
      <c r="I283" t="n">
        <v>0</v>
      </c>
      <c r="J283" t="n">
        <v>0</v>
      </c>
      <c r="K283" t="n">
        <v>0</v>
      </c>
      <c r="L283" t="n">
        <v>0</v>
      </c>
      <c r="M283" t="n">
        <v>0</v>
      </c>
      <c r="N283" t="n">
        <v>0</v>
      </c>
      <c r="O283" t="n">
        <v>0</v>
      </c>
      <c r="P283" t="n">
        <v>0</v>
      </c>
      <c r="Q283" t="n">
        <v>0</v>
      </c>
      <c r="R283" s="2" t="inlineStr"/>
    </row>
    <row r="284" ht="15" customHeight="1">
      <c r="A284" t="inlineStr">
        <is>
          <t>A 41699-2025</t>
        </is>
      </c>
      <c r="B284" s="1" t="n">
        <v>45902.40875</v>
      </c>
      <c r="C284" s="1" t="n">
        <v>46075</v>
      </c>
      <c r="D284" t="inlineStr">
        <is>
          <t>UPPSALA LÄN</t>
        </is>
      </c>
      <c r="E284" t="inlineStr">
        <is>
          <t>TIERP</t>
        </is>
      </c>
      <c r="G284" t="n">
        <v>1</v>
      </c>
      <c r="H284" t="n">
        <v>0</v>
      </c>
      <c r="I284" t="n">
        <v>0</v>
      </c>
      <c r="J284" t="n">
        <v>0</v>
      </c>
      <c r="K284" t="n">
        <v>0</v>
      </c>
      <c r="L284" t="n">
        <v>0</v>
      </c>
      <c r="M284" t="n">
        <v>0</v>
      </c>
      <c r="N284" t="n">
        <v>0</v>
      </c>
      <c r="O284" t="n">
        <v>0</v>
      </c>
      <c r="P284" t="n">
        <v>0</v>
      </c>
      <c r="Q284" t="n">
        <v>0</v>
      </c>
      <c r="R284" s="2" t="inlineStr"/>
    </row>
    <row r="285" ht="15" customHeight="1">
      <c r="A285" t="inlineStr">
        <is>
          <t>A 26161-2022</t>
        </is>
      </c>
      <c r="B285" s="1" t="n">
        <v>44735</v>
      </c>
      <c r="C285" s="1" t="n">
        <v>46075</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32209-2025</t>
        </is>
      </c>
      <c r="B286" s="1" t="n">
        <v>45835.58365740741</v>
      </c>
      <c r="C286" s="1" t="n">
        <v>46075</v>
      </c>
      <c r="D286" t="inlineStr">
        <is>
          <t>UPPSALA LÄN</t>
        </is>
      </c>
      <c r="E286" t="inlineStr">
        <is>
          <t>TIERP</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319-2023</t>
        </is>
      </c>
      <c r="B287" s="1" t="n">
        <v>44929</v>
      </c>
      <c r="C287" s="1" t="n">
        <v>46075</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32296-2025</t>
        </is>
      </c>
      <c r="B288" s="1" t="n">
        <v>45835</v>
      </c>
      <c r="C288" s="1" t="n">
        <v>46075</v>
      </c>
      <c r="D288" t="inlineStr">
        <is>
          <t>UPPSALA LÄN</t>
        </is>
      </c>
      <c r="E288" t="inlineStr">
        <is>
          <t>TIERP</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32199-2025</t>
        </is>
      </c>
      <c r="B289" s="1" t="n">
        <v>45835.57688657408</v>
      </c>
      <c r="C289" s="1" t="n">
        <v>46075</v>
      </c>
      <c r="D289" t="inlineStr">
        <is>
          <t>UPPSALA LÄN</t>
        </is>
      </c>
      <c r="E289" t="inlineStr">
        <is>
          <t>TIERP</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31614-2025</t>
        </is>
      </c>
      <c r="B290" s="1" t="n">
        <v>45833.81484953704</v>
      </c>
      <c r="C290" s="1" t="n">
        <v>46075</v>
      </c>
      <c r="D290" t="inlineStr">
        <is>
          <t>UPPSALA LÄN</t>
        </is>
      </c>
      <c r="E290" t="inlineStr">
        <is>
          <t>TIERP</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46075</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42106-2025</t>
        </is>
      </c>
      <c r="B292" s="1" t="n">
        <v>45903</v>
      </c>
      <c r="C292" s="1" t="n">
        <v>46075</v>
      </c>
      <c r="D292" t="inlineStr">
        <is>
          <t>UPPSALA LÄN</t>
        </is>
      </c>
      <c r="E292" t="inlineStr">
        <is>
          <t>TIERP</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36830-2024</t>
        </is>
      </c>
      <c r="B293" s="1" t="n">
        <v>45538</v>
      </c>
      <c r="C293" s="1" t="n">
        <v>46075</v>
      </c>
      <c r="D293" t="inlineStr">
        <is>
          <t>UPPSALA LÄN</t>
        </is>
      </c>
      <c r="E293" t="inlineStr">
        <is>
          <t>TIERP</t>
        </is>
      </c>
      <c r="G293" t="n">
        <v>1.7</v>
      </c>
      <c r="H293" t="n">
        <v>0</v>
      </c>
      <c r="I293" t="n">
        <v>0</v>
      </c>
      <c r="J293" t="n">
        <v>0</v>
      </c>
      <c r="K293" t="n">
        <v>0</v>
      </c>
      <c r="L293" t="n">
        <v>0</v>
      </c>
      <c r="M293" t="n">
        <v>0</v>
      </c>
      <c r="N293" t="n">
        <v>0</v>
      </c>
      <c r="O293" t="n">
        <v>0</v>
      </c>
      <c r="P293" t="n">
        <v>0</v>
      </c>
      <c r="Q293" t="n">
        <v>0</v>
      </c>
      <c r="R293" s="2" t="inlineStr"/>
    </row>
    <row r="294" ht="15" customHeight="1">
      <c r="A294" t="inlineStr">
        <is>
          <t>A 26556-2025</t>
        </is>
      </c>
      <c r="B294" s="1" t="n">
        <v>45807.62752314815</v>
      </c>
      <c r="C294" s="1" t="n">
        <v>46075</v>
      </c>
      <c r="D294" t="inlineStr">
        <is>
          <t>UPPSALA LÄN</t>
        </is>
      </c>
      <c r="E294" t="inlineStr">
        <is>
          <t>TIERP</t>
        </is>
      </c>
      <c r="G294" t="n">
        <v>2.6</v>
      </c>
      <c r="H294" t="n">
        <v>0</v>
      </c>
      <c r="I294" t="n">
        <v>0</v>
      </c>
      <c r="J294" t="n">
        <v>0</v>
      </c>
      <c r="K294" t="n">
        <v>0</v>
      </c>
      <c r="L294" t="n">
        <v>0</v>
      </c>
      <c r="M294" t="n">
        <v>0</v>
      </c>
      <c r="N294" t="n">
        <v>0</v>
      </c>
      <c r="O294" t="n">
        <v>0</v>
      </c>
      <c r="P294" t="n">
        <v>0</v>
      </c>
      <c r="Q294" t="n">
        <v>0</v>
      </c>
      <c r="R294" s="2" t="inlineStr"/>
    </row>
    <row r="295" ht="15" customHeight="1">
      <c r="A295" t="inlineStr">
        <is>
          <t>A 16802-2025</t>
        </is>
      </c>
      <c r="B295" s="1" t="n">
        <v>45754</v>
      </c>
      <c r="C295" s="1" t="n">
        <v>46075</v>
      </c>
      <c r="D295" t="inlineStr">
        <is>
          <t>UPPSALA LÄN</t>
        </is>
      </c>
      <c r="E295" t="inlineStr">
        <is>
          <t>TIERP</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20021-2025</t>
        </is>
      </c>
      <c r="B296" s="1" t="n">
        <v>45772.33785879629</v>
      </c>
      <c r="C296" s="1" t="n">
        <v>46075</v>
      </c>
      <c r="D296" t="inlineStr">
        <is>
          <t>UPPSALA LÄN</t>
        </is>
      </c>
      <c r="E296" t="inlineStr">
        <is>
          <t>TIERP</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2266-2023</t>
        </is>
      </c>
      <c r="B297" s="1" t="n">
        <v>44942.49743055556</v>
      </c>
      <c r="C297" s="1" t="n">
        <v>46075</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66241-2021</t>
        </is>
      </c>
      <c r="B298" s="1" t="n">
        <v>44518.40658564815</v>
      </c>
      <c r="C298" s="1" t="n">
        <v>46075</v>
      </c>
      <c r="D298" t="inlineStr">
        <is>
          <t>UPPSALA LÄN</t>
        </is>
      </c>
      <c r="E298" t="inlineStr">
        <is>
          <t>TIERP</t>
        </is>
      </c>
      <c r="G298" t="n">
        <v>1.5</v>
      </c>
      <c r="H298" t="n">
        <v>0</v>
      </c>
      <c r="I298" t="n">
        <v>0</v>
      </c>
      <c r="J298" t="n">
        <v>0</v>
      </c>
      <c r="K298" t="n">
        <v>0</v>
      </c>
      <c r="L298" t="n">
        <v>0</v>
      </c>
      <c r="M298" t="n">
        <v>0</v>
      </c>
      <c r="N298" t="n">
        <v>0</v>
      </c>
      <c r="O298" t="n">
        <v>0</v>
      </c>
      <c r="P298" t="n">
        <v>0</v>
      </c>
      <c r="Q298" t="n">
        <v>0</v>
      </c>
      <c r="R298" s="2" t="inlineStr"/>
    </row>
    <row r="299" ht="15" customHeight="1">
      <c r="A299" t="inlineStr">
        <is>
          <t>A 32376-2025</t>
        </is>
      </c>
      <c r="B299" s="1" t="n">
        <v>45837.72260416667</v>
      </c>
      <c r="C299" s="1" t="n">
        <v>46075</v>
      </c>
      <c r="D299" t="inlineStr">
        <is>
          <t>UPPSALA LÄN</t>
        </is>
      </c>
      <c r="E299" t="inlineStr">
        <is>
          <t>TIERP</t>
        </is>
      </c>
      <c r="G299" t="n">
        <v>1.8</v>
      </c>
      <c r="H299" t="n">
        <v>0</v>
      </c>
      <c r="I299" t="n">
        <v>0</v>
      </c>
      <c r="J299" t="n">
        <v>0</v>
      </c>
      <c r="K299" t="n">
        <v>0</v>
      </c>
      <c r="L299" t="n">
        <v>0</v>
      </c>
      <c r="M299" t="n">
        <v>0</v>
      </c>
      <c r="N299" t="n">
        <v>0</v>
      </c>
      <c r="O299" t="n">
        <v>0</v>
      </c>
      <c r="P299" t="n">
        <v>0</v>
      </c>
      <c r="Q299" t="n">
        <v>0</v>
      </c>
      <c r="R299" s="2" t="inlineStr"/>
    </row>
    <row r="300" ht="15" customHeight="1">
      <c r="A300" t="inlineStr">
        <is>
          <t>A 42102-2025</t>
        </is>
      </c>
      <c r="B300" s="1" t="n">
        <v>45903.81962962963</v>
      </c>
      <c r="C300" s="1" t="n">
        <v>46075</v>
      </c>
      <c r="D300" t="inlineStr">
        <is>
          <t>UPPSALA LÄN</t>
        </is>
      </c>
      <c r="E300" t="inlineStr">
        <is>
          <t>TIERP</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15793-2025</t>
        </is>
      </c>
      <c r="B301" s="1" t="n">
        <v>45748.6355787037</v>
      </c>
      <c r="C301" s="1" t="n">
        <v>46075</v>
      </c>
      <c r="D301" t="inlineStr">
        <is>
          <t>UPPSALA LÄN</t>
        </is>
      </c>
      <c r="E301" t="inlineStr">
        <is>
          <t>TIERP</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5995-2023</t>
        </is>
      </c>
      <c r="B302" s="1" t="n">
        <v>44964</v>
      </c>
      <c r="C302" s="1" t="n">
        <v>46075</v>
      </c>
      <c r="D302" t="inlineStr">
        <is>
          <t>UPPSALA LÄN</t>
        </is>
      </c>
      <c r="E302" t="inlineStr">
        <is>
          <t>TIERP</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33180-2025</t>
        </is>
      </c>
      <c r="B303" s="1" t="n">
        <v>45840.5905324074</v>
      </c>
      <c r="C303" s="1" t="n">
        <v>46075</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42838-2025</t>
        </is>
      </c>
      <c r="B304" s="1" t="n">
        <v>45908.58109953703</v>
      </c>
      <c r="C304" s="1" t="n">
        <v>46075</v>
      </c>
      <c r="D304" t="inlineStr">
        <is>
          <t>UPPSALA LÄN</t>
        </is>
      </c>
      <c r="E304" t="inlineStr">
        <is>
          <t>TIERP</t>
        </is>
      </c>
      <c r="F304" t="inlineStr">
        <is>
          <t>Bergvik skog öst AB</t>
        </is>
      </c>
      <c r="G304" t="n">
        <v>13.1</v>
      </c>
      <c r="H304" t="n">
        <v>0</v>
      </c>
      <c r="I304" t="n">
        <v>0</v>
      </c>
      <c r="J304" t="n">
        <v>0</v>
      </c>
      <c r="K304" t="n">
        <v>0</v>
      </c>
      <c r="L304" t="n">
        <v>0</v>
      </c>
      <c r="M304" t="n">
        <v>0</v>
      </c>
      <c r="N304" t="n">
        <v>0</v>
      </c>
      <c r="O304" t="n">
        <v>0</v>
      </c>
      <c r="P304" t="n">
        <v>0</v>
      </c>
      <c r="Q304" t="n">
        <v>0</v>
      </c>
      <c r="R304" s="2" t="inlineStr"/>
    </row>
    <row r="305" ht="15" customHeight="1">
      <c r="A305" t="inlineStr">
        <is>
          <t>A 43121-2025</t>
        </is>
      </c>
      <c r="B305" s="1" t="n">
        <v>45909</v>
      </c>
      <c r="C305" s="1" t="n">
        <v>46075</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42688-2025</t>
        </is>
      </c>
      <c r="B306" s="1" t="n">
        <v>45908.35633101852</v>
      </c>
      <c r="C306" s="1" t="n">
        <v>46075</v>
      </c>
      <c r="D306" t="inlineStr">
        <is>
          <t>UPPSALA LÄN</t>
        </is>
      </c>
      <c r="E306" t="inlineStr">
        <is>
          <t>TIERP</t>
        </is>
      </c>
      <c r="G306" t="n">
        <v>1</v>
      </c>
      <c r="H306" t="n">
        <v>0</v>
      </c>
      <c r="I306" t="n">
        <v>0</v>
      </c>
      <c r="J306" t="n">
        <v>0</v>
      </c>
      <c r="K306" t="n">
        <v>0</v>
      </c>
      <c r="L306" t="n">
        <v>0</v>
      </c>
      <c r="M306" t="n">
        <v>0</v>
      </c>
      <c r="N306" t="n">
        <v>0</v>
      </c>
      <c r="O306" t="n">
        <v>0</v>
      </c>
      <c r="P306" t="n">
        <v>0</v>
      </c>
      <c r="Q306" t="n">
        <v>0</v>
      </c>
      <c r="R306" s="2" t="inlineStr"/>
    </row>
    <row r="307" ht="15" customHeight="1">
      <c r="A307" t="inlineStr">
        <is>
          <t>A 42695-2025</t>
        </is>
      </c>
      <c r="B307" s="1" t="n">
        <v>45908.36148148148</v>
      </c>
      <c r="C307" s="1" t="n">
        <v>46075</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46075</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46075</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43525-2025</t>
        </is>
      </c>
      <c r="B310" s="1" t="n">
        <v>45911.58546296296</v>
      </c>
      <c r="C310" s="1" t="n">
        <v>46075</v>
      </c>
      <c r="D310" t="inlineStr">
        <is>
          <t>UPPSALA LÄN</t>
        </is>
      </c>
      <c r="E310" t="inlineStr">
        <is>
          <t>TIERP</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33946-2025</t>
        </is>
      </c>
      <c r="B311" s="1" t="n">
        <v>45842.65422453704</v>
      </c>
      <c r="C311" s="1" t="n">
        <v>46075</v>
      </c>
      <c r="D311" t="inlineStr">
        <is>
          <t>UPPSALA LÄN</t>
        </is>
      </c>
      <c r="E311" t="inlineStr">
        <is>
          <t>TIERP</t>
        </is>
      </c>
      <c r="F311" t="inlineStr">
        <is>
          <t>Bergvik skog öst AB</t>
        </is>
      </c>
      <c r="G311" t="n">
        <v>5.4</v>
      </c>
      <c r="H311" t="n">
        <v>0</v>
      </c>
      <c r="I311" t="n">
        <v>0</v>
      </c>
      <c r="J311" t="n">
        <v>0</v>
      </c>
      <c r="K311" t="n">
        <v>0</v>
      </c>
      <c r="L311" t="n">
        <v>0</v>
      </c>
      <c r="M311" t="n">
        <v>0</v>
      </c>
      <c r="N311" t="n">
        <v>0</v>
      </c>
      <c r="O311" t="n">
        <v>0</v>
      </c>
      <c r="P311" t="n">
        <v>0</v>
      </c>
      <c r="Q311" t="n">
        <v>0</v>
      </c>
      <c r="R311" s="2" t="inlineStr"/>
    </row>
    <row r="312" ht="15" customHeight="1">
      <c r="A312" t="inlineStr">
        <is>
          <t>A 43220-2025</t>
        </is>
      </c>
      <c r="B312" s="1" t="n">
        <v>45910.47623842592</v>
      </c>
      <c r="C312" s="1" t="n">
        <v>46075</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34837-2024</t>
        </is>
      </c>
      <c r="B313" s="1" t="n">
        <v>45526</v>
      </c>
      <c r="C313" s="1" t="n">
        <v>46075</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34112-2025</t>
        </is>
      </c>
      <c r="B314" s="1" t="n">
        <v>45845.50091435185</v>
      </c>
      <c r="C314" s="1" t="n">
        <v>46075</v>
      </c>
      <c r="D314" t="inlineStr">
        <is>
          <t>UPPSALA LÄN</t>
        </is>
      </c>
      <c r="E314" t="inlineStr">
        <is>
          <t>TIERP</t>
        </is>
      </c>
      <c r="F314" t="inlineStr">
        <is>
          <t>Bergvik skog väst AB</t>
        </is>
      </c>
      <c r="G314" t="n">
        <v>0.6</v>
      </c>
      <c r="H314" t="n">
        <v>0</v>
      </c>
      <c r="I314" t="n">
        <v>0</v>
      </c>
      <c r="J314" t="n">
        <v>0</v>
      </c>
      <c r="K314" t="n">
        <v>0</v>
      </c>
      <c r="L314" t="n">
        <v>0</v>
      </c>
      <c r="M314" t="n">
        <v>0</v>
      </c>
      <c r="N314" t="n">
        <v>0</v>
      </c>
      <c r="O314" t="n">
        <v>0</v>
      </c>
      <c r="P314" t="n">
        <v>0</v>
      </c>
      <c r="Q314" t="n">
        <v>0</v>
      </c>
      <c r="R314" s="2" t="inlineStr"/>
    </row>
    <row r="315" ht="15" customHeight="1">
      <c r="A315" t="inlineStr">
        <is>
          <t>A 43858-2025</t>
        </is>
      </c>
      <c r="B315" s="1" t="n">
        <v>45912.64945601852</v>
      </c>
      <c r="C315" s="1" t="n">
        <v>46075</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34114-2025</t>
        </is>
      </c>
      <c r="B316" s="1" t="n">
        <v>45845.50322916666</v>
      </c>
      <c r="C316" s="1" t="n">
        <v>46075</v>
      </c>
      <c r="D316" t="inlineStr">
        <is>
          <t>UPPSALA LÄN</t>
        </is>
      </c>
      <c r="E316" t="inlineStr">
        <is>
          <t>TIERP</t>
        </is>
      </c>
      <c r="F316" t="inlineStr">
        <is>
          <t>Bergvik skog väst AB</t>
        </is>
      </c>
      <c r="G316" t="n">
        <v>18.6</v>
      </c>
      <c r="H316" t="n">
        <v>0</v>
      </c>
      <c r="I316" t="n">
        <v>0</v>
      </c>
      <c r="J316" t="n">
        <v>0</v>
      </c>
      <c r="K316" t="n">
        <v>0</v>
      </c>
      <c r="L316" t="n">
        <v>0</v>
      </c>
      <c r="M316" t="n">
        <v>0</v>
      </c>
      <c r="N316" t="n">
        <v>0</v>
      </c>
      <c r="O316" t="n">
        <v>0</v>
      </c>
      <c r="P316" t="n">
        <v>0</v>
      </c>
      <c r="Q316" t="n">
        <v>0</v>
      </c>
      <c r="R316" s="2" t="inlineStr"/>
    </row>
    <row r="317" ht="15" customHeight="1">
      <c r="A317" t="inlineStr">
        <is>
          <t>A 33954-2025</t>
        </is>
      </c>
      <c r="B317" s="1" t="n">
        <v>45842.67362268519</v>
      </c>
      <c r="C317" s="1" t="n">
        <v>46075</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33953-2025</t>
        </is>
      </c>
      <c r="B318" s="1" t="n">
        <v>45842.67251157408</v>
      </c>
      <c r="C318" s="1" t="n">
        <v>46075</v>
      </c>
      <c r="D318" t="inlineStr">
        <is>
          <t>UPPSALA LÄN</t>
        </is>
      </c>
      <c r="E318" t="inlineStr">
        <is>
          <t>TIERP</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64540-2023</t>
        </is>
      </c>
      <c r="B319" s="1" t="n">
        <v>45281.37799768519</v>
      </c>
      <c r="C319" s="1" t="n">
        <v>46075</v>
      </c>
      <c r="D319" t="inlineStr">
        <is>
          <t>UPPSALA LÄN</t>
        </is>
      </c>
      <c r="E319" t="inlineStr">
        <is>
          <t>TIERP</t>
        </is>
      </c>
      <c r="G319" t="n">
        <v>2.3</v>
      </c>
      <c r="H319" t="n">
        <v>0</v>
      </c>
      <c r="I319" t="n">
        <v>0</v>
      </c>
      <c r="J319" t="n">
        <v>0</v>
      </c>
      <c r="K319" t="n">
        <v>0</v>
      </c>
      <c r="L319" t="n">
        <v>0</v>
      </c>
      <c r="M319" t="n">
        <v>0</v>
      </c>
      <c r="N319" t="n">
        <v>0</v>
      </c>
      <c r="O319" t="n">
        <v>0</v>
      </c>
      <c r="P319" t="n">
        <v>0</v>
      </c>
      <c r="Q319" t="n">
        <v>0</v>
      </c>
      <c r="R319" s="2" t="inlineStr"/>
    </row>
    <row r="320" ht="15" customHeight="1">
      <c r="A320" t="inlineStr">
        <is>
          <t>A 34455-2025</t>
        </is>
      </c>
      <c r="B320" s="1" t="n">
        <v>45847.32696759259</v>
      </c>
      <c r="C320" s="1" t="n">
        <v>46075</v>
      </c>
      <c r="D320" t="inlineStr">
        <is>
          <t>UPPSALA LÄN</t>
        </is>
      </c>
      <c r="E320" t="inlineStr">
        <is>
          <t>TIERP</t>
        </is>
      </c>
      <c r="G320" t="n">
        <v>1.3</v>
      </c>
      <c r="H320" t="n">
        <v>0</v>
      </c>
      <c r="I320" t="n">
        <v>0</v>
      </c>
      <c r="J320" t="n">
        <v>0</v>
      </c>
      <c r="K320" t="n">
        <v>0</v>
      </c>
      <c r="L320" t="n">
        <v>0</v>
      </c>
      <c r="M320" t="n">
        <v>0</v>
      </c>
      <c r="N320" t="n">
        <v>0</v>
      </c>
      <c r="O320" t="n">
        <v>0</v>
      </c>
      <c r="P320" t="n">
        <v>0</v>
      </c>
      <c r="Q320" t="n">
        <v>0</v>
      </c>
      <c r="R320" s="2" t="inlineStr"/>
    </row>
    <row r="321" ht="15" customHeight="1">
      <c r="A321" t="inlineStr">
        <is>
          <t>A 2301-2024</t>
        </is>
      </c>
      <c r="B321" s="1" t="n">
        <v>45310.44783564815</v>
      </c>
      <c r="C321" s="1" t="n">
        <v>46075</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34922-2025</t>
        </is>
      </c>
      <c r="B322" s="1" t="n">
        <v>45849.55525462963</v>
      </c>
      <c r="C322" s="1" t="n">
        <v>46075</v>
      </c>
      <c r="D322" t="inlineStr">
        <is>
          <t>UPPSALA LÄN</t>
        </is>
      </c>
      <c r="E322" t="inlineStr">
        <is>
          <t>TIERP</t>
        </is>
      </c>
      <c r="G322" t="n">
        <v>4.7</v>
      </c>
      <c r="H322" t="n">
        <v>0</v>
      </c>
      <c r="I322" t="n">
        <v>0</v>
      </c>
      <c r="J322" t="n">
        <v>0</v>
      </c>
      <c r="K322" t="n">
        <v>0</v>
      </c>
      <c r="L322" t="n">
        <v>0</v>
      </c>
      <c r="M322" t="n">
        <v>0</v>
      </c>
      <c r="N322" t="n">
        <v>0</v>
      </c>
      <c r="O322" t="n">
        <v>0</v>
      </c>
      <c r="P322" t="n">
        <v>0</v>
      </c>
      <c r="Q322" t="n">
        <v>0</v>
      </c>
      <c r="R322" s="2" t="inlineStr"/>
    </row>
    <row r="323" ht="15" customHeight="1">
      <c r="A323" t="inlineStr">
        <is>
          <t>A 55780-2024</t>
        </is>
      </c>
      <c r="B323" s="1" t="n">
        <v>45623.41342592592</v>
      </c>
      <c r="C323" s="1" t="n">
        <v>46075</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1572-2023</t>
        </is>
      </c>
      <c r="B324" s="1" t="n">
        <v>44937.61023148148</v>
      </c>
      <c r="C324" s="1" t="n">
        <v>46075</v>
      </c>
      <c r="D324" t="inlineStr">
        <is>
          <t>UPPSALA LÄN</t>
        </is>
      </c>
      <c r="E324" t="inlineStr">
        <is>
          <t>TIERP</t>
        </is>
      </c>
      <c r="G324" t="n">
        <v>7.4</v>
      </c>
      <c r="H324" t="n">
        <v>0</v>
      </c>
      <c r="I324" t="n">
        <v>0</v>
      </c>
      <c r="J324" t="n">
        <v>0</v>
      </c>
      <c r="K324" t="n">
        <v>0</v>
      </c>
      <c r="L324" t="n">
        <v>0</v>
      </c>
      <c r="M324" t="n">
        <v>0</v>
      </c>
      <c r="N324" t="n">
        <v>0</v>
      </c>
      <c r="O324" t="n">
        <v>0</v>
      </c>
      <c r="P324" t="n">
        <v>0</v>
      </c>
      <c r="Q324" t="n">
        <v>0</v>
      </c>
      <c r="R324" s="2" t="inlineStr"/>
    </row>
    <row r="325" ht="15" customHeight="1">
      <c r="A325" t="inlineStr">
        <is>
          <t>A 22529-2025</t>
        </is>
      </c>
      <c r="B325" s="1" t="n">
        <v>45786</v>
      </c>
      <c r="C325" s="1" t="n">
        <v>46075</v>
      </c>
      <c r="D325" t="inlineStr">
        <is>
          <t>UPPSALA LÄN</t>
        </is>
      </c>
      <c r="E325" t="inlineStr">
        <is>
          <t>TIERP</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46075</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33570-2025</t>
        </is>
      </c>
      <c r="B327" s="1" t="n">
        <v>45841</v>
      </c>
      <c r="C327" s="1" t="n">
        <v>46075</v>
      </c>
      <c r="D327" t="inlineStr">
        <is>
          <t>UPPSALA LÄN</t>
        </is>
      </c>
      <c r="E327" t="inlineStr">
        <is>
          <t>TIERP</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57532-2022</t>
        </is>
      </c>
      <c r="B328" s="1" t="n">
        <v>44896.68234953703</v>
      </c>
      <c r="C328" s="1" t="n">
        <v>46075</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57536-2022</t>
        </is>
      </c>
      <c r="B329" s="1" t="n">
        <v>44896.69231481481</v>
      </c>
      <c r="C329" s="1" t="n">
        <v>46075</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73-2023</t>
        </is>
      </c>
      <c r="B330" s="1" t="n">
        <v>44928.45600694444</v>
      </c>
      <c r="C330" s="1" t="n">
        <v>46075</v>
      </c>
      <c r="D330" t="inlineStr">
        <is>
          <t>UPPSALA LÄN</t>
        </is>
      </c>
      <c r="E330" t="inlineStr">
        <is>
          <t>TIERP</t>
        </is>
      </c>
      <c r="G330" t="n">
        <v>2.9</v>
      </c>
      <c r="H330" t="n">
        <v>0</v>
      </c>
      <c r="I330" t="n">
        <v>0</v>
      </c>
      <c r="J330" t="n">
        <v>0</v>
      </c>
      <c r="K330" t="n">
        <v>0</v>
      </c>
      <c r="L330" t="n">
        <v>0</v>
      </c>
      <c r="M330" t="n">
        <v>0</v>
      </c>
      <c r="N330" t="n">
        <v>0</v>
      </c>
      <c r="O330" t="n">
        <v>0</v>
      </c>
      <c r="P330" t="n">
        <v>0</v>
      </c>
      <c r="Q330" t="n">
        <v>0</v>
      </c>
      <c r="R330" s="2" t="inlineStr"/>
    </row>
    <row r="331" ht="15" customHeight="1">
      <c r="A331" t="inlineStr">
        <is>
          <t>A 4329-2023</t>
        </is>
      </c>
      <c r="B331" s="1" t="n">
        <v>44953</v>
      </c>
      <c r="C331" s="1" t="n">
        <v>46075</v>
      </c>
      <c r="D331" t="inlineStr">
        <is>
          <t>UPPSALA LÄN</t>
        </is>
      </c>
      <c r="E331" t="inlineStr">
        <is>
          <t>TIERP</t>
        </is>
      </c>
      <c r="G331" t="n">
        <v>4.9</v>
      </c>
      <c r="H331" t="n">
        <v>0</v>
      </c>
      <c r="I331" t="n">
        <v>0</v>
      </c>
      <c r="J331" t="n">
        <v>0</v>
      </c>
      <c r="K331" t="n">
        <v>0</v>
      </c>
      <c r="L331" t="n">
        <v>0</v>
      </c>
      <c r="M331" t="n">
        <v>0</v>
      </c>
      <c r="N331" t="n">
        <v>0</v>
      </c>
      <c r="O331" t="n">
        <v>0</v>
      </c>
      <c r="P331" t="n">
        <v>0</v>
      </c>
      <c r="Q331" t="n">
        <v>0</v>
      </c>
      <c r="R331" s="2" t="inlineStr"/>
    </row>
    <row r="332" ht="15" customHeight="1">
      <c r="A332" t="inlineStr">
        <is>
          <t>A 44659-2025</t>
        </is>
      </c>
      <c r="B332" s="1" t="n">
        <v>45917.55430555555</v>
      </c>
      <c r="C332" s="1" t="n">
        <v>46075</v>
      </c>
      <c r="D332" t="inlineStr">
        <is>
          <t>UPPSALA LÄN</t>
        </is>
      </c>
      <c r="E332" t="inlineStr">
        <is>
          <t>TIERP</t>
        </is>
      </c>
      <c r="F332" t="inlineStr">
        <is>
          <t>Bergvik skog väst AB</t>
        </is>
      </c>
      <c r="G332" t="n">
        <v>12.2</v>
      </c>
      <c r="H332" t="n">
        <v>0</v>
      </c>
      <c r="I332" t="n">
        <v>0</v>
      </c>
      <c r="J332" t="n">
        <v>0</v>
      </c>
      <c r="K332" t="n">
        <v>0</v>
      </c>
      <c r="L332" t="n">
        <v>0</v>
      </c>
      <c r="M332" t="n">
        <v>0</v>
      </c>
      <c r="N332" t="n">
        <v>0</v>
      </c>
      <c r="O332" t="n">
        <v>0</v>
      </c>
      <c r="P332" t="n">
        <v>0</v>
      </c>
      <c r="Q332" t="n">
        <v>0</v>
      </c>
      <c r="R332" s="2" t="inlineStr"/>
    </row>
    <row r="333" ht="15" customHeight="1">
      <c r="A333" t="inlineStr">
        <is>
          <t>A 43713-2022</t>
        </is>
      </c>
      <c r="B333" s="1" t="n">
        <v>44837.66217592593</v>
      </c>
      <c r="C333" s="1" t="n">
        <v>46075</v>
      </c>
      <c r="D333" t="inlineStr">
        <is>
          <t>UPPSALA LÄN</t>
        </is>
      </c>
      <c r="E333" t="inlineStr">
        <is>
          <t>TIERP</t>
        </is>
      </c>
      <c r="G333" t="n">
        <v>3.4</v>
      </c>
      <c r="H333" t="n">
        <v>0</v>
      </c>
      <c r="I333" t="n">
        <v>0</v>
      </c>
      <c r="J333" t="n">
        <v>0</v>
      </c>
      <c r="K333" t="n">
        <v>0</v>
      </c>
      <c r="L333" t="n">
        <v>0</v>
      </c>
      <c r="M333" t="n">
        <v>0</v>
      </c>
      <c r="N333" t="n">
        <v>0</v>
      </c>
      <c r="O333" t="n">
        <v>0</v>
      </c>
      <c r="P333" t="n">
        <v>0</v>
      </c>
      <c r="Q333" t="n">
        <v>0</v>
      </c>
      <c r="R333" s="2" t="inlineStr"/>
    </row>
    <row r="334" ht="15" customHeight="1">
      <c r="A334" t="inlineStr">
        <is>
          <t>A 35196-2025</t>
        </is>
      </c>
      <c r="B334" s="1" t="n">
        <v>45853</v>
      </c>
      <c r="C334" s="1" t="n">
        <v>46075</v>
      </c>
      <c r="D334" t="inlineStr">
        <is>
          <t>UPPSALA LÄN</t>
        </is>
      </c>
      <c r="E334" t="inlineStr">
        <is>
          <t>TIERP</t>
        </is>
      </c>
      <c r="G334" t="n">
        <v>2.6</v>
      </c>
      <c r="H334" t="n">
        <v>0</v>
      </c>
      <c r="I334" t="n">
        <v>0</v>
      </c>
      <c r="J334" t="n">
        <v>0</v>
      </c>
      <c r="K334" t="n">
        <v>0</v>
      </c>
      <c r="L334" t="n">
        <v>0</v>
      </c>
      <c r="M334" t="n">
        <v>0</v>
      </c>
      <c r="N334" t="n">
        <v>0</v>
      </c>
      <c r="O334" t="n">
        <v>0</v>
      </c>
      <c r="P334" t="n">
        <v>0</v>
      </c>
      <c r="Q334" t="n">
        <v>0</v>
      </c>
      <c r="R334" s="2" t="inlineStr"/>
    </row>
    <row r="335" ht="15" customHeight="1">
      <c r="A335" t="inlineStr">
        <is>
          <t>A 44675-2025</t>
        </is>
      </c>
      <c r="B335" s="1" t="n">
        <v>45917.56850694444</v>
      </c>
      <c r="C335" s="1" t="n">
        <v>46075</v>
      </c>
      <c r="D335" t="inlineStr">
        <is>
          <t>UPPSALA LÄN</t>
        </is>
      </c>
      <c r="E335" t="inlineStr">
        <is>
          <t>TIERP</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34044-2025</t>
        </is>
      </c>
      <c r="B336" s="1" t="n">
        <v>45845.38168981481</v>
      </c>
      <c r="C336" s="1" t="n">
        <v>46075</v>
      </c>
      <c r="D336" t="inlineStr">
        <is>
          <t>UPPSALA LÄN</t>
        </is>
      </c>
      <c r="E336" t="inlineStr">
        <is>
          <t>TIERP</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61615-2022</t>
        </is>
      </c>
      <c r="B337" s="1" t="n">
        <v>44916.66769675926</v>
      </c>
      <c r="C337" s="1" t="n">
        <v>46075</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30125-2024</t>
        </is>
      </c>
      <c r="B338" s="1" t="n">
        <v>45489</v>
      </c>
      <c r="C338" s="1" t="n">
        <v>46075</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1202-2025</t>
        </is>
      </c>
      <c r="B339" s="1" t="n">
        <v>45667</v>
      </c>
      <c r="C339" s="1" t="n">
        <v>46075</v>
      </c>
      <c r="D339" t="inlineStr">
        <is>
          <t>UPPSALA LÄN</t>
        </is>
      </c>
      <c r="E339" t="inlineStr">
        <is>
          <t>TIERP</t>
        </is>
      </c>
      <c r="G339" t="n">
        <v>3.1</v>
      </c>
      <c r="H339" t="n">
        <v>0</v>
      </c>
      <c r="I339" t="n">
        <v>0</v>
      </c>
      <c r="J339" t="n">
        <v>0</v>
      </c>
      <c r="K339" t="n">
        <v>0</v>
      </c>
      <c r="L339" t="n">
        <v>0</v>
      </c>
      <c r="M339" t="n">
        <v>0</v>
      </c>
      <c r="N339" t="n">
        <v>0</v>
      </c>
      <c r="O339" t="n">
        <v>0</v>
      </c>
      <c r="P339" t="n">
        <v>0</v>
      </c>
      <c r="Q339" t="n">
        <v>0</v>
      </c>
      <c r="R339" s="2" t="inlineStr"/>
    </row>
    <row r="340" ht="15" customHeight="1">
      <c r="A340" t="inlineStr">
        <is>
          <t>A 31421-2025</t>
        </is>
      </c>
      <c r="B340" s="1" t="n">
        <v>45833.48898148148</v>
      </c>
      <c r="C340" s="1" t="n">
        <v>46075</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31383-2025</t>
        </is>
      </c>
      <c r="B341" s="1" t="n">
        <v>45833.45049768518</v>
      </c>
      <c r="C341" s="1" t="n">
        <v>46075</v>
      </c>
      <c r="D341" t="inlineStr">
        <is>
          <t>UPPSALA LÄN</t>
        </is>
      </c>
      <c r="E341" t="inlineStr">
        <is>
          <t>TIERP</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34035-2025</t>
        </is>
      </c>
      <c r="B342" s="1" t="n">
        <v>45845.36872685186</v>
      </c>
      <c r="C342" s="1" t="n">
        <v>46075</v>
      </c>
      <c r="D342" t="inlineStr">
        <is>
          <t>UPPSALA LÄN</t>
        </is>
      </c>
      <c r="E342" t="inlineStr">
        <is>
          <t>TIERP</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34730-2025</t>
        </is>
      </c>
      <c r="B343" s="1" t="n">
        <v>45848.58708333333</v>
      </c>
      <c r="C343" s="1" t="n">
        <v>46075</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43871-2025</t>
        </is>
      </c>
      <c r="B344" s="1" t="n">
        <v>45912.66787037037</v>
      </c>
      <c r="C344" s="1" t="n">
        <v>46075</v>
      </c>
      <c r="D344" t="inlineStr">
        <is>
          <t>UPPSALA LÄN</t>
        </is>
      </c>
      <c r="E344" t="inlineStr">
        <is>
          <t>TIERP</t>
        </is>
      </c>
      <c r="G344" t="n">
        <v>3.9</v>
      </c>
      <c r="H344" t="n">
        <v>0</v>
      </c>
      <c r="I344" t="n">
        <v>0</v>
      </c>
      <c r="J344" t="n">
        <v>0</v>
      </c>
      <c r="K344" t="n">
        <v>0</v>
      </c>
      <c r="L344" t="n">
        <v>0</v>
      </c>
      <c r="M344" t="n">
        <v>0</v>
      </c>
      <c r="N344" t="n">
        <v>0</v>
      </c>
      <c r="O344" t="n">
        <v>0</v>
      </c>
      <c r="P344" t="n">
        <v>0</v>
      </c>
      <c r="Q344" t="n">
        <v>0</v>
      </c>
      <c r="R344" s="2" t="inlineStr"/>
    </row>
    <row r="345" ht="15" customHeight="1">
      <c r="A345" t="inlineStr">
        <is>
          <t>A 43874-2025</t>
        </is>
      </c>
      <c r="B345" s="1" t="n">
        <v>45912.67517361111</v>
      </c>
      <c r="C345" s="1" t="n">
        <v>46075</v>
      </c>
      <c r="D345" t="inlineStr">
        <is>
          <t>UPPSALA LÄN</t>
        </is>
      </c>
      <c r="E345" t="inlineStr">
        <is>
          <t>TIERP</t>
        </is>
      </c>
      <c r="G345" t="n">
        <v>0.4</v>
      </c>
      <c r="H345" t="n">
        <v>0</v>
      </c>
      <c r="I345" t="n">
        <v>0</v>
      </c>
      <c r="J345" t="n">
        <v>0</v>
      </c>
      <c r="K345" t="n">
        <v>0</v>
      </c>
      <c r="L345" t="n">
        <v>0</v>
      </c>
      <c r="M345" t="n">
        <v>0</v>
      </c>
      <c r="N345" t="n">
        <v>0</v>
      </c>
      <c r="O345" t="n">
        <v>0</v>
      </c>
      <c r="P345" t="n">
        <v>0</v>
      </c>
      <c r="Q345" t="n">
        <v>0</v>
      </c>
      <c r="R345" s="2" t="inlineStr"/>
    </row>
    <row r="346" ht="15" customHeight="1">
      <c r="A346" t="inlineStr">
        <is>
          <t>A 30110-2024</t>
        </is>
      </c>
      <c r="B346" s="1" t="n">
        <v>45489</v>
      </c>
      <c r="C346" s="1" t="n">
        <v>46075</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46075</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22672-2023</t>
        </is>
      </c>
      <c r="B348" s="1" t="n">
        <v>45071.64012731481</v>
      </c>
      <c r="C348" s="1" t="n">
        <v>46075</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59923-2023</t>
        </is>
      </c>
      <c r="B349" s="1" t="n">
        <v>45257.65261574074</v>
      </c>
      <c r="C349" s="1" t="n">
        <v>46075</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56947-2022</t>
        </is>
      </c>
      <c r="B350" s="1" t="n">
        <v>44894</v>
      </c>
      <c r="C350" s="1" t="n">
        <v>46075</v>
      </c>
      <c r="D350" t="inlineStr">
        <is>
          <t>UPPSALA LÄN</t>
        </is>
      </c>
      <c r="E350" t="inlineStr">
        <is>
          <t>TIERP</t>
        </is>
      </c>
      <c r="G350" t="n">
        <v>1.2</v>
      </c>
      <c r="H350" t="n">
        <v>0</v>
      </c>
      <c r="I350" t="n">
        <v>0</v>
      </c>
      <c r="J350" t="n">
        <v>0</v>
      </c>
      <c r="K350" t="n">
        <v>0</v>
      </c>
      <c r="L350" t="n">
        <v>0</v>
      </c>
      <c r="M350" t="n">
        <v>0</v>
      </c>
      <c r="N350" t="n">
        <v>0</v>
      </c>
      <c r="O350" t="n">
        <v>0</v>
      </c>
      <c r="P350" t="n">
        <v>0</v>
      </c>
      <c r="Q350" t="n">
        <v>0</v>
      </c>
      <c r="R350" s="2" t="inlineStr"/>
    </row>
    <row r="351" ht="15" customHeight="1">
      <c r="A351" t="inlineStr">
        <is>
          <t>A 47505-2024</t>
        </is>
      </c>
      <c r="B351" s="1" t="n">
        <v>45587.60459490741</v>
      </c>
      <c r="C351" s="1" t="n">
        <v>46075</v>
      </c>
      <c r="D351" t="inlineStr">
        <is>
          <t>UPPSALA LÄN</t>
        </is>
      </c>
      <c r="E351" t="inlineStr">
        <is>
          <t>TIERP</t>
        </is>
      </c>
      <c r="G351" t="n">
        <v>0.4</v>
      </c>
      <c r="H351" t="n">
        <v>0</v>
      </c>
      <c r="I351" t="n">
        <v>0</v>
      </c>
      <c r="J351" t="n">
        <v>0</v>
      </c>
      <c r="K351" t="n">
        <v>0</v>
      </c>
      <c r="L351" t="n">
        <v>0</v>
      </c>
      <c r="M351" t="n">
        <v>0</v>
      </c>
      <c r="N351" t="n">
        <v>0</v>
      </c>
      <c r="O351" t="n">
        <v>0</v>
      </c>
      <c r="P351" t="n">
        <v>0</v>
      </c>
      <c r="Q351" t="n">
        <v>0</v>
      </c>
      <c r="R351" s="2" t="inlineStr"/>
    </row>
    <row r="352" ht="15" customHeight="1">
      <c r="A352" t="inlineStr">
        <is>
          <t>A 35105-2025</t>
        </is>
      </c>
      <c r="B352" s="1" t="n">
        <v>45852.57078703704</v>
      </c>
      <c r="C352" s="1" t="n">
        <v>46075</v>
      </c>
      <c r="D352" t="inlineStr">
        <is>
          <t>UPPSALA LÄN</t>
        </is>
      </c>
      <c r="E352" t="inlineStr">
        <is>
          <t>TIERP</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45769-2022</t>
        </is>
      </c>
      <c r="B353" s="1" t="n">
        <v>44846.38762731481</v>
      </c>
      <c r="C353" s="1" t="n">
        <v>46075</v>
      </c>
      <c r="D353" t="inlineStr">
        <is>
          <t>UPPSALA LÄN</t>
        </is>
      </c>
      <c r="E353" t="inlineStr">
        <is>
          <t>TIERP</t>
        </is>
      </c>
      <c r="G353" t="n">
        <v>1.2</v>
      </c>
      <c r="H353" t="n">
        <v>0</v>
      </c>
      <c r="I353" t="n">
        <v>0</v>
      </c>
      <c r="J353" t="n">
        <v>0</v>
      </c>
      <c r="K353" t="n">
        <v>0</v>
      </c>
      <c r="L353" t="n">
        <v>0</v>
      </c>
      <c r="M353" t="n">
        <v>0</v>
      </c>
      <c r="N353" t="n">
        <v>0</v>
      </c>
      <c r="O353" t="n">
        <v>0</v>
      </c>
      <c r="P353" t="n">
        <v>0</v>
      </c>
      <c r="Q353" t="n">
        <v>0</v>
      </c>
      <c r="R353" s="2" t="inlineStr"/>
    </row>
    <row r="354" ht="15" customHeight="1">
      <c r="A354" t="inlineStr">
        <is>
          <t>A 43873-2025</t>
        </is>
      </c>
      <c r="B354" s="1" t="n">
        <v>45912.67254629629</v>
      </c>
      <c r="C354" s="1" t="n">
        <v>46075</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35011-2025</t>
        </is>
      </c>
      <c r="B355" s="1" t="n">
        <v>45851.55418981481</v>
      </c>
      <c r="C355" s="1" t="n">
        <v>46075</v>
      </c>
      <c r="D355" t="inlineStr">
        <is>
          <t>UPPSALA LÄN</t>
        </is>
      </c>
      <c r="E355" t="inlineStr">
        <is>
          <t>TIERP</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1056-2025</t>
        </is>
      </c>
      <c r="B356" s="1" t="n">
        <v>45666</v>
      </c>
      <c r="C356" s="1" t="n">
        <v>46075</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22528-2025</t>
        </is>
      </c>
      <c r="B357" s="1" t="n">
        <v>45786</v>
      </c>
      <c r="C357" s="1" t="n">
        <v>46075</v>
      </c>
      <c r="D357" t="inlineStr">
        <is>
          <t>UPPSALA LÄN</t>
        </is>
      </c>
      <c r="E357" t="inlineStr">
        <is>
          <t>TIERP</t>
        </is>
      </c>
      <c r="F357" t="inlineStr">
        <is>
          <t>Övriga Aktiebolag</t>
        </is>
      </c>
      <c r="G357" t="n">
        <v>7.7</v>
      </c>
      <c r="H357" t="n">
        <v>0</v>
      </c>
      <c r="I357" t="n">
        <v>0</v>
      </c>
      <c r="J357" t="n">
        <v>0</v>
      </c>
      <c r="K357" t="n">
        <v>0</v>
      </c>
      <c r="L357" t="n">
        <v>0</v>
      </c>
      <c r="M357" t="n">
        <v>0</v>
      </c>
      <c r="N357" t="n">
        <v>0</v>
      </c>
      <c r="O357" t="n">
        <v>0</v>
      </c>
      <c r="P357" t="n">
        <v>0</v>
      </c>
      <c r="Q357" t="n">
        <v>0</v>
      </c>
      <c r="R357" s="2" t="inlineStr"/>
    </row>
    <row r="358" ht="15" customHeight="1">
      <c r="A358" t="inlineStr">
        <is>
          <t>A 35195-2025</t>
        </is>
      </c>
      <c r="B358" s="1" t="n">
        <v>45853.36192129629</v>
      </c>
      <c r="C358" s="1" t="n">
        <v>46075</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46075</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57822-2024</t>
        </is>
      </c>
      <c r="B360" s="1" t="n">
        <v>45631.38398148148</v>
      </c>
      <c r="C360" s="1" t="n">
        <v>46075</v>
      </c>
      <c r="D360" t="inlineStr">
        <is>
          <t>UPPSALA LÄN</t>
        </is>
      </c>
      <c r="E360" t="inlineStr">
        <is>
          <t>TIERP</t>
        </is>
      </c>
      <c r="G360" t="n">
        <v>1.3</v>
      </c>
      <c r="H360" t="n">
        <v>0</v>
      </c>
      <c r="I360" t="n">
        <v>0</v>
      </c>
      <c r="J360" t="n">
        <v>0</v>
      </c>
      <c r="K360" t="n">
        <v>0</v>
      </c>
      <c r="L360" t="n">
        <v>0</v>
      </c>
      <c r="M360" t="n">
        <v>0</v>
      </c>
      <c r="N360" t="n">
        <v>0</v>
      </c>
      <c r="O360" t="n">
        <v>0</v>
      </c>
      <c r="P360" t="n">
        <v>0</v>
      </c>
      <c r="Q360" t="n">
        <v>0</v>
      </c>
      <c r="R360" s="2" t="inlineStr"/>
    </row>
    <row r="361" ht="15" customHeight="1">
      <c r="A361" t="inlineStr">
        <is>
          <t>A 44612-2025</t>
        </is>
      </c>
      <c r="B361" s="1" t="n">
        <v>45917.45171296296</v>
      </c>
      <c r="C361" s="1" t="n">
        <v>46075</v>
      </c>
      <c r="D361" t="inlineStr">
        <is>
          <t>UPPSALA LÄN</t>
        </is>
      </c>
      <c r="E361" t="inlineStr">
        <is>
          <t>TIERP</t>
        </is>
      </c>
      <c r="G361" t="n">
        <v>2.6</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46075</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35112-2025</t>
        </is>
      </c>
      <c r="B363" s="1" t="n">
        <v>45852.58104166666</v>
      </c>
      <c r="C363" s="1" t="n">
        <v>46075</v>
      </c>
      <c r="D363" t="inlineStr">
        <is>
          <t>UPPSALA LÄN</t>
        </is>
      </c>
      <c r="E363" t="inlineStr">
        <is>
          <t>TIERP</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35118-2025</t>
        </is>
      </c>
      <c r="B364" s="1" t="n">
        <v>45852.59546296296</v>
      </c>
      <c r="C364" s="1" t="n">
        <v>46075</v>
      </c>
      <c r="D364" t="inlineStr">
        <is>
          <t>UPPSALA LÄN</t>
        </is>
      </c>
      <c r="E364" t="inlineStr">
        <is>
          <t>TIERP</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27269-2025</t>
        </is>
      </c>
      <c r="B365" s="1" t="n">
        <v>45812.49445601852</v>
      </c>
      <c r="C365" s="1" t="n">
        <v>46075</v>
      </c>
      <c r="D365" t="inlineStr">
        <is>
          <t>UPPSALA LÄN</t>
        </is>
      </c>
      <c r="E365" t="inlineStr">
        <is>
          <t>TIERP</t>
        </is>
      </c>
      <c r="G365" t="n">
        <v>1.3</v>
      </c>
      <c r="H365" t="n">
        <v>0</v>
      </c>
      <c r="I365" t="n">
        <v>0</v>
      </c>
      <c r="J365" t="n">
        <v>0</v>
      </c>
      <c r="K365" t="n">
        <v>0</v>
      </c>
      <c r="L365" t="n">
        <v>0</v>
      </c>
      <c r="M365" t="n">
        <v>0</v>
      </c>
      <c r="N365" t="n">
        <v>0</v>
      </c>
      <c r="O365" t="n">
        <v>0</v>
      </c>
      <c r="P365" t="n">
        <v>0</v>
      </c>
      <c r="Q365" t="n">
        <v>0</v>
      </c>
      <c r="R365" s="2" t="inlineStr"/>
    </row>
    <row r="366" ht="15" customHeight="1">
      <c r="A366" t="inlineStr">
        <is>
          <t>A 61280-2024</t>
        </is>
      </c>
      <c r="B366" s="1" t="n">
        <v>45645</v>
      </c>
      <c r="C366" s="1" t="n">
        <v>46075</v>
      </c>
      <c r="D366" t="inlineStr">
        <is>
          <t>UPPSALA LÄN</t>
        </is>
      </c>
      <c r="E366" t="inlineStr">
        <is>
          <t>TIERP</t>
        </is>
      </c>
      <c r="G366" t="n">
        <v>5.4</v>
      </c>
      <c r="H366" t="n">
        <v>0</v>
      </c>
      <c r="I366" t="n">
        <v>0</v>
      </c>
      <c r="J366" t="n">
        <v>0</v>
      </c>
      <c r="K366" t="n">
        <v>0</v>
      </c>
      <c r="L366" t="n">
        <v>0</v>
      </c>
      <c r="M366" t="n">
        <v>0</v>
      </c>
      <c r="N366" t="n">
        <v>0</v>
      </c>
      <c r="O366" t="n">
        <v>0</v>
      </c>
      <c r="P366" t="n">
        <v>0</v>
      </c>
      <c r="Q366" t="n">
        <v>0</v>
      </c>
      <c r="R366" s="2" t="inlineStr"/>
    </row>
    <row r="367" ht="15" customHeight="1">
      <c r="A367" t="inlineStr">
        <is>
          <t>A 14241-2024</t>
        </is>
      </c>
      <c r="B367" s="1" t="n">
        <v>45393</v>
      </c>
      <c r="C367" s="1" t="n">
        <v>46075</v>
      </c>
      <c r="D367" t="inlineStr">
        <is>
          <t>UPPSALA LÄN</t>
        </is>
      </c>
      <c r="E367" t="inlineStr">
        <is>
          <t>TIERP</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35108-2025</t>
        </is>
      </c>
      <c r="B368" s="1" t="n">
        <v>45852.5746412037</v>
      </c>
      <c r="C368" s="1" t="n">
        <v>46075</v>
      </c>
      <c r="D368" t="inlineStr">
        <is>
          <t>UPPSALA LÄN</t>
        </is>
      </c>
      <c r="E368" t="inlineStr">
        <is>
          <t>TIERP</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35012-2025</t>
        </is>
      </c>
      <c r="B369" s="1" t="n">
        <v>45851.55586805556</v>
      </c>
      <c r="C369" s="1" t="n">
        <v>46075</v>
      </c>
      <c r="D369" t="inlineStr">
        <is>
          <t>UPPSALA LÄN</t>
        </is>
      </c>
      <c r="E369" t="inlineStr">
        <is>
          <t>TIERP</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35013-2025</t>
        </is>
      </c>
      <c r="B370" s="1" t="n">
        <v>45851.55748842593</v>
      </c>
      <c r="C370" s="1" t="n">
        <v>46075</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6364-2023</t>
        </is>
      </c>
      <c r="B371" s="1" t="n">
        <v>44965.60422453703</v>
      </c>
      <c r="C371" s="1" t="n">
        <v>46075</v>
      </c>
      <c r="D371" t="inlineStr">
        <is>
          <t>UPPSALA LÄN</t>
        </is>
      </c>
      <c r="E371" t="inlineStr">
        <is>
          <t>TIERP</t>
        </is>
      </c>
      <c r="G371" t="n">
        <v>2.2</v>
      </c>
      <c r="H371" t="n">
        <v>0</v>
      </c>
      <c r="I371" t="n">
        <v>0</v>
      </c>
      <c r="J371" t="n">
        <v>0</v>
      </c>
      <c r="K371" t="n">
        <v>0</v>
      </c>
      <c r="L371" t="n">
        <v>0</v>
      </c>
      <c r="M371" t="n">
        <v>0</v>
      </c>
      <c r="N371" t="n">
        <v>0</v>
      </c>
      <c r="O371" t="n">
        <v>0</v>
      </c>
      <c r="P371" t="n">
        <v>0</v>
      </c>
      <c r="Q371" t="n">
        <v>0</v>
      </c>
      <c r="R371" s="2" t="inlineStr"/>
    </row>
    <row r="372" ht="15" customHeight="1">
      <c r="A372" t="inlineStr">
        <is>
          <t>A 45310-2025</t>
        </is>
      </c>
      <c r="B372" s="1" t="n">
        <v>45921.71658564815</v>
      </c>
      <c r="C372" s="1" t="n">
        <v>46075</v>
      </c>
      <c r="D372" t="inlineStr">
        <is>
          <t>UPPSALA LÄN</t>
        </is>
      </c>
      <c r="E372" t="inlineStr">
        <is>
          <t>TIERP</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45308-2025</t>
        </is>
      </c>
      <c r="B373" s="1" t="n">
        <v>45921.71239583333</v>
      </c>
      <c r="C373" s="1" t="n">
        <v>46075</v>
      </c>
      <c r="D373" t="inlineStr">
        <is>
          <t>UPPSALA LÄN</t>
        </is>
      </c>
      <c r="E373" t="inlineStr">
        <is>
          <t>TIERP</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45586-2025</t>
        </is>
      </c>
      <c r="B374" s="1" t="n">
        <v>45922.66908564815</v>
      </c>
      <c r="C374" s="1" t="n">
        <v>46075</v>
      </c>
      <c r="D374" t="inlineStr">
        <is>
          <t>UPPSALA LÄN</t>
        </is>
      </c>
      <c r="E374" t="inlineStr">
        <is>
          <t>TIERP</t>
        </is>
      </c>
      <c r="G374" t="n">
        <v>1.2</v>
      </c>
      <c r="H374" t="n">
        <v>0</v>
      </c>
      <c r="I374" t="n">
        <v>0</v>
      </c>
      <c r="J374" t="n">
        <v>0</v>
      </c>
      <c r="K374" t="n">
        <v>0</v>
      </c>
      <c r="L374" t="n">
        <v>0</v>
      </c>
      <c r="M374" t="n">
        <v>0</v>
      </c>
      <c r="N374" t="n">
        <v>0</v>
      </c>
      <c r="O374" t="n">
        <v>0</v>
      </c>
      <c r="P374" t="n">
        <v>0</v>
      </c>
      <c r="Q374" t="n">
        <v>0</v>
      </c>
      <c r="R374" s="2" t="inlineStr"/>
    </row>
    <row r="375" ht="15" customHeight="1">
      <c r="A375" t="inlineStr">
        <is>
          <t>A 45449-2025</t>
        </is>
      </c>
      <c r="B375" s="1" t="n">
        <v>45922.48269675926</v>
      </c>
      <c r="C375" s="1" t="n">
        <v>46075</v>
      </c>
      <c r="D375" t="inlineStr">
        <is>
          <t>UPPSALA LÄN</t>
        </is>
      </c>
      <c r="E375" t="inlineStr">
        <is>
          <t>TIERP</t>
        </is>
      </c>
      <c r="G375" t="n">
        <v>3.2</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46075</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22135-2025</t>
        </is>
      </c>
      <c r="B377" s="1" t="n">
        <v>45785.54427083334</v>
      </c>
      <c r="C377" s="1" t="n">
        <v>46075</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12809-2025</t>
        </is>
      </c>
      <c r="B378" s="1" t="n">
        <v>45733.6156712963</v>
      </c>
      <c r="C378" s="1" t="n">
        <v>46075</v>
      </c>
      <c r="D378" t="inlineStr">
        <is>
          <t>UPPSALA LÄN</t>
        </is>
      </c>
      <c r="E378" t="inlineStr">
        <is>
          <t>TIERP</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14516-2025</t>
        </is>
      </c>
      <c r="B379" s="1" t="n">
        <v>45741.6415162037</v>
      </c>
      <c r="C379" s="1" t="n">
        <v>46075</v>
      </c>
      <c r="D379" t="inlineStr">
        <is>
          <t>UPPSALA LÄN</t>
        </is>
      </c>
      <c r="E379" t="inlineStr">
        <is>
          <t>TIERP</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45311-2025</t>
        </is>
      </c>
      <c r="B380" s="1" t="n">
        <v>45921.71875</v>
      </c>
      <c r="C380" s="1" t="n">
        <v>46075</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45328-2025</t>
        </is>
      </c>
      <c r="B381" s="1" t="n">
        <v>45922.33063657407</v>
      </c>
      <c r="C381" s="1" t="n">
        <v>46075</v>
      </c>
      <c r="D381" t="inlineStr">
        <is>
          <t>UPPSALA LÄN</t>
        </is>
      </c>
      <c r="E381" t="inlineStr">
        <is>
          <t>TIERP</t>
        </is>
      </c>
      <c r="G381" t="n">
        <v>0.9</v>
      </c>
      <c r="H381" t="n">
        <v>0</v>
      </c>
      <c r="I381" t="n">
        <v>0</v>
      </c>
      <c r="J381" t="n">
        <v>0</v>
      </c>
      <c r="K381" t="n">
        <v>0</v>
      </c>
      <c r="L381" t="n">
        <v>0</v>
      </c>
      <c r="M381" t="n">
        <v>0</v>
      </c>
      <c r="N381" t="n">
        <v>0</v>
      </c>
      <c r="O381" t="n">
        <v>0</v>
      </c>
      <c r="P381" t="n">
        <v>0</v>
      </c>
      <c r="Q381" t="n">
        <v>0</v>
      </c>
      <c r="R381" s="2" t="inlineStr"/>
    </row>
    <row r="382" ht="15" customHeight="1">
      <c r="A382" t="inlineStr">
        <is>
          <t>A 46512-2024</t>
        </is>
      </c>
      <c r="B382" s="1" t="n">
        <v>45582.62050925926</v>
      </c>
      <c r="C382" s="1" t="n">
        <v>46075</v>
      </c>
      <c r="D382" t="inlineStr">
        <is>
          <t>UPPSALA LÄN</t>
        </is>
      </c>
      <c r="E382" t="inlineStr">
        <is>
          <t>TIERP</t>
        </is>
      </c>
      <c r="G382" t="n">
        <v>6.3</v>
      </c>
      <c r="H382" t="n">
        <v>0</v>
      </c>
      <c r="I382" t="n">
        <v>0</v>
      </c>
      <c r="J382" t="n">
        <v>0</v>
      </c>
      <c r="K382" t="n">
        <v>0</v>
      </c>
      <c r="L382" t="n">
        <v>0</v>
      </c>
      <c r="M382" t="n">
        <v>0</v>
      </c>
      <c r="N382" t="n">
        <v>0</v>
      </c>
      <c r="O382" t="n">
        <v>0</v>
      </c>
      <c r="P382" t="n">
        <v>0</v>
      </c>
      <c r="Q382" t="n">
        <v>0</v>
      </c>
      <c r="R382" s="2" t="inlineStr"/>
    </row>
    <row r="383" ht="15" customHeight="1">
      <c r="A383" t="inlineStr">
        <is>
          <t>A 35921-2025</t>
        </is>
      </c>
      <c r="B383" s="1" t="n">
        <v>45862.56547453703</v>
      </c>
      <c r="C383" s="1" t="n">
        <v>46075</v>
      </c>
      <c r="D383" t="inlineStr">
        <is>
          <t>UPPSALA LÄN</t>
        </is>
      </c>
      <c r="E383" t="inlineStr">
        <is>
          <t>TIERP</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35119-2025</t>
        </is>
      </c>
      <c r="B384" s="1" t="n">
        <v>45852.60275462963</v>
      </c>
      <c r="C384" s="1" t="n">
        <v>46075</v>
      </c>
      <c r="D384" t="inlineStr">
        <is>
          <t>UPPSALA LÄN</t>
        </is>
      </c>
      <c r="E384" t="inlineStr">
        <is>
          <t>TIERP</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49946-2022</t>
        </is>
      </c>
      <c r="B385" s="1" t="n">
        <v>44865</v>
      </c>
      <c r="C385" s="1" t="n">
        <v>46075</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21017-2022</t>
        </is>
      </c>
      <c r="B386" s="1" t="n">
        <v>44704</v>
      </c>
      <c r="C386" s="1" t="n">
        <v>46075</v>
      </c>
      <c r="D386" t="inlineStr">
        <is>
          <t>UPPSALA LÄN</t>
        </is>
      </c>
      <c r="E386" t="inlineStr">
        <is>
          <t>TIERP</t>
        </is>
      </c>
      <c r="G386" t="n">
        <v>3.5</v>
      </c>
      <c r="H386" t="n">
        <v>0</v>
      </c>
      <c r="I386" t="n">
        <v>0</v>
      </c>
      <c r="J386" t="n">
        <v>0</v>
      </c>
      <c r="K386" t="n">
        <v>0</v>
      </c>
      <c r="L386" t="n">
        <v>0</v>
      </c>
      <c r="M386" t="n">
        <v>0</v>
      </c>
      <c r="N386" t="n">
        <v>0</v>
      </c>
      <c r="O386" t="n">
        <v>0</v>
      </c>
      <c r="P386" t="n">
        <v>0</v>
      </c>
      <c r="Q386" t="n">
        <v>0</v>
      </c>
      <c r="R386" s="2" t="inlineStr"/>
    </row>
    <row r="387" ht="15" customHeight="1">
      <c r="A387" t="inlineStr">
        <is>
          <t>A 21034-2022</t>
        </is>
      </c>
      <c r="B387" s="1" t="n">
        <v>44704.40528935185</v>
      </c>
      <c r="C387" s="1" t="n">
        <v>46075</v>
      </c>
      <c r="D387" t="inlineStr">
        <is>
          <t>UPPSALA LÄN</t>
        </is>
      </c>
      <c r="E387" t="inlineStr">
        <is>
          <t>TIERP</t>
        </is>
      </c>
      <c r="G387" t="n">
        <v>4</v>
      </c>
      <c r="H387" t="n">
        <v>0</v>
      </c>
      <c r="I387" t="n">
        <v>0</v>
      </c>
      <c r="J387" t="n">
        <v>0</v>
      </c>
      <c r="K387" t="n">
        <v>0</v>
      </c>
      <c r="L387" t="n">
        <v>0</v>
      </c>
      <c r="M387" t="n">
        <v>0</v>
      </c>
      <c r="N387" t="n">
        <v>0</v>
      </c>
      <c r="O387" t="n">
        <v>0</v>
      </c>
      <c r="P387" t="n">
        <v>0</v>
      </c>
      <c r="Q387" t="n">
        <v>0</v>
      </c>
      <c r="R387" s="2" t="inlineStr"/>
    </row>
    <row r="388" ht="15" customHeight="1">
      <c r="A388" t="inlineStr">
        <is>
          <t>A 35911-2025</t>
        </is>
      </c>
      <c r="B388" s="1" t="n">
        <v>45862.52585648148</v>
      </c>
      <c r="C388" s="1" t="n">
        <v>46075</v>
      </c>
      <c r="D388" t="inlineStr">
        <is>
          <t>UPPSALA LÄN</t>
        </is>
      </c>
      <c r="E388" t="inlineStr">
        <is>
          <t>TIERP</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35913-2025</t>
        </is>
      </c>
      <c r="B389" s="1" t="n">
        <v>45862.53918981482</v>
      </c>
      <c r="C389" s="1" t="n">
        <v>46075</v>
      </c>
      <c r="D389" t="inlineStr">
        <is>
          <t>UPPSALA LÄN</t>
        </is>
      </c>
      <c r="E389" t="inlineStr">
        <is>
          <t>TIERP</t>
        </is>
      </c>
      <c r="F389" t="inlineStr">
        <is>
          <t>Bergvik skog öst AB</t>
        </is>
      </c>
      <c r="G389" t="n">
        <v>3.5</v>
      </c>
      <c r="H389" t="n">
        <v>0</v>
      </c>
      <c r="I389" t="n">
        <v>0</v>
      </c>
      <c r="J389" t="n">
        <v>0</v>
      </c>
      <c r="K389" t="n">
        <v>0</v>
      </c>
      <c r="L389" t="n">
        <v>0</v>
      </c>
      <c r="M389" t="n">
        <v>0</v>
      </c>
      <c r="N389" t="n">
        <v>0</v>
      </c>
      <c r="O389" t="n">
        <v>0</v>
      </c>
      <c r="P389" t="n">
        <v>0</v>
      </c>
      <c r="Q389" t="n">
        <v>0</v>
      </c>
      <c r="R389" s="2" t="inlineStr"/>
    </row>
    <row r="390" ht="15" customHeight="1">
      <c r="A390" t="inlineStr">
        <is>
          <t>A 46550-2024</t>
        </is>
      </c>
      <c r="B390" s="1" t="n">
        <v>45582.66524305556</v>
      </c>
      <c r="C390" s="1" t="n">
        <v>46075</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13509-2025</t>
        </is>
      </c>
      <c r="B391" s="1" t="n">
        <v>45736.46944444445</v>
      </c>
      <c r="C391" s="1" t="n">
        <v>46075</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36027-2025</t>
        </is>
      </c>
      <c r="B392" s="1" t="n">
        <v>45864.63327546296</v>
      </c>
      <c r="C392" s="1" t="n">
        <v>46075</v>
      </c>
      <c r="D392" t="inlineStr">
        <is>
          <t>UPPSALA LÄN</t>
        </is>
      </c>
      <c r="E392" t="inlineStr">
        <is>
          <t>TIERP</t>
        </is>
      </c>
      <c r="F392" t="inlineStr">
        <is>
          <t>Bergvik skog väst AB</t>
        </is>
      </c>
      <c r="G392" t="n">
        <v>5.3</v>
      </c>
      <c r="H392" t="n">
        <v>0</v>
      </c>
      <c r="I392" t="n">
        <v>0</v>
      </c>
      <c r="J392" t="n">
        <v>0</v>
      </c>
      <c r="K392" t="n">
        <v>0</v>
      </c>
      <c r="L392" t="n">
        <v>0</v>
      </c>
      <c r="M392" t="n">
        <v>0</v>
      </c>
      <c r="N392" t="n">
        <v>0</v>
      </c>
      <c r="O392" t="n">
        <v>0</v>
      </c>
      <c r="P392" t="n">
        <v>0</v>
      </c>
      <c r="Q392" t="n">
        <v>0</v>
      </c>
      <c r="R392" s="2" t="inlineStr"/>
    </row>
    <row r="393" ht="15" customHeight="1">
      <c r="A393" t="inlineStr">
        <is>
          <t>A 36030-2025</t>
        </is>
      </c>
      <c r="B393" s="1" t="n">
        <v>45865.44140046297</v>
      </c>
      <c r="C393" s="1" t="n">
        <v>46075</v>
      </c>
      <c r="D393" t="inlineStr">
        <is>
          <t>UPPSALA LÄN</t>
        </is>
      </c>
      <c r="E393" t="inlineStr">
        <is>
          <t>TIERP</t>
        </is>
      </c>
      <c r="F393" t="inlineStr">
        <is>
          <t>Bergvik skog väst AB</t>
        </is>
      </c>
      <c r="G393" t="n">
        <v>4.4</v>
      </c>
      <c r="H393" t="n">
        <v>0</v>
      </c>
      <c r="I393" t="n">
        <v>0</v>
      </c>
      <c r="J393" t="n">
        <v>0</v>
      </c>
      <c r="K393" t="n">
        <v>0</v>
      </c>
      <c r="L393" t="n">
        <v>0</v>
      </c>
      <c r="M393" t="n">
        <v>0</v>
      </c>
      <c r="N393" t="n">
        <v>0</v>
      </c>
      <c r="O393" t="n">
        <v>0</v>
      </c>
      <c r="P393" t="n">
        <v>0</v>
      </c>
      <c r="Q393" t="n">
        <v>0</v>
      </c>
      <c r="R393" s="2" t="inlineStr"/>
    </row>
    <row r="394" ht="15" customHeight="1">
      <c r="A394" t="inlineStr">
        <is>
          <t>A 36029-2025</t>
        </is>
      </c>
      <c r="B394" s="1" t="n">
        <v>45865.4359837963</v>
      </c>
      <c r="C394" s="1" t="n">
        <v>46075</v>
      </c>
      <c r="D394" t="inlineStr">
        <is>
          <t>UPPSALA LÄN</t>
        </is>
      </c>
      <c r="E394" t="inlineStr">
        <is>
          <t>TIERP</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36189-2025</t>
        </is>
      </c>
      <c r="B395" s="1" t="n">
        <v>45867.42266203704</v>
      </c>
      <c r="C395" s="1" t="n">
        <v>46075</v>
      </c>
      <c r="D395" t="inlineStr">
        <is>
          <t>UPPSALA LÄN</t>
        </is>
      </c>
      <c r="E395" t="inlineStr">
        <is>
          <t>TIERP</t>
        </is>
      </c>
      <c r="G395" t="n">
        <v>2.6</v>
      </c>
      <c r="H395" t="n">
        <v>0</v>
      </c>
      <c r="I395" t="n">
        <v>0</v>
      </c>
      <c r="J395" t="n">
        <v>0</v>
      </c>
      <c r="K395" t="n">
        <v>0</v>
      </c>
      <c r="L395" t="n">
        <v>0</v>
      </c>
      <c r="M395" t="n">
        <v>0</v>
      </c>
      <c r="N395" t="n">
        <v>0</v>
      </c>
      <c r="O395" t="n">
        <v>0</v>
      </c>
      <c r="P395" t="n">
        <v>0</v>
      </c>
      <c r="Q395" t="n">
        <v>0</v>
      </c>
      <c r="R395" s="2" t="inlineStr"/>
    </row>
    <row r="396" ht="15" customHeight="1">
      <c r="A396" t="inlineStr">
        <is>
          <t>A 6048-2023</t>
        </is>
      </c>
      <c r="B396" s="1" t="n">
        <v>44964</v>
      </c>
      <c r="C396" s="1" t="n">
        <v>46075</v>
      </c>
      <c r="D396" t="inlineStr">
        <is>
          <t>UPPSALA LÄN</t>
        </is>
      </c>
      <c r="E396" t="inlineStr">
        <is>
          <t>TIERP</t>
        </is>
      </c>
      <c r="F396" t="inlineStr">
        <is>
          <t>Bergvik skog öst AB</t>
        </is>
      </c>
      <c r="G396" t="n">
        <v>4.4</v>
      </c>
      <c r="H396" t="n">
        <v>0</v>
      </c>
      <c r="I396" t="n">
        <v>0</v>
      </c>
      <c r="J396" t="n">
        <v>0</v>
      </c>
      <c r="K396" t="n">
        <v>0</v>
      </c>
      <c r="L396" t="n">
        <v>0</v>
      </c>
      <c r="M396" t="n">
        <v>0</v>
      </c>
      <c r="N396" t="n">
        <v>0</v>
      </c>
      <c r="O396" t="n">
        <v>0</v>
      </c>
      <c r="P396" t="n">
        <v>0</v>
      </c>
      <c r="Q396" t="n">
        <v>0</v>
      </c>
      <c r="R396" s="2" t="inlineStr"/>
    </row>
    <row r="397" ht="15" customHeight="1">
      <c r="A397" t="inlineStr">
        <is>
          <t>A 36195-2025</t>
        </is>
      </c>
      <c r="B397" s="1" t="n">
        <v>45867.43064814815</v>
      </c>
      <c r="C397" s="1" t="n">
        <v>46075</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46390-2025</t>
        </is>
      </c>
      <c r="B398" s="1" t="n">
        <v>45925.54199074074</v>
      </c>
      <c r="C398" s="1" t="n">
        <v>46075</v>
      </c>
      <c r="D398" t="inlineStr">
        <is>
          <t>UPPSALA LÄN</t>
        </is>
      </c>
      <c r="E398" t="inlineStr">
        <is>
          <t>TIERP</t>
        </is>
      </c>
      <c r="F398" t="inlineStr">
        <is>
          <t>Bergvik skog öst AB</t>
        </is>
      </c>
      <c r="G398" t="n">
        <v>16.3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46075</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46075</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36423-2025</t>
        </is>
      </c>
      <c r="B401" s="1" t="n">
        <v>45868.85131944445</v>
      </c>
      <c r="C401" s="1" t="n">
        <v>46075</v>
      </c>
      <c r="D401" t="inlineStr">
        <is>
          <t>UPPSALA LÄN</t>
        </is>
      </c>
      <c r="E401" t="inlineStr">
        <is>
          <t>TIERP</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17412-2025</t>
        </is>
      </c>
      <c r="B402" s="1" t="n">
        <v>45757.37369212963</v>
      </c>
      <c r="C402" s="1" t="n">
        <v>46075</v>
      </c>
      <c r="D402" t="inlineStr">
        <is>
          <t>UPPSALA LÄN</t>
        </is>
      </c>
      <c r="E402" t="inlineStr">
        <is>
          <t>TIERP</t>
        </is>
      </c>
      <c r="F402" t="inlineStr">
        <is>
          <t>Bergvik skog öst AB</t>
        </is>
      </c>
      <c r="G402" t="n">
        <v>14.1</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46075</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36419-2025</t>
        </is>
      </c>
      <c r="B404" s="1" t="n">
        <v>45868.83431712963</v>
      </c>
      <c r="C404" s="1" t="n">
        <v>46075</v>
      </c>
      <c r="D404" t="inlineStr">
        <is>
          <t>UPPSALA LÄN</t>
        </is>
      </c>
      <c r="E404" t="inlineStr">
        <is>
          <t>TIERP</t>
        </is>
      </c>
      <c r="G404" t="n">
        <v>2.5</v>
      </c>
      <c r="H404" t="n">
        <v>0</v>
      </c>
      <c r="I404" t="n">
        <v>0</v>
      </c>
      <c r="J404" t="n">
        <v>0</v>
      </c>
      <c r="K404" t="n">
        <v>0</v>
      </c>
      <c r="L404" t="n">
        <v>0</v>
      </c>
      <c r="M404" t="n">
        <v>0</v>
      </c>
      <c r="N404" t="n">
        <v>0</v>
      </c>
      <c r="O404" t="n">
        <v>0</v>
      </c>
      <c r="P404" t="n">
        <v>0</v>
      </c>
      <c r="Q404" t="n">
        <v>0</v>
      </c>
      <c r="R404" s="2" t="inlineStr"/>
    </row>
    <row r="405" ht="15" customHeight="1">
      <c r="A405" t="inlineStr">
        <is>
          <t>A 36422-2025</t>
        </is>
      </c>
      <c r="B405" s="1" t="n">
        <v>45868.85018518518</v>
      </c>
      <c r="C405" s="1" t="n">
        <v>46075</v>
      </c>
      <c r="D405" t="inlineStr">
        <is>
          <t>UPPSALA LÄN</t>
        </is>
      </c>
      <c r="E405" t="inlineStr">
        <is>
          <t>TIERP</t>
        </is>
      </c>
      <c r="F405" t="inlineStr">
        <is>
          <t>Bergvik skog väst AB</t>
        </is>
      </c>
      <c r="G405" t="n">
        <v>2.3</v>
      </c>
      <c r="H405" t="n">
        <v>0</v>
      </c>
      <c r="I405" t="n">
        <v>0</v>
      </c>
      <c r="J405" t="n">
        <v>0</v>
      </c>
      <c r="K405" t="n">
        <v>0</v>
      </c>
      <c r="L405" t="n">
        <v>0</v>
      </c>
      <c r="M405" t="n">
        <v>0</v>
      </c>
      <c r="N405" t="n">
        <v>0</v>
      </c>
      <c r="O405" t="n">
        <v>0</v>
      </c>
      <c r="P405" t="n">
        <v>0</v>
      </c>
      <c r="Q405" t="n">
        <v>0</v>
      </c>
      <c r="R405" s="2" t="inlineStr"/>
    </row>
    <row r="406" ht="15" customHeight="1">
      <c r="A406" t="inlineStr">
        <is>
          <t>A 32665-2023</t>
        </is>
      </c>
      <c r="B406" s="1" t="n">
        <v>45121.63271990741</v>
      </c>
      <c r="C406" s="1" t="n">
        <v>46075</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36420-2025</t>
        </is>
      </c>
      <c r="B407" s="1" t="n">
        <v>45868.83913194444</v>
      </c>
      <c r="C407" s="1" t="n">
        <v>46075</v>
      </c>
      <c r="D407" t="inlineStr">
        <is>
          <t>UPPSALA LÄN</t>
        </is>
      </c>
      <c r="E407" t="inlineStr">
        <is>
          <t>TIERP</t>
        </is>
      </c>
      <c r="G407" t="n">
        <v>4.1</v>
      </c>
      <c r="H407" t="n">
        <v>0</v>
      </c>
      <c r="I407" t="n">
        <v>0</v>
      </c>
      <c r="J407" t="n">
        <v>0</v>
      </c>
      <c r="K407" t="n">
        <v>0</v>
      </c>
      <c r="L407" t="n">
        <v>0</v>
      </c>
      <c r="M407" t="n">
        <v>0</v>
      </c>
      <c r="N407" t="n">
        <v>0</v>
      </c>
      <c r="O407" t="n">
        <v>0</v>
      </c>
      <c r="P407" t="n">
        <v>0</v>
      </c>
      <c r="Q407" t="n">
        <v>0</v>
      </c>
      <c r="R407" s="2" t="inlineStr"/>
    </row>
    <row r="408" ht="15" customHeight="1">
      <c r="A408" t="inlineStr">
        <is>
          <t>A 36421-2025</t>
        </is>
      </c>
      <c r="B408" s="1" t="n">
        <v>45868.84859953704</v>
      </c>
      <c r="C408" s="1" t="n">
        <v>46075</v>
      </c>
      <c r="D408" t="inlineStr">
        <is>
          <t>UPPSALA LÄN</t>
        </is>
      </c>
      <c r="E408" t="inlineStr">
        <is>
          <t>TIERP</t>
        </is>
      </c>
      <c r="F408" t="inlineStr">
        <is>
          <t>Bergvik skog väst AB</t>
        </is>
      </c>
      <c r="G408" t="n">
        <v>2.7</v>
      </c>
      <c r="H408" t="n">
        <v>0</v>
      </c>
      <c r="I408" t="n">
        <v>0</v>
      </c>
      <c r="J408" t="n">
        <v>0</v>
      </c>
      <c r="K408" t="n">
        <v>0</v>
      </c>
      <c r="L408" t="n">
        <v>0</v>
      </c>
      <c r="M408" t="n">
        <v>0</v>
      </c>
      <c r="N408" t="n">
        <v>0</v>
      </c>
      <c r="O408" t="n">
        <v>0</v>
      </c>
      <c r="P408" t="n">
        <v>0</v>
      </c>
      <c r="Q408" t="n">
        <v>0</v>
      </c>
      <c r="R408" s="2" t="inlineStr"/>
    </row>
    <row r="409" ht="15" customHeight="1">
      <c r="A409" t="inlineStr">
        <is>
          <t>A 46842-2025</t>
        </is>
      </c>
      <c r="B409" s="1" t="n">
        <v>45928.59989583334</v>
      </c>
      <c r="C409" s="1" t="n">
        <v>46075</v>
      </c>
      <c r="D409" t="inlineStr">
        <is>
          <t>UPPSALA LÄN</t>
        </is>
      </c>
      <c r="E409" t="inlineStr">
        <is>
          <t>TIERP</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19523-2025</t>
        </is>
      </c>
      <c r="B410" s="1" t="n">
        <v>45770.45944444444</v>
      </c>
      <c r="C410" s="1" t="n">
        <v>46075</v>
      </c>
      <c r="D410" t="inlineStr">
        <is>
          <t>UPPSALA LÄN</t>
        </is>
      </c>
      <c r="E410" t="inlineStr">
        <is>
          <t>TIERP</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46952-2025</t>
        </is>
      </c>
      <c r="B411" s="1" t="n">
        <v>45929.471875</v>
      </c>
      <c r="C411" s="1" t="n">
        <v>46075</v>
      </c>
      <c r="D411" t="inlineStr">
        <is>
          <t>UPPSALA LÄN</t>
        </is>
      </c>
      <c r="E411" t="inlineStr">
        <is>
          <t>TIERP</t>
        </is>
      </c>
      <c r="G411" t="n">
        <v>1.1</v>
      </c>
      <c r="H411" t="n">
        <v>0</v>
      </c>
      <c r="I411" t="n">
        <v>0</v>
      </c>
      <c r="J411" t="n">
        <v>0</v>
      </c>
      <c r="K411" t="n">
        <v>0</v>
      </c>
      <c r="L411" t="n">
        <v>0</v>
      </c>
      <c r="M411" t="n">
        <v>0</v>
      </c>
      <c r="N411" t="n">
        <v>0</v>
      </c>
      <c r="O411" t="n">
        <v>0</v>
      </c>
      <c r="P411" t="n">
        <v>0</v>
      </c>
      <c r="Q411" t="n">
        <v>0</v>
      </c>
      <c r="R411" s="2" t="inlineStr"/>
    </row>
    <row r="412" ht="15" customHeight="1">
      <c r="A412" t="inlineStr">
        <is>
          <t>A 31149-2025</t>
        </is>
      </c>
      <c r="B412" s="1" t="n">
        <v>45832.64122685185</v>
      </c>
      <c r="C412" s="1" t="n">
        <v>46075</v>
      </c>
      <c r="D412" t="inlineStr">
        <is>
          <t>UPPSALA LÄN</t>
        </is>
      </c>
      <c r="E412" t="inlineStr">
        <is>
          <t>TIERP</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46075</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55423-2022</t>
        </is>
      </c>
      <c r="B414" s="1" t="n">
        <v>44887</v>
      </c>
      <c r="C414" s="1" t="n">
        <v>46075</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46843-2025</t>
        </is>
      </c>
      <c r="B415" s="1" t="n">
        <v>45928.60292824074</v>
      </c>
      <c r="C415" s="1" t="n">
        <v>46075</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46844-2025</t>
        </is>
      </c>
      <c r="B416" s="1" t="n">
        <v>45928.60719907407</v>
      </c>
      <c r="C416" s="1" t="n">
        <v>46075</v>
      </c>
      <c r="D416" t="inlineStr">
        <is>
          <t>UPPSALA LÄN</t>
        </is>
      </c>
      <c r="E416" t="inlineStr">
        <is>
          <t>TIERP</t>
        </is>
      </c>
      <c r="G416" t="n">
        <v>1.5</v>
      </c>
      <c r="H416" t="n">
        <v>0</v>
      </c>
      <c r="I416" t="n">
        <v>0</v>
      </c>
      <c r="J416" t="n">
        <v>0</v>
      </c>
      <c r="K416" t="n">
        <v>0</v>
      </c>
      <c r="L416" t="n">
        <v>0</v>
      </c>
      <c r="M416" t="n">
        <v>0</v>
      </c>
      <c r="N416" t="n">
        <v>0</v>
      </c>
      <c r="O416" t="n">
        <v>0</v>
      </c>
      <c r="P416" t="n">
        <v>0</v>
      </c>
      <c r="Q416" t="n">
        <v>0</v>
      </c>
      <c r="R416" s="2" t="inlineStr"/>
    </row>
    <row r="417" ht="15" customHeight="1">
      <c r="A417" t="inlineStr">
        <is>
          <t>A 23468-2025</t>
        </is>
      </c>
      <c r="B417" s="1" t="n">
        <v>45792.43809027778</v>
      </c>
      <c r="C417" s="1" t="n">
        <v>46075</v>
      </c>
      <c r="D417" t="inlineStr">
        <is>
          <t>UPPSALA LÄN</t>
        </is>
      </c>
      <c r="E417" t="inlineStr">
        <is>
          <t>TIERP</t>
        </is>
      </c>
      <c r="F417" t="inlineStr">
        <is>
          <t>Bergvik skog väst AB</t>
        </is>
      </c>
      <c r="G417" t="n">
        <v>1.6</v>
      </c>
      <c r="H417" t="n">
        <v>0</v>
      </c>
      <c r="I417" t="n">
        <v>0</v>
      </c>
      <c r="J417" t="n">
        <v>0</v>
      </c>
      <c r="K417" t="n">
        <v>0</v>
      </c>
      <c r="L417" t="n">
        <v>0</v>
      </c>
      <c r="M417" t="n">
        <v>0</v>
      </c>
      <c r="N417" t="n">
        <v>0</v>
      </c>
      <c r="O417" t="n">
        <v>0</v>
      </c>
      <c r="P417" t="n">
        <v>0</v>
      </c>
      <c r="Q417" t="n">
        <v>0</v>
      </c>
      <c r="R417" s="2" t="inlineStr"/>
    </row>
    <row r="418" ht="15" customHeight="1">
      <c r="A418" t="inlineStr">
        <is>
          <t>A 46644-2025</t>
        </is>
      </c>
      <c r="B418" s="1" t="n">
        <v>45926.47443287037</v>
      </c>
      <c r="C418" s="1" t="n">
        <v>46075</v>
      </c>
      <c r="D418" t="inlineStr">
        <is>
          <t>UPPSALA LÄN</t>
        </is>
      </c>
      <c r="E418" t="inlineStr">
        <is>
          <t>TIERP</t>
        </is>
      </c>
      <c r="G418" t="n">
        <v>2.1</v>
      </c>
      <c r="H418" t="n">
        <v>0</v>
      </c>
      <c r="I418" t="n">
        <v>0</v>
      </c>
      <c r="J418" t="n">
        <v>0</v>
      </c>
      <c r="K418" t="n">
        <v>0</v>
      </c>
      <c r="L418" t="n">
        <v>0</v>
      </c>
      <c r="M418" t="n">
        <v>0</v>
      </c>
      <c r="N418" t="n">
        <v>0</v>
      </c>
      <c r="O418" t="n">
        <v>0</v>
      </c>
      <c r="P418" t="n">
        <v>0</v>
      </c>
      <c r="Q418" t="n">
        <v>0</v>
      </c>
      <c r="R418" s="2" t="inlineStr"/>
    </row>
    <row r="419" ht="15" customHeight="1">
      <c r="A419" t="inlineStr">
        <is>
          <t>A 13214-2025</t>
        </is>
      </c>
      <c r="B419" s="1" t="n">
        <v>45735.44649305556</v>
      </c>
      <c r="C419" s="1" t="n">
        <v>46075</v>
      </c>
      <c r="D419" t="inlineStr">
        <is>
          <t>UPPSALA LÄN</t>
        </is>
      </c>
      <c r="E419" t="inlineStr">
        <is>
          <t>TIERP</t>
        </is>
      </c>
      <c r="G419" t="n">
        <v>1.9</v>
      </c>
      <c r="H419" t="n">
        <v>0</v>
      </c>
      <c r="I419" t="n">
        <v>0</v>
      </c>
      <c r="J419" t="n">
        <v>0</v>
      </c>
      <c r="K419" t="n">
        <v>0</v>
      </c>
      <c r="L419" t="n">
        <v>0</v>
      </c>
      <c r="M419" t="n">
        <v>0</v>
      </c>
      <c r="N419" t="n">
        <v>0</v>
      </c>
      <c r="O419" t="n">
        <v>0</v>
      </c>
      <c r="P419" t="n">
        <v>0</v>
      </c>
      <c r="Q419" t="n">
        <v>0</v>
      </c>
      <c r="R419" s="2" t="inlineStr"/>
    </row>
    <row r="420" ht="15" customHeight="1">
      <c r="A420" t="inlineStr">
        <is>
          <t>A 34014-2025</t>
        </is>
      </c>
      <c r="B420" s="1" t="n">
        <v>45845.30168981481</v>
      </c>
      <c r="C420" s="1" t="n">
        <v>46075</v>
      </c>
      <c r="D420" t="inlineStr">
        <is>
          <t>UPPSALA LÄN</t>
        </is>
      </c>
      <c r="E420" t="inlineStr">
        <is>
          <t>TIERP</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63649-2023</t>
        </is>
      </c>
      <c r="B421" s="1" t="n">
        <v>45275.59357638889</v>
      </c>
      <c r="C421" s="1" t="n">
        <v>46075</v>
      </c>
      <c r="D421" t="inlineStr">
        <is>
          <t>UPPSALA LÄN</t>
        </is>
      </c>
      <c r="E421" t="inlineStr">
        <is>
          <t>TIERP</t>
        </is>
      </c>
      <c r="G421" t="n">
        <v>1.4</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46075</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13691-2024</t>
        </is>
      </c>
      <c r="B423" s="1" t="n">
        <v>45390.58060185185</v>
      </c>
      <c r="C423" s="1" t="n">
        <v>46075</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16253-2022</t>
        </is>
      </c>
      <c r="B424" s="1" t="n">
        <v>44670</v>
      </c>
      <c r="C424" s="1" t="n">
        <v>46075</v>
      </c>
      <c r="D424" t="inlineStr">
        <is>
          <t>UPPSALA LÄN</t>
        </is>
      </c>
      <c r="E424" t="inlineStr">
        <is>
          <t>TIERP</t>
        </is>
      </c>
      <c r="G424" t="n">
        <v>1</v>
      </c>
      <c r="H424" t="n">
        <v>0</v>
      </c>
      <c r="I424" t="n">
        <v>0</v>
      </c>
      <c r="J424" t="n">
        <v>0</v>
      </c>
      <c r="K424" t="n">
        <v>0</v>
      </c>
      <c r="L424" t="n">
        <v>0</v>
      </c>
      <c r="M424" t="n">
        <v>0</v>
      </c>
      <c r="N424" t="n">
        <v>0</v>
      </c>
      <c r="O424" t="n">
        <v>0</v>
      </c>
      <c r="P424" t="n">
        <v>0</v>
      </c>
      <c r="Q424" t="n">
        <v>0</v>
      </c>
      <c r="R424" s="2" t="inlineStr"/>
    </row>
    <row r="425" ht="15" customHeight="1">
      <c r="A425" t="inlineStr">
        <is>
          <t>A 46681-2022</t>
        </is>
      </c>
      <c r="B425" s="1" t="n">
        <v>44843</v>
      </c>
      <c r="C425" s="1" t="n">
        <v>46075</v>
      </c>
      <c r="D425" t="inlineStr">
        <is>
          <t>UPPSALA LÄN</t>
        </is>
      </c>
      <c r="E425" t="inlineStr">
        <is>
          <t>TIERP</t>
        </is>
      </c>
      <c r="G425" t="n">
        <v>5.9</v>
      </c>
      <c r="H425" t="n">
        <v>0</v>
      </c>
      <c r="I425" t="n">
        <v>0</v>
      </c>
      <c r="J425" t="n">
        <v>0</v>
      </c>
      <c r="K425" t="n">
        <v>0</v>
      </c>
      <c r="L425" t="n">
        <v>0</v>
      </c>
      <c r="M425" t="n">
        <v>0</v>
      </c>
      <c r="N425" t="n">
        <v>0</v>
      </c>
      <c r="O425" t="n">
        <v>0</v>
      </c>
      <c r="P425" t="n">
        <v>0</v>
      </c>
      <c r="Q425" t="n">
        <v>0</v>
      </c>
      <c r="R425" s="2" t="inlineStr"/>
    </row>
    <row r="426" ht="15" customHeight="1">
      <c r="A426" t="inlineStr">
        <is>
          <t>A 48523-2025</t>
        </is>
      </c>
      <c r="B426" s="1" t="n">
        <v>45936.40495370371</v>
      </c>
      <c r="C426" s="1" t="n">
        <v>46075</v>
      </c>
      <c r="D426" t="inlineStr">
        <is>
          <t>UPPSALA LÄN</t>
        </is>
      </c>
      <c r="E426" t="inlineStr">
        <is>
          <t>TIERP</t>
        </is>
      </c>
      <c r="F426" t="inlineStr">
        <is>
          <t>Bergvik skog väst AB</t>
        </is>
      </c>
      <c r="G426" t="n">
        <v>16.4</v>
      </c>
      <c r="H426" t="n">
        <v>0</v>
      </c>
      <c r="I426" t="n">
        <v>0</v>
      </c>
      <c r="J426" t="n">
        <v>0</v>
      </c>
      <c r="K426" t="n">
        <v>0</v>
      </c>
      <c r="L426" t="n">
        <v>0</v>
      </c>
      <c r="M426" t="n">
        <v>0</v>
      </c>
      <c r="N426" t="n">
        <v>0</v>
      </c>
      <c r="O426" t="n">
        <v>0</v>
      </c>
      <c r="P426" t="n">
        <v>0</v>
      </c>
      <c r="Q426" t="n">
        <v>0</v>
      </c>
      <c r="R426" s="2" t="inlineStr"/>
    </row>
    <row r="427" ht="15" customHeight="1">
      <c r="A427" t="inlineStr">
        <is>
          <t>A 48674-2025</t>
        </is>
      </c>
      <c r="B427" s="1" t="n">
        <v>45936.58931712963</v>
      </c>
      <c r="C427" s="1" t="n">
        <v>46075</v>
      </c>
      <c r="D427" t="inlineStr">
        <is>
          <t>UPPSALA LÄN</t>
        </is>
      </c>
      <c r="E427" t="inlineStr">
        <is>
          <t>TIERP</t>
        </is>
      </c>
      <c r="G427" t="n">
        <v>4.7</v>
      </c>
      <c r="H427" t="n">
        <v>0</v>
      </c>
      <c r="I427" t="n">
        <v>0</v>
      </c>
      <c r="J427" t="n">
        <v>0</v>
      </c>
      <c r="K427" t="n">
        <v>0</v>
      </c>
      <c r="L427" t="n">
        <v>0</v>
      </c>
      <c r="M427" t="n">
        <v>0</v>
      </c>
      <c r="N427" t="n">
        <v>0</v>
      </c>
      <c r="O427" t="n">
        <v>0</v>
      </c>
      <c r="P427" t="n">
        <v>0</v>
      </c>
      <c r="Q427" t="n">
        <v>0</v>
      </c>
      <c r="R427" s="2" t="inlineStr"/>
    </row>
    <row r="428" ht="15" customHeight="1">
      <c r="A428" t="inlineStr">
        <is>
          <t>A 48487-2025</t>
        </is>
      </c>
      <c r="B428" s="1" t="n">
        <v>45936.36195601852</v>
      </c>
      <c r="C428" s="1" t="n">
        <v>46075</v>
      </c>
      <c r="D428" t="inlineStr">
        <is>
          <t>UPPSALA LÄN</t>
        </is>
      </c>
      <c r="E428" t="inlineStr">
        <is>
          <t>TIERP</t>
        </is>
      </c>
      <c r="F428" t="inlineStr">
        <is>
          <t>Bergvik skog väst AB</t>
        </is>
      </c>
      <c r="G428" t="n">
        <v>4.7</v>
      </c>
      <c r="H428" t="n">
        <v>0</v>
      </c>
      <c r="I428" t="n">
        <v>0</v>
      </c>
      <c r="J428" t="n">
        <v>0</v>
      </c>
      <c r="K428" t="n">
        <v>0</v>
      </c>
      <c r="L428" t="n">
        <v>0</v>
      </c>
      <c r="M428" t="n">
        <v>0</v>
      </c>
      <c r="N428" t="n">
        <v>0</v>
      </c>
      <c r="O428" t="n">
        <v>0</v>
      </c>
      <c r="P428" t="n">
        <v>0</v>
      </c>
      <c r="Q428" t="n">
        <v>0</v>
      </c>
      <c r="R428" s="2" t="inlineStr"/>
    </row>
    <row r="429" ht="15" customHeight="1">
      <c r="A429" t="inlineStr">
        <is>
          <t>A 48685-2025</t>
        </is>
      </c>
      <c r="B429" s="1" t="n">
        <v>45936.60018518518</v>
      </c>
      <c r="C429" s="1" t="n">
        <v>46075</v>
      </c>
      <c r="D429" t="inlineStr">
        <is>
          <t>UPPSALA LÄN</t>
        </is>
      </c>
      <c r="E429" t="inlineStr">
        <is>
          <t>TIERP</t>
        </is>
      </c>
      <c r="G429" t="n">
        <v>0.4</v>
      </c>
      <c r="H429" t="n">
        <v>0</v>
      </c>
      <c r="I429" t="n">
        <v>0</v>
      </c>
      <c r="J429" t="n">
        <v>0</v>
      </c>
      <c r="K429" t="n">
        <v>0</v>
      </c>
      <c r="L429" t="n">
        <v>0</v>
      </c>
      <c r="M429" t="n">
        <v>0</v>
      </c>
      <c r="N429" t="n">
        <v>0</v>
      </c>
      <c r="O429" t="n">
        <v>0</v>
      </c>
      <c r="P429" t="n">
        <v>0</v>
      </c>
      <c r="Q429" t="n">
        <v>0</v>
      </c>
      <c r="R429" s="2" t="inlineStr"/>
    </row>
    <row r="430" ht="15" customHeight="1">
      <c r="A430" t="inlineStr">
        <is>
          <t>A 48545-2025</t>
        </is>
      </c>
      <c r="B430" s="1" t="n">
        <v>45936.41964120371</v>
      </c>
      <c r="C430" s="1" t="n">
        <v>46075</v>
      </c>
      <c r="D430" t="inlineStr">
        <is>
          <t>UPPSALA LÄN</t>
        </is>
      </c>
      <c r="E430" t="inlineStr">
        <is>
          <t>TIERP</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48550-2025</t>
        </is>
      </c>
      <c r="B431" s="1" t="n">
        <v>45936.42704861111</v>
      </c>
      <c r="C431" s="1" t="n">
        <v>46075</v>
      </c>
      <c r="D431" t="inlineStr">
        <is>
          <t>UPPSALA LÄN</t>
        </is>
      </c>
      <c r="E431" t="inlineStr">
        <is>
          <t>TIERP</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48684-2025</t>
        </is>
      </c>
      <c r="B432" s="1" t="n">
        <v>45936.59858796297</v>
      </c>
      <c r="C432" s="1" t="n">
        <v>46075</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58264-2024</t>
        </is>
      </c>
      <c r="B433" s="1" t="n">
        <v>45632.5654050926</v>
      </c>
      <c r="C433" s="1" t="n">
        <v>46075</v>
      </c>
      <c r="D433" t="inlineStr">
        <is>
          <t>UPPSALA LÄN</t>
        </is>
      </c>
      <c r="E433" t="inlineStr">
        <is>
          <t>TIERP</t>
        </is>
      </c>
      <c r="G433" t="n">
        <v>1</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46075</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48494-2025</t>
        </is>
      </c>
      <c r="B435" s="1" t="n">
        <v>45936.36921296296</v>
      </c>
      <c r="C435" s="1" t="n">
        <v>46075</v>
      </c>
      <c r="D435" t="inlineStr">
        <is>
          <t>UPPSALA LÄN</t>
        </is>
      </c>
      <c r="E435" t="inlineStr">
        <is>
          <t>TIERP</t>
        </is>
      </c>
      <c r="F435" t="inlineStr">
        <is>
          <t>Bergvik skog väst AB</t>
        </is>
      </c>
      <c r="G435" t="n">
        <v>4.6</v>
      </c>
      <c r="H435" t="n">
        <v>0</v>
      </c>
      <c r="I435" t="n">
        <v>0</v>
      </c>
      <c r="J435" t="n">
        <v>0</v>
      </c>
      <c r="K435" t="n">
        <v>0</v>
      </c>
      <c r="L435" t="n">
        <v>0</v>
      </c>
      <c r="M435" t="n">
        <v>0</v>
      </c>
      <c r="N435" t="n">
        <v>0</v>
      </c>
      <c r="O435" t="n">
        <v>0</v>
      </c>
      <c r="P435" t="n">
        <v>0</v>
      </c>
      <c r="Q435" t="n">
        <v>0</v>
      </c>
      <c r="R435" s="2" t="inlineStr"/>
    </row>
    <row r="436" ht="15" customHeight="1">
      <c r="A436" t="inlineStr">
        <is>
          <t>A 49191-2025</t>
        </is>
      </c>
      <c r="B436" s="1" t="n">
        <v>45938.40780092592</v>
      </c>
      <c r="C436" s="1" t="n">
        <v>46075</v>
      </c>
      <c r="D436" t="inlineStr">
        <is>
          <t>UPPSALA LÄN</t>
        </is>
      </c>
      <c r="E436" t="inlineStr">
        <is>
          <t>TIERP</t>
        </is>
      </c>
      <c r="F436" t="inlineStr">
        <is>
          <t>Bergvik skog väst AB</t>
        </is>
      </c>
      <c r="G436" t="n">
        <v>38.9</v>
      </c>
      <c r="H436" t="n">
        <v>0</v>
      </c>
      <c r="I436" t="n">
        <v>0</v>
      </c>
      <c r="J436" t="n">
        <v>0</v>
      </c>
      <c r="K436" t="n">
        <v>0</v>
      </c>
      <c r="L436" t="n">
        <v>0</v>
      </c>
      <c r="M436" t="n">
        <v>0</v>
      </c>
      <c r="N436" t="n">
        <v>0</v>
      </c>
      <c r="O436" t="n">
        <v>0</v>
      </c>
      <c r="P436" t="n">
        <v>0</v>
      </c>
      <c r="Q436" t="n">
        <v>0</v>
      </c>
      <c r="R436" s="2" t="inlineStr"/>
    </row>
    <row r="437" ht="15" customHeight="1">
      <c r="A437" t="inlineStr">
        <is>
          <t>A 49558-2025</t>
        </is>
      </c>
      <c r="B437" s="1" t="n">
        <v>45939.45197916667</v>
      </c>
      <c r="C437" s="1" t="n">
        <v>46075</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18526-2025</t>
        </is>
      </c>
      <c r="B438" s="1" t="n">
        <v>45763.4009375</v>
      </c>
      <c r="C438" s="1" t="n">
        <v>46075</v>
      </c>
      <c r="D438" t="inlineStr">
        <is>
          <t>UPPSALA LÄN</t>
        </is>
      </c>
      <c r="E438" t="inlineStr">
        <is>
          <t>TIERP</t>
        </is>
      </c>
      <c r="G438" t="n">
        <v>4.2</v>
      </c>
      <c r="H438" t="n">
        <v>0</v>
      </c>
      <c r="I438" t="n">
        <v>0</v>
      </c>
      <c r="J438" t="n">
        <v>0</v>
      </c>
      <c r="K438" t="n">
        <v>0</v>
      </c>
      <c r="L438" t="n">
        <v>0</v>
      </c>
      <c r="M438" t="n">
        <v>0</v>
      </c>
      <c r="N438" t="n">
        <v>0</v>
      </c>
      <c r="O438" t="n">
        <v>0</v>
      </c>
      <c r="P438" t="n">
        <v>0</v>
      </c>
      <c r="Q438" t="n">
        <v>0</v>
      </c>
      <c r="R438" s="2" t="inlineStr"/>
    </row>
    <row r="439" ht="15" customHeight="1">
      <c r="A439" t="inlineStr">
        <is>
          <t>A 49305-2025</t>
        </is>
      </c>
      <c r="B439" s="1" t="n">
        <v>45938.55978009259</v>
      </c>
      <c r="C439" s="1" t="n">
        <v>46075</v>
      </c>
      <c r="D439" t="inlineStr">
        <is>
          <t>UPPSALA LÄN</t>
        </is>
      </c>
      <c r="E439" t="inlineStr">
        <is>
          <t>TIERP</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17438-2025</t>
        </is>
      </c>
      <c r="B440" s="1" t="n">
        <v>45757.42503472222</v>
      </c>
      <c r="C440" s="1" t="n">
        <v>46075</v>
      </c>
      <c r="D440" t="inlineStr">
        <is>
          <t>UPPSALA LÄN</t>
        </is>
      </c>
      <c r="E440" t="inlineStr">
        <is>
          <t>TIERP</t>
        </is>
      </c>
      <c r="F440" t="inlineStr">
        <is>
          <t>Bergvik skog öst AB</t>
        </is>
      </c>
      <c r="G440" t="n">
        <v>8.5</v>
      </c>
      <c r="H440" t="n">
        <v>0</v>
      </c>
      <c r="I440" t="n">
        <v>0</v>
      </c>
      <c r="J440" t="n">
        <v>0</v>
      </c>
      <c r="K440" t="n">
        <v>0</v>
      </c>
      <c r="L440" t="n">
        <v>0</v>
      </c>
      <c r="M440" t="n">
        <v>0</v>
      </c>
      <c r="N440" t="n">
        <v>0</v>
      </c>
      <c r="O440" t="n">
        <v>0</v>
      </c>
      <c r="P440" t="n">
        <v>0</v>
      </c>
      <c r="Q440" t="n">
        <v>0</v>
      </c>
      <c r="R440" s="2" t="inlineStr"/>
    </row>
    <row r="441" ht="15" customHeight="1">
      <c r="A441" t="inlineStr">
        <is>
          <t>A 48871-2025</t>
        </is>
      </c>
      <c r="B441" s="1" t="n">
        <v>45937.4534375</v>
      </c>
      <c r="C441" s="1" t="n">
        <v>46075</v>
      </c>
      <c r="D441" t="inlineStr">
        <is>
          <t>UPPSALA LÄN</t>
        </is>
      </c>
      <c r="E441" t="inlineStr">
        <is>
          <t>TIERP</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49524-2025</t>
        </is>
      </c>
      <c r="B442" s="1" t="n">
        <v>45939.39984953704</v>
      </c>
      <c r="C442" s="1" t="n">
        <v>46075</v>
      </c>
      <c r="D442" t="inlineStr">
        <is>
          <t>UPPSALA LÄN</t>
        </is>
      </c>
      <c r="E442" t="inlineStr">
        <is>
          <t>TIERP</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49270-2025</t>
        </is>
      </c>
      <c r="B443" s="1" t="n">
        <v>45938.50260416666</v>
      </c>
      <c r="C443" s="1" t="n">
        <v>46075</v>
      </c>
      <c r="D443" t="inlineStr">
        <is>
          <t>UPPSALA LÄN</t>
        </is>
      </c>
      <c r="E443" t="inlineStr">
        <is>
          <t>TIERP</t>
        </is>
      </c>
      <c r="F443" t="inlineStr">
        <is>
          <t>Bergvik skog väst AB</t>
        </is>
      </c>
      <c r="G443" t="n">
        <v>6.5</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46075</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46075</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48808-2025</t>
        </is>
      </c>
      <c r="B446" s="1" t="n">
        <v>45937.35484953703</v>
      </c>
      <c r="C446" s="1" t="n">
        <v>46075</v>
      </c>
      <c r="D446" t="inlineStr">
        <is>
          <t>UPPSALA LÄN</t>
        </is>
      </c>
      <c r="E446" t="inlineStr">
        <is>
          <t>TIERP</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49214-2025</t>
        </is>
      </c>
      <c r="B447" s="1" t="n">
        <v>45938</v>
      </c>
      <c r="C447" s="1" t="n">
        <v>46075</v>
      </c>
      <c r="D447" t="inlineStr">
        <is>
          <t>UPPSALA LÄN</t>
        </is>
      </c>
      <c r="E447" t="inlineStr">
        <is>
          <t>TIERP</t>
        </is>
      </c>
      <c r="F447" t="inlineStr">
        <is>
          <t>Bergvik skog väst AB</t>
        </is>
      </c>
      <c r="G447" t="n">
        <v>15.7</v>
      </c>
      <c r="H447" t="n">
        <v>0</v>
      </c>
      <c r="I447" t="n">
        <v>0</v>
      </c>
      <c r="J447" t="n">
        <v>0</v>
      </c>
      <c r="K447" t="n">
        <v>0</v>
      </c>
      <c r="L447" t="n">
        <v>0</v>
      </c>
      <c r="M447" t="n">
        <v>0</v>
      </c>
      <c r="N447" t="n">
        <v>0</v>
      </c>
      <c r="O447" t="n">
        <v>0</v>
      </c>
      <c r="P447" t="n">
        <v>0</v>
      </c>
      <c r="Q447" t="n">
        <v>0</v>
      </c>
      <c r="R447" s="2" t="inlineStr"/>
    </row>
    <row r="448" ht="15" customHeight="1">
      <c r="A448" t="inlineStr">
        <is>
          <t>A 49538-2025</t>
        </is>
      </c>
      <c r="B448" s="1" t="n">
        <v>45939.42364583333</v>
      </c>
      <c r="C448" s="1" t="n">
        <v>46075</v>
      </c>
      <c r="D448" t="inlineStr">
        <is>
          <t>UPPSALA LÄN</t>
        </is>
      </c>
      <c r="E448" t="inlineStr">
        <is>
          <t>TIERP</t>
        </is>
      </c>
      <c r="F448" t="inlineStr">
        <is>
          <t>Bergvik skog väst AB</t>
        </is>
      </c>
      <c r="G448" t="n">
        <v>20.3</v>
      </c>
      <c r="H448" t="n">
        <v>0</v>
      </c>
      <c r="I448" t="n">
        <v>0</v>
      </c>
      <c r="J448" t="n">
        <v>0</v>
      </c>
      <c r="K448" t="n">
        <v>0</v>
      </c>
      <c r="L448" t="n">
        <v>0</v>
      </c>
      <c r="M448" t="n">
        <v>0</v>
      </c>
      <c r="N448" t="n">
        <v>0</v>
      </c>
      <c r="O448" t="n">
        <v>0</v>
      </c>
      <c r="P448" t="n">
        <v>0</v>
      </c>
      <c r="Q448" t="n">
        <v>0</v>
      </c>
      <c r="R448" s="2" t="inlineStr"/>
    </row>
    <row r="449" ht="15" customHeight="1">
      <c r="A449" t="inlineStr">
        <is>
          <t>A 45146-2021</t>
        </is>
      </c>
      <c r="B449" s="1" t="n">
        <v>44439.46604166667</v>
      </c>
      <c r="C449" s="1" t="n">
        <v>46075</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20180-2025</t>
        </is>
      </c>
      <c r="B450" s="1" t="n">
        <v>45772.58797453704</v>
      </c>
      <c r="C450" s="1" t="n">
        <v>46075</v>
      </c>
      <c r="D450" t="inlineStr">
        <is>
          <t>UPPSALA LÄN</t>
        </is>
      </c>
      <c r="E450" t="inlineStr">
        <is>
          <t>TIERP</t>
        </is>
      </c>
      <c r="G450" t="n">
        <v>4.7</v>
      </c>
      <c r="H450" t="n">
        <v>0</v>
      </c>
      <c r="I450" t="n">
        <v>0</v>
      </c>
      <c r="J450" t="n">
        <v>0</v>
      </c>
      <c r="K450" t="n">
        <v>0</v>
      </c>
      <c r="L450" t="n">
        <v>0</v>
      </c>
      <c r="M450" t="n">
        <v>0</v>
      </c>
      <c r="N450" t="n">
        <v>0</v>
      </c>
      <c r="O450" t="n">
        <v>0</v>
      </c>
      <c r="P450" t="n">
        <v>0</v>
      </c>
      <c r="Q450" t="n">
        <v>0</v>
      </c>
      <c r="R450" s="2" t="inlineStr"/>
    </row>
    <row r="451" ht="15" customHeight="1">
      <c r="A451" t="inlineStr">
        <is>
          <t>A 17575-2025</t>
        </is>
      </c>
      <c r="B451" s="1" t="n">
        <v>45757.65234953703</v>
      </c>
      <c r="C451" s="1" t="n">
        <v>46075</v>
      </c>
      <c r="D451" t="inlineStr">
        <is>
          <t>UPPSALA LÄN</t>
        </is>
      </c>
      <c r="E451" t="inlineStr">
        <is>
          <t>TIERP</t>
        </is>
      </c>
      <c r="F451" t="inlineStr">
        <is>
          <t>Bergvik skog öst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59267-2024</t>
        </is>
      </c>
      <c r="B452" s="1" t="n">
        <v>45637</v>
      </c>
      <c r="C452" s="1" t="n">
        <v>46075</v>
      </c>
      <c r="D452" t="inlineStr">
        <is>
          <t>UPPSALA LÄN</t>
        </is>
      </c>
      <c r="E452" t="inlineStr">
        <is>
          <t>TIERP</t>
        </is>
      </c>
      <c r="G452" t="n">
        <v>4.1</v>
      </c>
      <c r="H452" t="n">
        <v>0</v>
      </c>
      <c r="I452" t="n">
        <v>0</v>
      </c>
      <c r="J452" t="n">
        <v>0</v>
      </c>
      <c r="K452" t="n">
        <v>0</v>
      </c>
      <c r="L452" t="n">
        <v>0</v>
      </c>
      <c r="M452" t="n">
        <v>0</v>
      </c>
      <c r="N452" t="n">
        <v>0</v>
      </c>
      <c r="O452" t="n">
        <v>0</v>
      </c>
      <c r="P452" t="n">
        <v>0</v>
      </c>
      <c r="Q452" t="n">
        <v>0</v>
      </c>
      <c r="R452" s="2" t="inlineStr"/>
    </row>
    <row r="453" ht="15" customHeight="1">
      <c r="A453" t="inlineStr">
        <is>
          <t>A 33797-2023</t>
        </is>
      </c>
      <c r="B453" s="1" t="n">
        <v>45133</v>
      </c>
      <c r="C453" s="1" t="n">
        <v>46075</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c r="U453">
        <f>HYPERLINK("https://klasma.github.io/Logging_0360/knärot/A 33797-2023 karta knärot.png", "A 33797-2023")</f>
        <v/>
      </c>
      <c r="V453">
        <f>HYPERLINK("https://klasma.github.io/Logging_0360/klagomål/A 33797-2023 FSC-klagomål.docx", "A 33797-2023")</f>
        <v/>
      </c>
      <c r="W453">
        <f>HYPERLINK("https://klasma.github.io/Logging_0360/klagomålsmail/A 33797-2023 FSC-klagomål mail.docx", "A 33797-2023")</f>
        <v/>
      </c>
      <c r="X453">
        <f>HYPERLINK("https://klasma.github.io/Logging_0360/tillsyn/A 33797-2023 tillsynsbegäran.docx", "A 33797-2023")</f>
        <v/>
      </c>
      <c r="Y453">
        <f>HYPERLINK("https://klasma.github.io/Logging_0360/tillsynsmail/A 33797-2023 tillsynsbegäran mail.docx", "A 33797-2023")</f>
        <v/>
      </c>
    </row>
    <row r="454" ht="15" customHeight="1">
      <c r="A454" t="inlineStr">
        <is>
          <t>A 50110-2025</t>
        </is>
      </c>
      <c r="B454" s="1" t="n">
        <v>45943.54231481482</v>
      </c>
      <c r="C454" s="1" t="n">
        <v>46075</v>
      </c>
      <c r="D454" t="inlineStr">
        <is>
          <t>UPPSALA LÄN</t>
        </is>
      </c>
      <c r="E454" t="inlineStr">
        <is>
          <t>TIERP</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61677-2023</t>
        </is>
      </c>
      <c r="B455" s="1" t="n">
        <v>45265.62744212963</v>
      </c>
      <c r="C455" s="1" t="n">
        <v>46075</v>
      </c>
      <c r="D455" t="inlineStr">
        <is>
          <t>UPPSALA LÄN</t>
        </is>
      </c>
      <c r="E455" t="inlineStr">
        <is>
          <t>TIERP</t>
        </is>
      </c>
      <c r="G455" t="n">
        <v>0.4</v>
      </c>
      <c r="H455" t="n">
        <v>0</v>
      </c>
      <c r="I455" t="n">
        <v>0</v>
      </c>
      <c r="J455" t="n">
        <v>0</v>
      </c>
      <c r="K455" t="n">
        <v>0</v>
      </c>
      <c r="L455" t="n">
        <v>0</v>
      </c>
      <c r="M455" t="n">
        <v>0</v>
      </c>
      <c r="N455" t="n">
        <v>0</v>
      </c>
      <c r="O455" t="n">
        <v>0</v>
      </c>
      <c r="P455" t="n">
        <v>0</v>
      </c>
      <c r="Q455" t="n">
        <v>0</v>
      </c>
      <c r="R455" s="2" t="inlineStr"/>
    </row>
    <row r="456" ht="15" customHeight="1">
      <c r="A456" t="inlineStr">
        <is>
          <t>A 38940-2025</t>
        </is>
      </c>
      <c r="B456" s="1" t="n">
        <v>45887.64688657408</v>
      </c>
      <c r="C456" s="1" t="n">
        <v>46075</v>
      </c>
      <c r="D456" t="inlineStr">
        <is>
          <t>UPPSALA LÄN</t>
        </is>
      </c>
      <c r="E456" t="inlineStr">
        <is>
          <t>TIERP</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50117-2025</t>
        </is>
      </c>
      <c r="B457" s="1" t="n">
        <v>45943.54678240741</v>
      </c>
      <c r="C457" s="1" t="n">
        <v>46075</v>
      </c>
      <c r="D457" t="inlineStr">
        <is>
          <t>UPPSALA LÄN</t>
        </is>
      </c>
      <c r="E457" t="inlineStr">
        <is>
          <t>TIERP</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7591-2023</t>
        </is>
      </c>
      <c r="B458" s="1" t="n">
        <v>44972.43747685185</v>
      </c>
      <c r="C458" s="1" t="n">
        <v>46075</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18130-2022</t>
        </is>
      </c>
      <c r="B459" s="1" t="n">
        <v>44684.56060185185</v>
      </c>
      <c r="C459" s="1" t="n">
        <v>46075</v>
      </c>
      <c r="D459" t="inlineStr">
        <is>
          <t>UPPSALA LÄN</t>
        </is>
      </c>
      <c r="E459" t="inlineStr">
        <is>
          <t>TIERP</t>
        </is>
      </c>
      <c r="G459" t="n">
        <v>7.6</v>
      </c>
      <c r="H459" t="n">
        <v>0</v>
      </c>
      <c r="I459" t="n">
        <v>0</v>
      </c>
      <c r="J459" t="n">
        <v>0</v>
      </c>
      <c r="K459" t="n">
        <v>0</v>
      </c>
      <c r="L459" t="n">
        <v>0</v>
      </c>
      <c r="M459" t="n">
        <v>0</v>
      </c>
      <c r="N459" t="n">
        <v>0</v>
      </c>
      <c r="O459" t="n">
        <v>0</v>
      </c>
      <c r="P459" t="n">
        <v>0</v>
      </c>
      <c r="Q459" t="n">
        <v>0</v>
      </c>
      <c r="R459" s="2" t="inlineStr"/>
    </row>
    <row r="460" ht="15" customHeight="1">
      <c r="A460" t="inlineStr">
        <is>
          <t>A 30509-2024</t>
        </is>
      </c>
      <c r="B460" s="1" t="n">
        <v>45492.45841435185</v>
      </c>
      <c r="C460" s="1" t="n">
        <v>46075</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11572-2025</t>
        </is>
      </c>
      <c r="B461" s="1" t="n">
        <v>45727.38053240741</v>
      </c>
      <c r="C461" s="1" t="n">
        <v>46075</v>
      </c>
      <c r="D461" t="inlineStr">
        <is>
          <t>UPPSALA LÄN</t>
        </is>
      </c>
      <c r="E461" t="inlineStr">
        <is>
          <t>TIERP</t>
        </is>
      </c>
      <c r="F461" t="inlineStr">
        <is>
          <t>Bergvik skog öst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40624-2023</t>
        </is>
      </c>
      <c r="B462" s="1" t="n">
        <v>45170.52974537037</v>
      </c>
      <c r="C462" s="1" t="n">
        <v>46075</v>
      </c>
      <c r="D462" t="inlineStr">
        <is>
          <t>UPPSALA LÄN</t>
        </is>
      </c>
      <c r="E462" t="inlineStr">
        <is>
          <t>TIERP</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46075</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49048-2025</t>
        </is>
      </c>
      <c r="B464" s="1" t="n">
        <v>45937</v>
      </c>
      <c r="C464" s="1" t="n">
        <v>46075</v>
      </c>
      <c r="D464" t="inlineStr">
        <is>
          <t>UPPSALA LÄN</t>
        </is>
      </c>
      <c r="E464" t="inlineStr">
        <is>
          <t>TIERP</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51116-2025</t>
        </is>
      </c>
      <c r="B465" s="1" t="n">
        <v>45947.52800925926</v>
      </c>
      <c r="C465" s="1" t="n">
        <v>46075</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50730-2025</t>
        </is>
      </c>
      <c r="B466" s="1" t="n">
        <v>45946.36325231481</v>
      </c>
      <c r="C466" s="1" t="n">
        <v>46075</v>
      </c>
      <c r="D466" t="inlineStr">
        <is>
          <t>UPPSALA LÄN</t>
        </is>
      </c>
      <c r="E466" t="inlineStr">
        <is>
          <t>TIERP</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51012-2025</t>
        </is>
      </c>
      <c r="B467" s="1" t="n">
        <v>45947.38002314815</v>
      </c>
      <c r="C467" s="1" t="n">
        <v>46075</v>
      </c>
      <c r="D467" t="inlineStr">
        <is>
          <t>UPPSALA LÄN</t>
        </is>
      </c>
      <c r="E467" t="inlineStr">
        <is>
          <t>TIERP</t>
        </is>
      </c>
      <c r="G467" t="n">
        <v>26.8</v>
      </c>
      <c r="H467" t="n">
        <v>0</v>
      </c>
      <c r="I467" t="n">
        <v>0</v>
      </c>
      <c r="J467" t="n">
        <v>0</v>
      </c>
      <c r="K467" t="n">
        <v>0</v>
      </c>
      <c r="L467" t="n">
        <v>0</v>
      </c>
      <c r="M467" t="n">
        <v>0</v>
      </c>
      <c r="N467" t="n">
        <v>0</v>
      </c>
      <c r="O467" t="n">
        <v>0</v>
      </c>
      <c r="P467" t="n">
        <v>0</v>
      </c>
      <c r="Q467" t="n">
        <v>0</v>
      </c>
      <c r="R467" s="2" t="inlineStr"/>
    </row>
    <row r="468" ht="15" customHeight="1">
      <c r="A468" t="inlineStr">
        <is>
          <t>A 50832-2025</t>
        </is>
      </c>
      <c r="B468" s="1" t="n">
        <v>45946.55498842592</v>
      </c>
      <c r="C468" s="1" t="n">
        <v>46075</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50879-2025</t>
        </is>
      </c>
      <c r="B469" s="1" t="n">
        <v>45946.62524305555</v>
      </c>
      <c r="C469" s="1" t="n">
        <v>46075</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46075</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51044-2025</t>
        </is>
      </c>
      <c r="B471" s="1" t="n">
        <v>45947.4264699074</v>
      </c>
      <c r="C471" s="1" t="n">
        <v>46075</v>
      </c>
      <c r="D471" t="inlineStr">
        <is>
          <t>UPPSALA LÄN</t>
        </is>
      </c>
      <c r="E471" t="inlineStr">
        <is>
          <t>TIERP</t>
        </is>
      </c>
      <c r="G471" t="n">
        <v>11.7</v>
      </c>
      <c r="H471" t="n">
        <v>0</v>
      </c>
      <c r="I471" t="n">
        <v>0</v>
      </c>
      <c r="J471" t="n">
        <v>0</v>
      </c>
      <c r="K471" t="n">
        <v>0</v>
      </c>
      <c r="L471" t="n">
        <v>0</v>
      </c>
      <c r="M471" t="n">
        <v>0</v>
      </c>
      <c r="N471" t="n">
        <v>0</v>
      </c>
      <c r="O471" t="n">
        <v>0</v>
      </c>
      <c r="P471" t="n">
        <v>0</v>
      </c>
      <c r="Q471" t="n">
        <v>0</v>
      </c>
      <c r="R471" s="2" t="inlineStr"/>
    </row>
    <row r="472" ht="15" customHeight="1">
      <c r="A472" t="inlineStr">
        <is>
          <t>A 51066-2025</t>
        </is>
      </c>
      <c r="B472" s="1" t="n">
        <v>45947.45293981482</v>
      </c>
      <c r="C472" s="1" t="n">
        <v>46075</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6071-2023</t>
        </is>
      </c>
      <c r="B473" s="1" t="n">
        <v>44964.51579861111</v>
      </c>
      <c r="C473" s="1" t="n">
        <v>46075</v>
      </c>
      <c r="D473" t="inlineStr">
        <is>
          <t>UPPSALA LÄN</t>
        </is>
      </c>
      <c r="E473" t="inlineStr">
        <is>
          <t>TIERP</t>
        </is>
      </c>
      <c r="G473" t="n">
        <v>0.7</v>
      </c>
      <c r="H473" t="n">
        <v>0</v>
      </c>
      <c r="I473" t="n">
        <v>0</v>
      </c>
      <c r="J473" t="n">
        <v>0</v>
      </c>
      <c r="K473" t="n">
        <v>0</v>
      </c>
      <c r="L473" t="n">
        <v>0</v>
      </c>
      <c r="M473" t="n">
        <v>0</v>
      </c>
      <c r="N473" t="n">
        <v>0</v>
      </c>
      <c r="O473" t="n">
        <v>0</v>
      </c>
      <c r="P473" t="n">
        <v>0</v>
      </c>
      <c r="Q473" t="n">
        <v>0</v>
      </c>
      <c r="R473" s="2" t="inlineStr"/>
    </row>
    <row r="474" ht="15" customHeight="1">
      <c r="A474" t="inlineStr">
        <is>
          <t>A 51085-2025</t>
        </is>
      </c>
      <c r="B474" s="1" t="n">
        <v>45947.46891203704</v>
      </c>
      <c r="C474" s="1" t="n">
        <v>46075</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50713-2025</t>
        </is>
      </c>
      <c r="B475" s="1" t="n">
        <v>45946.34517361111</v>
      </c>
      <c r="C475" s="1" t="n">
        <v>46075</v>
      </c>
      <c r="D475" t="inlineStr">
        <is>
          <t>UPPSALA LÄN</t>
        </is>
      </c>
      <c r="E475" t="inlineStr">
        <is>
          <t>TIERP</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18378-2025</t>
        </is>
      </c>
      <c r="B476" s="1" t="n">
        <v>45762.57510416667</v>
      </c>
      <c r="C476" s="1" t="n">
        <v>46075</v>
      </c>
      <c r="D476" t="inlineStr">
        <is>
          <t>UPPSALA LÄN</t>
        </is>
      </c>
      <c r="E476" t="inlineStr">
        <is>
          <t>TIERP</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51331-2025</t>
        </is>
      </c>
      <c r="B477" s="1" t="n">
        <v>45950.41685185185</v>
      </c>
      <c r="C477" s="1" t="n">
        <v>46075</v>
      </c>
      <c r="D477" t="inlineStr">
        <is>
          <t>UPPSALA LÄN</t>
        </is>
      </c>
      <c r="E477" t="inlineStr">
        <is>
          <t>TIERP</t>
        </is>
      </c>
      <c r="G477" t="n">
        <v>8.9</v>
      </c>
      <c r="H477" t="n">
        <v>0</v>
      </c>
      <c r="I477" t="n">
        <v>0</v>
      </c>
      <c r="J477" t="n">
        <v>0</v>
      </c>
      <c r="K477" t="n">
        <v>0</v>
      </c>
      <c r="L477" t="n">
        <v>0</v>
      </c>
      <c r="M477" t="n">
        <v>0</v>
      </c>
      <c r="N477" t="n">
        <v>0</v>
      </c>
      <c r="O477" t="n">
        <v>0</v>
      </c>
      <c r="P477" t="n">
        <v>0</v>
      </c>
      <c r="Q477" t="n">
        <v>0</v>
      </c>
      <c r="R477" s="2" t="inlineStr"/>
    </row>
    <row r="478" ht="15" customHeight="1">
      <c r="A478" t="inlineStr">
        <is>
          <t>A 15587-2021</t>
        </is>
      </c>
      <c r="B478" s="1" t="n">
        <v>44285.6565162037</v>
      </c>
      <c r="C478" s="1" t="n">
        <v>46075</v>
      </c>
      <c r="D478" t="inlineStr">
        <is>
          <t>UPPSALA LÄN</t>
        </is>
      </c>
      <c r="E478" t="inlineStr">
        <is>
          <t>TIERP</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9664-2023</t>
        </is>
      </c>
      <c r="B479" s="1" t="n">
        <v>44984</v>
      </c>
      <c r="C479" s="1" t="n">
        <v>46075</v>
      </c>
      <c r="D479" t="inlineStr">
        <is>
          <t>UPPSALA LÄN</t>
        </is>
      </c>
      <c r="E479" t="inlineStr">
        <is>
          <t>TIERP</t>
        </is>
      </c>
      <c r="G479" t="n">
        <v>2.2</v>
      </c>
      <c r="H479" t="n">
        <v>0</v>
      </c>
      <c r="I479" t="n">
        <v>0</v>
      </c>
      <c r="J479" t="n">
        <v>0</v>
      </c>
      <c r="K479" t="n">
        <v>0</v>
      </c>
      <c r="L479" t="n">
        <v>0</v>
      </c>
      <c r="M479" t="n">
        <v>0</v>
      </c>
      <c r="N479" t="n">
        <v>0</v>
      </c>
      <c r="O479" t="n">
        <v>0</v>
      </c>
      <c r="P479" t="n">
        <v>0</v>
      </c>
      <c r="Q479" t="n">
        <v>0</v>
      </c>
      <c r="R479" s="2" t="inlineStr"/>
    </row>
    <row r="480" ht="15" customHeight="1">
      <c r="A480" t="inlineStr">
        <is>
          <t>A 20496-2023</t>
        </is>
      </c>
      <c r="B480" s="1" t="n">
        <v>45057.42894675926</v>
      </c>
      <c r="C480" s="1" t="n">
        <v>46075</v>
      </c>
      <c r="D480" t="inlineStr">
        <is>
          <t>UPPSALA LÄN</t>
        </is>
      </c>
      <c r="E480" t="inlineStr">
        <is>
          <t>TIERP</t>
        </is>
      </c>
      <c r="G480" t="n">
        <v>0.9</v>
      </c>
      <c r="H480" t="n">
        <v>0</v>
      </c>
      <c r="I480" t="n">
        <v>0</v>
      </c>
      <c r="J480" t="n">
        <v>0</v>
      </c>
      <c r="K480" t="n">
        <v>0</v>
      </c>
      <c r="L480" t="n">
        <v>0</v>
      </c>
      <c r="M480" t="n">
        <v>0</v>
      </c>
      <c r="N480" t="n">
        <v>0</v>
      </c>
      <c r="O480" t="n">
        <v>0</v>
      </c>
      <c r="P480" t="n">
        <v>0</v>
      </c>
      <c r="Q480" t="n">
        <v>0</v>
      </c>
      <c r="R480" s="2" t="inlineStr"/>
    </row>
    <row r="481" ht="15" customHeight="1">
      <c r="A481" t="inlineStr">
        <is>
          <t>A 58772-2024</t>
        </is>
      </c>
      <c r="B481" s="1" t="n">
        <v>45635</v>
      </c>
      <c r="C481" s="1" t="n">
        <v>46075</v>
      </c>
      <c r="D481" t="inlineStr">
        <is>
          <t>UPPSALA LÄN</t>
        </is>
      </c>
      <c r="E481" t="inlineStr">
        <is>
          <t>TIERP</t>
        </is>
      </c>
      <c r="G481" t="n">
        <v>4.7</v>
      </c>
      <c r="H481" t="n">
        <v>0</v>
      </c>
      <c r="I481" t="n">
        <v>0</v>
      </c>
      <c r="J481" t="n">
        <v>0</v>
      </c>
      <c r="K481" t="n">
        <v>0</v>
      </c>
      <c r="L481" t="n">
        <v>0</v>
      </c>
      <c r="M481" t="n">
        <v>0</v>
      </c>
      <c r="N481" t="n">
        <v>0</v>
      </c>
      <c r="O481" t="n">
        <v>0</v>
      </c>
      <c r="P481" t="n">
        <v>0</v>
      </c>
      <c r="Q481" t="n">
        <v>0</v>
      </c>
      <c r="R481" s="2" t="inlineStr"/>
    </row>
    <row r="482" ht="15" customHeight="1">
      <c r="A482" t="inlineStr">
        <is>
          <t>A 53164-2025</t>
        </is>
      </c>
      <c r="B482" s="1" t="n">
        <v>45957</v>
      </c>
      <c r="C482" s="1" t="n">
        <v>46075</v>
      </c>
      <c r="D482" t="inlineStr">
        <is>
          <t>UPPSALA LÄN</t>
        </is>
      </c>
      <c r="E482" t="inlineStr">
        <is>
          <t>TIERP</t>
        </is>
      </c>
      <c r="G482" t="n">
        <v>2.2</v>
      </c>
      <c r="H482" t="n">
        <v>0</v>
      </c>
      <c r="I482" t="n">
        <v>0</v>
      </c>
      <c r="J482" t="n">
        <v>0</v>
      </c>
      <c r="K482" t="n">
        <v>0</v>
      </c>
      <c r="L482" t="n">
        <v>0</v>
      </c>
      <c r="M482" t="n">
        <v>0</v>
      </c>
      <c r="N482" t="n">
        <v>0</v>
      </c>
      <c r="O482" t="n">
        <v>0</v>
      </c>
      <c r="P482" t="n">
        <v>0</v>
      </c>
      <c r="Q482" t="n">
        <v>0</v>
      </c>
      <c r="R482" s="2" t="inlineStr"/>
    </row>
    <row r="483" ht="15" customHeight="1">
      <c r="A483" t="inlineStr">
        <is>
          <t>A 52844-2025</t>
        </is>
      </c>
      <c r="B483" s="1" t="n">
        <v>45957.48424768518</v>
      </c>
      <c r="C483" s="1" t="n">
        <v>46075</v>
      </c>
      <c r="D483" t="inlineStr">
        <is>
          <t>UPPSALA LÄN</t>
        </is>
      </c>
      <c r="E483" t="inlineStr">
        <is>
          <t>TIERP</t>
        </is>
      </c>
      <c r="G483" t="n">
        <v>5.5</v>
      </c>
      <c r="H483" t="n">
        <v>0</v>
      </c>
      <c r="I483" t="n">
        <v>0</v>
      </c>
      <c r="J483" t="n">
        <v>0</v>
      </c>
      <c r="K483" t="n">
        <v>0</v>
      </c>
      <c r="L483" t="n">
        <v>0</v>
      </c>
      <c r="M483" t="n">
        <v>0</v>
      </c>
      <c r="N483" t="n">
        <v>0</v>
      </c>
      <c r="O483" t="n">
        <v>0</v>
      </c>
      <c r="P483" t="n">
        <v>0</v>
      </c>
      <c r="Q483" t="n">
        <v>0</v>
      </c>
      <c r="R483" s="2" t="inlineStr"/>
    </row>
    <row r="484" ht="15" customHeight="1">
      <c r="A484" t="inlineStr">
        <is>
          <t>A 52863-2025</t>
        </is>
      </c>
      <c r="B484" s="1" t="n">
        <v>45957.50965277778</v>
      </c>
      <c r="C484" s="1" t="n">
        <v>46075</v>
      </c>
      <c r="D484" t="inlineStr">
        <is>
          <t>UPPSALA LÄN</t>
        </is>
      </c>
      <c r="E484" t="inlineStr">
        <is>
          <t>TIERP</t>
        </is>
      </c>
      <c r="G484" t="n">
        <v>5.2</v>
      </c>
      <c r="H484" t="n">
        <v>0</v>
      </c>
      <c r="I484" t="n">
        <v>0</v>
      </c>
      <c r="J484" t="n">
        <v>0</v>
      </c>
      <c r="K484" t="n">
        <v>0</v>
      </c>
      <c r="L484" t="n">
        <v>0</v>
      </c>
      <c r="M484" t="n">
        <v>0</v>
      </c>
      <c r="N484" t="n">
        <v>0</v>
      </c>
      <c r="O484" t="n">
        <v>0</v>
      </c>
      <c r="P484" t="n">
        <v>0</v>
      </c>
      <c r="Q484" t="n">
        <v>0</v>
      </c>
      <c r="R484" s="2" t="inlineStr"/>
    </row>
    <row r="485" ht="15" customHeight="1">
      <c r="A485" t="inlineStr">
        <is>
          <t>A 52873-2025</t>
        </is>
      </c>
      <c r="B485" s="1" t="n">
        <v>45957.52932870371</v>
      </c>
      <c r="C485" s="1" t="n">
        <v>46075</v>
      </c>
      <c r="D485" t="inlineStr">
        <is>
          <t>UPPSALA LÄN</t>
        </is>
      </c>
      <c r="E485" t="inlineStr">
        <is>
          <t>TIERP</t>
        </is>
      </c>
      <c r="G485" t="n">
        <v>6.6</v>
      </c>
      <c r="H485" t="n">
        <v>0</v>
      </c>
      <c r="I485" t="n">
        <v>0</v>
      </c>
      <c r="J485" t="n">
        <v>0</v>
      </c>
      <c r="K485" t="n">
        <v>0</v>
      </c>
      <c r="L485" t="n">
        <v>0</v>
      </c>
      <c r="M485" t="n">
        <v>0</v>
      </c>
      <c r="N485" t="n">
        <v>0</v>
      </c>
      <c r="O485" t="n">
        <v>0</v>
      </c>
      <c r="P485" t="n">
        <v>0</v>
      </c>
      <c r="Q485" t="n">
        <v>0</v>
      </c>
      <c r="R485" s="2" t="inlineStr"/>
    </row>
    <row r="486" ht="15" customHeight="1">
      <c r="A486" t="inlineStr">
        <is>
          <t>A 53199-2025</t>
        </is>
      </c>
      <c r="B486" s="1" t="n">
        <v>45957</v>
      </c>
      <c r="C486" s="1" t="n">
        <v>46075</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2838-2025</t>
        </is>
      </c>
      <c r="B487" s="1" t="n">
        <v>45677.64354166666</v>
      </c>
      <c r="C487" s="1" t="n">
        <v>46075</v>
      </c>
      <c r="D487" t="inlineStr">
        <is>
          <t>UPPSALA LÄN</t>
        </is>
      </c>
      <c r="E487" t="inlineStr">
        <is>
          <t>TIERP</t>
        </is>
      </c>
      <c r="F487" t="inlineStr">
        <is>
          <t>Bergvik skog väst AB</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2454-2024</t>
        </is>
      </c>
      <c r="B488" s="1" t="n">
        <v>45312</v>
      </c>
      <c r="C488" s="1" t="n">
        <v>46075</v>
      </c>
      <c r="D488" t="inlineStr">
        <is>
          <t>UPPSALA LÄN</t>
        </is>
      </c>
      <c r="E488" t="inlineStr">
        <is>
          <t>TIERP</t>
        </is>
      </c>
      <c r="G488" t="n">
        <v>2.4</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46075</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6049-2023</t>
        </is>
      </c>
      <c r="B490" s="1" t="n">
        <v>44964</v>
      </c>
      <c r="C490" s="1" t="n">
        <v>46075</v>
      </c>
      <c r="D490" t="inlineStr">
        <is>
          <t>UPPSALA LÄN</t>
        </is>
      </c>
      <c r="E490" t="inlineStr">
        <is>
          <t>TIERP</t>
        </is>
      </c>
      <c r="F490" t="inlineStr">
        <is>
          <t>Bergvik skog öst AB</t>
        </is>
      </c>
      <c r="G490" t="n">
        <v>4</v>
      </c>
      <c r="H490" t="n">
        <v>0</v>
      </c>
      <c r="I490" t="n">
        <v>0</v>
      </c>
      <c r="J490" t="n">
        <v>0</v>
      </c>
      <c r="K490" t="n">
        <v>0</v>
      </c>
      <c r="L490" t="n">
        <v>0</v>
      </c>
      <c r="M490" t="n">
        <v>0</v>
      </c>
      <c r="N490" t="n">
        <v>0</v>
      </c>
      <c r="O490" t="n">
        <v>0</v>
      </c>
      <c r="P490" t="n">
        <v>0</v>
      </c>
      <c r="Q490" t="n">
        <v>0</v>
      </c>
      <c r="R490" s="2" t="inlineStr"/>
    </row>
    <row r="491" ht="15" customHeight="1">
      <c r="A491" t="inlineStr">
        <is>
          <t>A 52859-2025</t>
        </is>
      </c>
      <c r="B491" s="1" t="n">
        <v>45957.50313657407</v>
      </c>
      <c r="C491" s="1" t="n">
        <v>46075</v>
      </c>
      <c r="D491" t="inlineStr">
        <is>
          <t>UPPSALA LÄN</t>
        </is>
      </c>
      <c r="E491" t="inlineStr">
        <is>
          <t>TIERP</t>
        </is>
      </c>
      <c r="G491" t="n">
        <v>5.7</v>
      </c>
      <c r="H491" t="n">
        <v>0</v>
      </c>
      <c r="I491" t="n">
        <v>0</v>
      </c>
      <c r="J491" t="n">
        <v>0</v>
      </c>
      <c r="K491" t="n">
        <v>0</v>
      </c>
      <c r="L491" t="n">
        <v>0</v>
      </c>
      <c r="M491" t="n">
        <v>0</v>
      </c>
      <c r="N491" t="n">
        <v>0</v>
      </c>
      <c r="O491" t="n">
        <v>0</v>
      </c>
      <c r="P491" t="n">
        <v>0</v>
      </c>
      <c r="Q491" t="n">
        <v>0</v>
      </c>
      <c r="R491" s="2" t="inlineStr"/>
    </row>
    <row r="492" ht="15" customHeight="1">
      <c r="A492" t="inlineStr">
        <is>
          <t>A 52502-2025</t>
        </is>
      </c>
      <c r="B492" s="1" t="n">
        <v>45954.4975462963</v>
      </c>
      <c r="C492" s="1" t="n">
        <v>46075</v>
      </c>
      <c r="D492" t="inlineStr">
        <is>
          <t>UPPSALA LÄN</t>
        </is>
      </c>
      <c r="E492" t="inlineStr">
        <is>
          <t>TIERP</t>
        </is>
      </c>
      <c r="F492" t="inlineStr">
        <is>
          <t>Bergvik skog väst AB</t>
        </is>
      </c>
      <c r="G492" t="n">
        <v>2.7</v>
      </c>
      <c r="H492" t="n">
        <v>0</v>
      </c>
      <c r="I492" t="n">
        <v>0</v>
      </c>
      <c r="J492" t="n">
        <v>0</v>
      </c>
      <c r="K492" t="n">
        <v>0</v>
      </c>
      <c r="L492" t="n">
        <v>0</v>
      </c>
      <c r="M492" t="n">
        <v>0</v>
      </c>
      <c r="N492" t="n">
        <v>0</v>
      </c>
      <c r="O492" t="n">
        <v>0</v>
      </c>
      <c r="P492" t="n">
        <v>0</v>
      </c>
      <c r="Q492" t="n">
        <v>0</v>
      </c>
      <c r="R492" s="2" t="inlineStr"/>
    </row>
    <row r="493" ht="15" customHeight="1">
      <c r="A493" t="inlineStr">
        <is>
          <t>A 52508-2025</t>
        </is>
      </c>
      <c r="B493" s="1" t="n">
        <v>45954.50453703704</v>
      </c>
      <c r="C493" s="1" t="n">
        <v>46075</v>
      </c>
      <c r="D493" t="inlineStr">
        <is>
          <t>UPPSALA LÄN</t>
        </is>
      </c>
      <c r="E493" t="inlineStr">
        <is>
          <t>TIERP</t>
        </is>
      </c>
      <c r="G493" t="n">
        <v>1.2</v>
      </c>
      <c r="H493" t="n">
        <v>0</v>
      </c>
      <c r="I493" t="n">
        <v>0</v>
      </c>
      <c r="J493" t="n">
        <v>0</v>
      </c>
      <c r="K493" t="n">
        <v>0</v>
      </c>
      <c r="L493" t="n">
        <v>0</v>
      </c>
      <c r="M493" t="n">
        <v>0</v>
      </c>
      <c r="N493" t="n">
        <v>0</v>
      </c>
      <c r="O493" t="n">
        <v>0</v>
      </c>
      <c r="P493" t="n">
        <v>0</v>
      </c>
      <c r="Q493" t="n">
        <v>0</v>
      </c>
      <c r="R493" s="2" t="inlineStr"/>
    </row>
    <row r="494" ht="15" customHeight="1">
      <c r="A494" t="inlineStr">
        <is>
          <t>A 52790-2025</t>
        </is>
      </c>
      <c r="B494" s="1" t="n">
        <v>45957.43148148148</v>
      </c>
      <c r="C494" s="1" t="n">
        <v>46075</v>
      </c>
      <c r="D494" t="inlineStr">
        <is>
          <t>UPPSALA LÄN</t>
        </is>
      </c>
      <c r="E494" t="inlineStr">
        <is>
          <t>TIERP</t>
        </is>
      </c>
      <c r="G494" t="n">
        <v>1.6</v>
      </c>
      <c r="H494" t="n">
        <v>0</v>
      </c>
      <c r="I494" t="n">
        <v>0</v>
      </c>
      <c r="J494" t="n">
        <v>0</v>
      </c>
      <c r="K494" t="n">
        <v>0</v>
      </c>
      <c r="L494" t="n">
        <v>0</v>
      </c>
      <c r="M494" t="n">
        <v>0</v>
      </c>
      <c r="N494" t="n">
        <v>0</v>
      </c>
      <c r="O494" t="n">
        <v>0</v>
      </c>
      <c r="P494" t="n">
        <v>0</v>
      </c>
      <c r="Q494" t="n">
        <v>0</v>
      </c>
      <c r="R494" s="2" t="inlineStr"/>
    </row>
    <row r="495" ht="15" customHeight="1">
      <c r="A495" t="inlineStr">
        <is>
          <t>A 52490-2025</t>
        </is>
      </c>
      <c r="B495" s="1" t="n">
        <v>45954.48096064815</v>
      </c>
      <c r="C495" s="1" t="n">
        <v>46075</v>
      </c>
      <c r="D495" t="inlineStr">
        <is>
          <t>UPPSALA LÄN</t>
        </is>
      </c>
      <c r="E495" t="inlineStr">
        <is>
          <t>TIERP</t>
        </is>
      </c>
      <c r="F495" t="inlineStr">
        <is>
          <t>Bergvik skog väst AB</t>
        </is>
      </c>
      <c r="G495" t="n">
        <v>7</v>
      </c>
      <c r="H495" t="n">
        <v>0</v>
      </c>
      <c r="I495" t="n">
        <v>0</v>
      </c>
      <c r="J495" t="n">
        <v>0</v>
      </c>
      <c r="K495" t="n">
        <v>0</v>
      </c>
      <c r="L495" t="n">
        <v>0</v>
      </c>
      <c r="M495" t="n">
        <v>0</v>
      </c>
      <c r="N495" t="n">
        <v>0</v>
      </c>
      <c r="O495" t="n">
        <v>0</v>
      </c>
      <c r="P495" t="n">
        <v>0</v>
      </c>
      <c r="Q495" t="n">
        <v>0</v>
      </c>
      <c r="R495" s="2" t="inlineStr"/>
    </row>
    <row r="496" ht="15" customHeight="1">
      <c r="A496" t="inlineStr">
        <is>
          <t>A 57402-2024</t>
        </is>
      </c>
      <c r="B496" s="1" t="n">
        <v>45629</v>
      </c>
      <c r="C496" s="1" t="n">
        <v>46075</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60989-2023</t>
        </is>
      </c>
      <c r="B497" s="1" t="n">
        <v>45259</v>
      </c>
      <c r="C497" s="1" t="n">
        <v>46075</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5126-2024</t>
        </is>
      </c>
      <c r="B498" s="1" t="n">
        <v>45330.44269675926</v>
      </c>
      <c r="C498" s="1" t="n">
        <v>46075</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3503-2024</t>
        </is>
      </c>
      <c r="B499" s="1" t="n">
        <v>45320</v>
      </c>
      <c r="C499" s="1" t="n">
        <v>46075</v>
      </c>
      <c r="D499" t="inlineStr">
        <is>
          <t>UPPSALA LÄN</t>
        </is>
      </c>
      <c r="E499" t="inlineStr">
        <is>
          <t>TIERP</t>
        </is>
      </c>
      <c r="G499" t="n">
        <v>1.3</v>
      </c>
      <c r="H499" t="n">
        <v>0</v>
      </c>
      <c r="I499" t="n">
        <v>0</v>
      </c>
      <c r="J499" t="n">
        <v>0</v>
      </c>
      <c r="K499" t="n">
        <v>0</v>
      </c>
      <c r="L499" t="n">
        <v>0</v>
      </c>
      <c r="M499" t="n">
        <v>0</v>
      </c>
      <c r="N499" t="n">
        <v>0</v>
      </c>
      <c r="O499" t="n">
        <v>0</v>
      </c>
      <c r="P499" t="n">
        <v>0</v>
      </c>
      <c r="Q499" t="n">
        <v>0</v>
      </c>
      <c r="R499" s="2" t="inlineStr"/>
    </row>
    <row r="500" ht="15" customHeight="1">
      <c r="A500" t="inlineStr">
        <is>
          <t>A 53036-2025</t>
        </is>
      </c>
      <c r="B500" s="1" t="n">
        <v>45958</v>
      </c>
      <c r="C500" s="1" t="n">
        <v>46075</v>
      </c>
      <c r="D500" t="inlineStr">
        <is>
          <t>UPPSALA LÄN</t>
        </is>
      </c>
      <c r="E500" t="inlineStr">
        <is>
          <t>TIERP</t>
        </is>
      </c>
      <c r="G500" t="n">
        <v>12.3</v>
      </c>
      <c r="H500" t="n">
        <v>0</v>
      </c>
      <c r="I500" t="n">
        <v>0</v>
      </c>
      <c r="J500" t="n">
        <v>0</v>
      </c>
      <c r="K500" t="n">
        <v>0</v>
      </c>
      <c r="L500" t="n">
        <v>0</v>
      </c>
      <c r="M500" t="n">
        <v>0</v>
      </c>
      <c r="N500" t="n">
        <v>0</v>
      </c>
      <c r="O500" t="n">
        <v>0</v>
      </c>
      <c r="P500" t="n">
        <v>0</v>
      </c>
      <c r="Q500" t="n">
        <v>0</v>
      </c>
      <c r="R500" s="2" t="inlineStr"/>
    </row>
    <row r="501" ht="15" customHeight="1">
      <c r="A501" t="inlineStr">
        <is>
          <t>A 53609-2025</t>
        </is>
      </c>
      <c r="B501" s="1" t="n">
        <v>45960.46894675926</v>
      </c>
      <c r="C501" s="1" t="n">
        <v>46075</v>
      </c>
      <c r="D501" t="inlineStr">
        <is>
          <t>UPPSALA LÄN</t>
        </is>
      </c>
      <c r="E501" t="inlineStr">
        <is>
          <t>TIERP</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53483-2025</t>
        </is>
      </c>
      <c r="B502" s="1" t="n">
        <v>45959.83425925926</v>
      </c>
      <c r="C502" s="1" t="n">
        <v>46075</v>
      </c>
      <c r="D502" t="inlineStr">
        <is>
          <t>UPPSALA LÄN</t>
        </is>
      </c>
      <c r="E502" t="inlineStr">
        <is>
          <t>TIERP</t>
        </is>
      </c>
      <c r="G502" t="n">
        <v>6.7</v>
      </c>
      <c r="H502" t="n">
        <v>0</v>
      </c>
      <c r="I502" t="n">
        <v>0</v>
      </c>
      <c r="J502" t="n">
        <v>0</v>
      </c>
      <c r="K502" t="n">
        <v>0</v>
      </c>
      <c r="L502" t="n">
        <v>0</v>
      </c>
      <c r="M502" t="n">
        <v>0</v>
      </c>
      <c r="N502" t="n">
        <v>0</v>
      </c>
      <c r="O502" t="n">
        <v>0</v>
      </c>
      <c r="P502" t="n">
        <v>0</v>
      </c>
      <c r="Q502" t="n">
        <v>0</v>
      </c>
      <c r="R502" s="2" t="inlineStr"/>
    </row>
    <row r="503" ht="15" customHeight="1">
      <c r="A503" t="inlineStr">
        <is>
          <t>A 53764-2025</t>
        </is>
      </c>
      <c r="B503" s="1" t="n">
        <v>45960.67751157407</v>
      </c>
      <c r="C503" s="1" t="n">
        <v>46075</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53486-2025</t>
        </is>
      </c>
      <c r="B504" s="1" t="n">
        <v>45960.01471064815</v>
      </c>
      <c r="C504" s="1" t="n">
        <v>46075</v>
      </c>
      <c r="D504" t="inlineStr">
        <is>
          <t>UPPSALA LÄN</t>
        </is>
      </c>
      <c r="E504" t="inlineStr">
        <is>
          <t>TIERP</t>
        </is>
      </c>
      <c r="G504" t="n">
        <v>1.7</v>
      </c>
      <c r="H504" t="n">
        <v>0</v>
      </c>
      <c r="I504" t="n">
        <v>0</v>
      </c>
      <c r="J504" t="n">
        <v>0</v>
      </c>
      <c r="K504" t="n">
        <v>0</v>
      </c>
      <c r="L504" t="n">
        <v>0</v>
      </c>
      <c r="M504" t="n">
        <v>0</v>
      </c>
      <c r="N504" t="n">
        <v>0</v>
      </c>
      <c r="O504" t="n">
        <v>0</v>
      </c>
      <c r="P504" t="n">
        <v>0</v>
      </c>
      <c r="Q504" t="n">
        <v>0</v>
      </c>
      <c r="R504" s="2" t="inlineStr"/>
      <c r="U504">
        <f>HYPERLINK("https://klasma.github.io/Logging_0360/knärot/A 53486-2025 karta knärot.png", "A 53486-2025")</f>
        <v/>
      </c>
      <c r="V504">
        <f>HYPERLINK("https://klasma.github.io/Logging_0360/klagomål/A 53486-2025 FSC-klagomål.docx", "A 53486-2025")</f>
        <v/>
      </c>
      <c r="W504">
        <f>HYPERLINK("https://klasma.github.io/Logging_0360/klagomålsmail/A 53486-2025 FSC-klagomål mail.docx", "A 53486-2025")</f>
        <v/>
      </c>
      <c r="X504">
        <f>HYPERLINK("https://klasma.github.io/Logging_0360/tillsyn/A 53486-2025 tillsynsbegäran.docx", "A 53486-2025")</f>
        <v/>
      </c>
      <c r="Y504">
        <f>HYPERLINK("https://klasma.github.io/Logging_0360/tillsynsmail/A 53486-2025 tillsynsbegäran mail.docx", "A 53486-2025")</f>
        <v/>
      </c>
    </row>
    <row r="505" ht="15" customHeight="1">
      <c r="A505" t="inlineStr">
        <is>
          <t>A 53774-2025</t>
        </is>
      </c>
      <c r="B505" s="1" t="n">
        <v>45960.688125</v>
      </c>
      <c r="C505" s="1" t="n">
        <v>46075</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53856-2025</t>
        </is>
      </c>
      <c r="B506" s="1" t="n">
        <v>45961.37568287037</v>
      </c>
      <c r="C506" s="1" t="n">
        <v>46075</v>
      </c>
      <c r="D506" t="inlineStr">
        <is>
          <t>UPPSALA LÄN</t>
        </is>
      </c>
      <c r="E506" t="inlineStr">
        <is>
          <t>TIERP</t>
        </is>
      </c>
      <c r="G506" t="n">
        <v>2.3</v>
      </c>
      <c r="H506" t="n">
        <v>0</v>
      </c>
      <c r="I506" t="n">
        <v>0</v>
      </c>
      <c r="J506" t="n">
        <v>0</v>
      </c>
      <c r="K506" t="n">
        <v>0</v>
      </c>
      <c r="L506" t="n">
        <v>0</v>
      </c>
      <c r="M506" t="n">
        <v>0</v>
      </c>
      <c r="N506" t="n">
        <v>0</v>
      </c>
      <c r="O506" t="n">
        <v>0</v>
      </c>
      <c r="P506" t="n">
        <v>0</v>
      </c>
      <c r="Q506" t="n">
        <v>0</v>
      </c>
      <c r="R506" s="2" t="inlineStr"/>
    </row>
    <row r="507" ht="15" customHeight="1">
      <c r="A507" t="inlineStr">
        <is>
          <t>A 18544-2025</t>
        </is>
      </c>
      <c r="B507" s="1" t="n">
        <v>45763.42081018518</v>
      </c>
      <c r="C507" s="1" t="n">
        <v>46075</v>
      </c>
      <c r="D507" t="inlineStr">
        <is>
          <t>UPPSALA LÄN</t>
        </is>
      </c>
      <c r="E507" t="inlineStr">
        <is>
          <t>TIERP</t>
        </is>
      </c>
      <c r="G507" t="n">
        <v>1.2</v>
      </c>
      <c r="H507" t="n">
        <v>0</v>
      </c>
      <c r="I507" t="n">
        <v>0</v>
      </c>
      <c r="J507" t="n">
        <v>0</v>
      </c>
      <c r="K507" t="n">
        <v>0</v>
      </c>
      <c r="L507" t="n">
        <v>0</v>
      </c>
      <c r="M507" t="n">
        <v>0</v>
      </c>
      <c r="N507" t="n">
        <v>0</v>
      </c>
      <c r="O507" t="n">
        <v>0</v>
      </c>
      <c r="P507" t="n">
        <v>0</v>
      </c>
      <c r="Q507" t="n">
        <v>0</v>
      </c>
      <c r="R507" s="2" t="inlineStr"/>
    </row>
    <row r="508" ht="15" customHeight="1">
      <c r="A508" t="inlineStr">
        <is>
          <t>A 54458-2025</t>
        </is>
      </c>
      <c r="B508" s="1" t="n">
        <v>45965.55327546296</v>
      </c>
      <c r="C508" s="1" t="n">
        <v>46075</v>
      </c>
      <c r="D508" t="inlineStr">
        <is>
          <t>UPPSALA LÄN</t>
        </is>
      </c>
      <c r="E508" t="inlineStr">
        <is>
          <t>TIERP</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408-2024</t>
        </is>
      </c>
      <c r="B509" s="1" t="n">
        <v>45296</v>
      </c>
      <c r="C509" s="1" t="n">
        <v>46075</v>
      </c>
      <c r="D509" t="inlineStr">
        <is>
          <t>UPPSALA LÄN</t>
        </is>
      </c>
      <c r="E509" t="inlineStr">
        <is>
          <t>TIERP</t>
        </is>
      </c>
      <c r="G509" t="n">
        <v>2</v>
      </c>
      <c r="H509" t="n">
        <v>0</v>
      </c>
      <c r="I509" t="n">
        <v>0</v>
      </c>
      <c r="J509" t="n">
        <v>0</v>
      </c>
      <c r="K509" t="n">
        <v>0</v>
      </c>
      <c r="L509" t="n">
        <v>0</v>
      </c>
      <c r="M509" t="n">
        <v>0</v>
      </c>
      <c r="N509" t="n">
        <v>0</v>
      </c>
      <c r="O509" t="n">
        <v>0</v>
      </c>
      <c r="P509" t="n">
        <v>0</v>
      </c>
      <c r="Q509" t="n">
        <v>0</v>
      </c>
      <c r="R509" s="2" t="inlineStr"/>
    </row>
    <row r="510" ht="15" customHeight="1">
      <c r="A510" t="inlineStr">
        <is>
          <t>A 54553-2025</t>
        </is>
      </c>
      <c r="B510" s="1" t="n">
        <v>45965.65832175926</v>
      </c>
      <c r="C510" s="1" t="n">
        <v>46075</v>
      </c>
      <c r="D510" t="inlineStr">
        <is>
          <t>UPPSALA LÄN</t>
        </is>
      </c>
      <c r="E510" t="inlineStr">
        <is>
          <t>TIERP</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54534-2025</t>
        </is>
      </c>
      <c r="B511" s="1" t="n">
        <v>45965.63770833334</v>
      </c>
      <c r="C511" s="1" t="n">
        <v>46075</v>
      </c>
      <c r="D511" t="inlineStr">
        <is>
          <t>UPPSALA LÄN</t>
        </is>
      </c>
      <c r="E511" t="inlineStr">
        <is>
          <t>TIERP</t>
        </is>
      </c>
      <c r="F511" t="inlineStr">
        <is>
          <t>Bergvik skog väst AB</t>
        </is>
      </c>
      <c r="G511" t="n">
        <v>7.7</v>
      </c>
      <c r="H511" t="n">
        <v>0</v>
      </c>
      <c r="I511" t="n">
        <v>0</v>
      </c>
      <c r="J511" t="n">
        <v>0</v>
      </c>
      <c r="K511" t="n">
        <v>0</v>
      </c>
      <c r="L511" t="n">
        <v>0</v>
      </c>
      <c r="M511" t="n">
        <v>0</v>
      </c>
      <c r="N511" t="n">
        <v>0</v>
      </c>
      <c r="O511" t="n">
        <v>0</v>
      </c>
      <c r="P511" t="n">
        <v>0</v>
      </c>
      <c r="Q511" t="n">
        <v>0</v>
      </c>
      <c r="R511" s="2" t="inlineStr"/>
    </row>
    <row r="512" ht="15" customHeight="1">
      <c r="A512" t="inlineStr">
        <is>
          <t>A 54482-2025</t>
        </is>
      </c>
      <c r="B512" s="1" t="n">
        <v>45965.58917824074</v>
      </c>
      <c r="C512" s="1" t="n">
        <v>46075</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46075</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29115-2023</t>
        </is>
      </c>
      <c r="B514" s="1" t="n">
        <v>45105.39783564815</v>
      </c>
      <c r="C514" s="1" t="n">
        <v>46075</v>
      </c>
      <c r="D514" t="inlineStr">
        <is>
          <t>UPPSALA LÄN</t>
        </is>
      </c>
      <c r="E514" t="inlineStr">
        <is>
          <t>TIERP</t>
        </is>
      </c>
      <c r="G514" t="n">
        <v>3.1</v>
      </c>
      <c r="H514" t="n">
        <v>0</v>
      </c>
      <c r="I514" t="n">
        <v>0</v>
      </c>
      <c r="J514" t="n">
        <v>0</v>
      </c>
      <c r="K514" t="n">
        <v>0</v>
      </c>
      <c r="L514" t="n">
        <v>0</v>
      </c>
      <c r="M514" t="n">
        <v>0</v>
      </c>
      <c r="N514" t="n">
        <v>0</v>
      </c>
      <c r="O514" t="n">
        <v>0</v>
      </c>
      <c r="P514" t="n">
        <v>0</v>
      </c>
      <c r="Q514" t="n">
        <v>0</v>
      </c>
      <c r="R514" s="2" t="inlineStr"/>
    </row>
    <row r="515" ht="15" customHeight="1">
      <c r="A515" t="inlineStr">
        <is>
          <t>A 54712-2025</t>
        </is>
      </c>
      <c r="B515" s="1" t="n">
        <v>45966.50311342593</v>
      </c>
      <c r="C515" s="1" t="n">
        <v>46075</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11306-2025</t>
        </is>
      </c>
      <c r="B516" s="1" t="n">
        <v>45726.44540509259</v>
      </c>
      <c r="C516" s="1" t="n">
        <v>46075</v>
      </c>
      <c r="D516" t="inlineStr">
        <is>
          <t>UPPSALA LÄN</t>
        </is>
      </c>
      <c r="E516" t="inlineStr">
        <is>
          <t>TIERP</t>
        </is>
      </c>
      <c r="F516" t="inlineStr">
        <is>
          <t>Bergvik skog öst AB</t>
        </is>
      </c>
      <c r="G516" t="n">
        <v>5.7</v>
      </c>
      <c r="H516" t="n">
        <v>0</v>
      </c>
      <c r="I516" t="n">
        <v>0</v>
      </c>
      <c r="J516" t="n">
        <v>0</v>
      </c>
      <c r="K516" t="n">
        <v>0</v>
      </c>
      <c r="L516" t="n">
        <v>0</v>
      </c>
      <c r="M516" t="n">
        <v>0</v>
      </c>
      <c r="N516" t="n">
        <v>0</v>
      </c>
      <c r="O516" t="n">
        <v>0</v>
      </c>
      <c r="P516" t="n">
        <v>0</v>
      </c>
      <c r="Q516" t="n">
        <v>0</v>
      </c>
      <c r="R516" s="2" t="inlineStr"/>
    </row>
    <row r="517" ht="15" customHeight="1">
      <c r="A517" t="inlineStr">
        <is>
          <t>A 54615-2025</t>
        </is>
      </c>
      <c r="B517" s="1" t="n">
        <v>45966.34025462963</v>
      </c>
      <c r="C517" s="1" t="n">
        <v>46075</v>
      </c>
      <c r="D517" t="inlineStr">
        <is>
          <t>UPPSALA LÄN</t>
        </is>
      </c>
      <c r="E517" t="inlineStr">
        <is>
          <t>TIERP</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51756-2023</t>
        </is>
      </c>
      <c r="B518" s="1" t="n">
        <v>45222.6916550926</v>
      </c>
      <c r="C518" s="1" t="n">
        <v>46075</v>
      </c>
      <c r="D518" t="inlineStr">
        <is>
          <t>UPPSALA LÄN</t>
        </is>
      </c>
      <c r="E518" t="inlineStr">
        <is>
          <t>TIERP</t>
        </is>
      </c>
      <c r="G518" t="n">
        <v>0.3</v>
      </c>
      <c r="H518" t="n">
        <v>0</v>
      </c>
      <c r="I518" t="n">
        <v>0</v>
      </c>
      <c r="J518" t="n">
        <v>0</v>
      </c>
      <c r="K518" t="n">
        <v>0</v>
      </c>
      <c r="L518" t="n">
        <v>0</v>
      </c>
      <c r="M518" t="n">
        <v>0</v>
      </c>
      <c r="N518" t="n">
        <v>0</v>
      </c>
      <c r="O518" t="n">
        <v>0</v>
      </c>
      <c r="P518" t="n">
        <v>0</v>
      </c>
      <c r="Q518" t="n">
        <v>0</v>
      </c>
      <c r="R518" s="2" t="inlineStr"/>
    </row>
    <row r="519" ht="15" customHeight="1">
      <c r="A519" t="inlineStr">
        <is>
          <t>A 54626-2025</t>
        </is>
      </c>
      <c r="B519" s="1" t="n">
        <v>45966.34560185186</v>
      </c>
      <c r="C519" s="1" t="n">
        <v>46075</v>
      </c>
      <c r="D519" t="inlineStr">
        <is>
          <t>UPPSALA LÄN</t>
        </is>
      </c>
      <c r="E519" t="inlineStr">
        <is>
          <t>TIERP</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46075</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15655-2025</t>
        </is>
      </c>
      <c r="B521" s="1" t="n">
        <v>45748</v>
      </c>
      <c r="C521" s="1" t="n">
        <v>46075</v>
      </c>
      <c r="D521" t="inlineStr">
        <is>
          <t>UPPSALA LÄN</t>
        </is>
      </c>
      <c r="E521" t="inlineStr">
        <is>
          <t>TIERP</t>
        </is>
      </c>
      <c r="F521" t="inlineStr">
        <is>
          <t>Kyrkan</t>
        </is>
      </c>
      <c r="G521" t="n">
        <v>4.5</v>
      </c>
      <c r="H521" t="n">
        <v>0</v>
      </c>
      <c r="I521" t="n">
        <v>0</v>
      </c>
      <c r="J521" t="n">
        <v>0</v>
      </c>
      <c r="K521" t="n">
        <v>0</v>
      </c>
      <c r="L521" t="n">
        <v>0</v>
      </c>
      <c r="M521" t="n">
        <v>0</v>
      </c>
      <c r="N521" t="n">
        <v>0</v>
      </c>
      <c r="O521" t="n">
        <v>0</v>
      </c>
      <c r="P521" t="n">
        <v>0</v>
      </c>
      <c r="Q521" t="n">
        <v>0</v>
      </c>
      <c r="R521" s="2" t="inlineStr"/>
    </row>
    <row r="522" ht="15" customHeight="1">
      <c r="A522" t="inlineStr">
        <is>
          <t>A 7732-2025</t>
        </is>
      </c>
      <c r="B522" s="1" t="n">
        <v>45706</v>
      </c>
      <c r="C522" s="1" t="n">
        <v>46075</v>
      </c>
      <c r="D522" t="inlineStr">
        <is>
          <t>UPPSALA LÄN</t>
        </is>
      </c>
      <c r="E522" t="inlineStr">
        <is>
          <t>TIERP</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56051-2025</t>
        </is>
      </c>
      <c r="B523" s="1" t="n">
        <v>45973.63171296296</v>
      </c>
      <c r="C523" s="1" t="n">
        <v>46075</v>
      </c>
      <c r="D523" t="inlineStr">
        <is>
          <t>UPPSALA LÄN</t>
        </is>
      </c>
      <c r="E523" t="inlineStr">
        <is>
          <t>TIERP</t>
        </is>
      </c>
      <c r="F523" t="inlineStr">
        <is>
          <t>Bergvik skog väst AB</t>
        </is>
      </c>
      <c r="G523" t="n">
        <v>4.6</v>
      </c>
      <c r="H523" t="n">
        <v>0</v>
      </c>
      <c r="I523" t="n">
        <v>0</v>
      </c>
      <c r="J523" t="n">
        <v>0</v>
      </c>
      <c r="K523" t="n">
        <v>0</v>
      </c>
      <c r="L523" t="n">
        <v>0</v>
      </c>
      <c r="M523" t="n">
        <v>0</v>
      </c>
      <c r="N523" t="n">
        <v>0</v>
      </c>
      <c r="O523" t="n">
        <v>0</v>
      </c>
      <c r="P523" t="n">
        <v>0</v>
      </c>
      <c r="Q523" t="n">
        <v>0</v>
      </c>
      <c r="R523" s="2" t="inlineStr"/>
    </row>
    <row r="524" ht="15" customHeight="1">
      <c r="A524" t="inlineStr">
        <is>
          <t>A 55719-2025</t>
        </is>
      </c>
      <c r="B524" s="1" t="n">
        <v>45972</v>
      </c>
      <c r="C524" s="1" t="n">
        <v>46075</v>
      </c>
      <c r="D524" t="inlineStr">
        <is>
          <t>UPPSALA LÄN</t>
        </is>
      </c>
      <c r="E524" t="inlineStr">
        <is>
          <t>TIERP</t>
        </is>
      </c>
      <c r="G524" t="n">
        <v>1.7</v>
      </c>
      <c r="H524" t="n">
        <v>0</v>
      </c>
      <c r="I524" t="n">
        <v>0</v>
      </c>
      <c r="J524" t="n">
        <v>0</v>
      </c>
      <c r="K524" t="n">
        <v>0</v>
      </c>
      <c r="L524" t="n">
        <v>0</v>
      </c>
      <c r="M524" t="n">
        <v>0</v>
      </c>
      <c r="N524" t="n">
        <v>0</v>
      </c>
      <c r="O524" t="n">
        <v>0</v>
      </c>
      <c r="P524" t="n">
        <v>0</v>
      </c>
      <c r="Q524" t="n">
        <v>0</v>
      </c>
      <c r="R524" s="2" t="inlineStr"/>
    </row>
    <row r="525" ht="15" customHeight="1">
      <c r="A525" t="inlineStr">
        <is>
          <t>A 56044-2025</t>
        </is>
      </c>
      <c r="B525" s="1" t="n">
        <v>45973.61974537037</v>
      </c>
      <c r="C525" s="1" t="n">
        <v>46075</v>
      </c>
      <c r="D525" t="inlineStr">
        <is>
          <t>UPPSALA LÄN</t>
        </is>
      </c>
      <c r="E525" t="inlineStr">
        <is>
          <t>TIERP</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56046-2025</t>
        </is>
      </c>
      <c r="B526" s="1" t="n">
        <v>45973.62456018518</v>
      </c>
      <c r="C526" s="1" t="n">
        <v>46075</v>
      </c>
      <c r="D526" t="inlineStr">
        <is>
          <t>UPPSALA LÄN</t>
        </is>
      </c>
      <c r="E526" t="inlineStr">
        <is>
          <t>TIERP</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55872-2025</t>
        </is>
      </c>
      <c r="B527" s="1" t="n">
        <v>45973.35476851852</v>
      </c>
      <c r="C527" s="1" t="n">
        <v>46075</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46075</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56059-2025</t>
        </is>
      </c>
      <c r="B529" s="1" t="n">
        <v>45973.63755787037</v>
      </c>
      <c r="C529" s="1" t="n">
        <v>46075</v>
      </c>
      <c r="D529" t="inlineStr">
        <is>
          <t>UPPSALA LÄN</t>
        </is>
      </c>
      <c r="E529" t="inlineStr">
        <is>
          <t>TIERP</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55716-2025</t>
        </is>
      </c>
      <c r="B530" s="1" t="n">
        <v>45972</v>
      </c>
      <c r="C530" s="1" t="n">
        <v>46075</v>
      </c>
      <c r="D530" t="inlineStr">
        <is>
          <t>UPPSALA LÄN</t>
        </is>
      </c>
      <c r="E530" t="inlineStr">
        <is>
          <t>TIERP</t>
        </is>
      </c>
      <c r="G530" t="n">
        <v>4.8</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46075</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55720-2025</t>
        </is>
      </c>
      <c r="B532" s="1" t="n">
        <v>45972</v>
      </c>
      <c r="C532" s="1" t="n">
        <v>46075</v>
      </c>
      <c r="D532" t="inlineStr">
        <is>
          <t>UPPSALA LÄN</t>
        </is>
      </c>
      <c r="E532" t="inlineStr">
        <is>
          <t>TIERP</t>
        </is>
      </c>
      <c r="G532" t="n">
        <v>4.2</v>
      </c>
      <c r="H532" t="n">
        <v>0</v>
      </c>
      <c r="I532" t="n">
        <v>0</v>
      </c>
      <c r="J532" t="n">
        <v>0</v>
      </c>
      <c r="K532" t="n">
        <v>0</v>
      </c>
      <c r="L532" t="n">
        <v>0</v>
      </c>
      <c r="M532" t="n">
        <v>0</v>
      </c>
      <c r="N532" t="n">
        <v>0</v>
      </c>
      <c r="O532" t="n">
        <v>0</v>
      </c>
      <c r="P532" t="n">
        <v>0</v>
      </c>
      <c r="Q532" t="n">
        <v>0</v>
      </c>
      <c r="R532" s="2" t="inlineStr"/>
    </row>
    <row r="533" ht="15" customHeight="1">
      <c r="A533" t="inlineStr">
        <is>
          <t>A 4531-2023</t>
        </is>
      </c>
      <c r="B533" s="1" t="n">
        <v>44956.62740740741</v>
      </c>
      <c r="C533" s="1" t="n">
        <v>46075</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6254-2022</t>
        </is>
      </c>
      <c r="B534" s="1" t="n">
        <v>44600.44900462963</v>
      </c>
      <c r="C534" s="1" t="n">
        <v>46075</v>
      </c>
      <c r="D534" t="inlineStr">
        <is>
          <t>UPPSALA LÄN</t>
        </is>
      </c>
      <c r="E534" t="inlineStr">
        <is>
          <t>TIERP</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57075-2025</t>
        </is>
      </c>
      <c r="B535" s="1" t="n">
        <v>45979.39712962963</v>
      </c>
      <c r="C535" s="1" t="n">
        <v>46075</v>
      </c>
      <c r="D535" t="inlineStr">
        <is>
          <t>UPPSALA LÄN</t>
        </is>
      </c>
      <c r="E535" t="inlineStr">
        <is>
          <t>TIERP</t>
        </is>
      </c>
      <c r="G535" t="n">
        <v>0.6</v>
      </c>
      <c r="H535" t="n">
        <v>0</v>
      </c>
      <c r="I535" t="n">
        <v>0</v>
      </c>
      <c r="J535" t="n">
        <v>0</v>
      </c>
      <c r="K535" t="n">
        <v>0</v>
      </c>
      <c r="L535" t="n">
        <v>0</v>
      </c>
      <c r="M535" t="n">
        <v>0</v>
      </c>
      <c r="N535" t="n">
        <v>0</v>
      </c>
      <c r="O535" t="n">
        <v>0</v>
      </c>
      <c r="P535" t="n">
        <v>0</v>
      </c>
      <c r="Q535" t="n">
        <v>0</v>
      </c>
      <c r="R535" s="2" t="inlineStr"/>
    </row>
    <row r="536" ht="15" customHeight="1">
      <c r="A536" t="inlineStr">
        <is>
          <t>A 18781-2022</t>
        </is>
      </c>
      <c r="B536" s="1" t="n">
        <v>44689</v>
      </c>
      <c r="C536" s="1" t="n">
        <v>46075</v>
      </c>
      <c r="D536" t="inlineStr">
        <is>
          <t>UPPSALA LÄN</t>
        </is>
      </c>
      <c r="E536" t="inlineStr">
        <is>
          <t>TIERP</t>
        </is>
      </c>
      <c r="F536" t="inlineStr">
        <is>
          <t>Kyrkan</t>
        </is>
      </c>
      <c r="G536" t="n">
        <v>8.4</v>
      </c>
      <c r="H536" t="n">
        <v>0</v>
      </c>
      <c r="I536" t="n">
        <v>0</v>
      </c>
      <c r="J536" t="n">
        <v>0</v>
      </c>
      <c r="K536" t="n">
        <v>0</v>
      </c>
      <c r="L536" t="n">
        <v>0</v>
      </c>
      <c r="M536" t="n">
        <v>0</v>
      </c>
      <c r="N536" t="n">
        <v>0</v>
      </c>
      <c r="O536" t="n">
        <v>0</v>
      </c>
      <c r="P536" t="n">
        <v>0</v>
      </c>
      <c r="Q536" t="n">
        <v>0</v>
      </c>
      <c r="R536" s="2" t="inlineStr"/>
    </row>
    <row r="537" ht="15" customHeight="1">
      <c r="A537" t="inlineStr">
        <is>
          <t>A 57064-2025</t>
        </is>
      </c>
      <c r="B537" s="1" t="n">
        <v>45979.38488425926</v>
      </c>
      <c r="C537" s="1" t="n">
        <v>46075</v>
      </c>
      <c r="D537" t="inlineStr">
        <is>
          <t>UPPSALA LÄN</t>
        </is>
      </c>
      <c r="E537" t="inlineStr">
        <is>
          <t>TIERP</t>
        </is>
      </c>
      <c r="G537" t="n">
        <v>2.6</v>
      </c>
      <c r="H537" t="n">
        <v>0</v>
      </c>
      <c r="I537" t="n">
        <v>0</v>
      </c>
      <c r="J537" t="n">
        <v>0</v>
      </c>
      <c r="K537" t="n">
        <v>0</v>
      </c>
      <c r="L537" t="n">
        <v>0</v>
      </c>
      <c r="M537" t="n">
        <v>0</v>
      </c>
      <c r="N537" t="n">
        <v>0</v>
      </c>
      <c r="O537" t="n">
        <v>0</v>
      </c>
      <c r="P537" t="n">
        <v>0</v>
      </c>
      <c r="Q537" t="n">
        <v>0</v>
      </c>
      <c r="R537" s="2" t="inlineStr"/>
    </row>
    <row r="538" ht="15" customHeight="1">
      <c r="A538" t="inlineStr">
        <is>
          <t>A 40748-2024</t>
        </is>
      </c>
      <c r="B538" s="1" t="n">
        <v>45558.45347222222</v>
      </c>
      <c r="C538" s="1" t="n">
        <v>46075</v>
      </c>
      <c r="D538" t="inlineStr">
        <is>
          <t>UPPSALA LÄN</t>
        </is>
      </c>
      <c r="E538" t="inlineStr">
        <is>
          <t>TIERP</t>
        </is>
      </c>
      <c r="G538" t="n">
        <v>2.8</v>
      </c>
      <c r="H538" t="n">
        <v>0</v>
      </c>
      <c r="I538" t="n">
        <v>0</v>
      </c>
      <c r="J538" t="n">
        <v>0</v>
      </c>
      <c r="K538" t="n">
        <v>0</v>
      </c>
      <c r="L538" t="n">
        <v>0</v>
      </c>
      <c r="M538" t="n">
        <v>0</v>
      </c>
      <c r="N538" t="n">
        <v>0</v>
      </c>
      <c r="O538" t="n">
        <v>0</v>
      </c>
      <c r="P538" t="n">
        <v>0</v>
      </c>
      <c r="Q538" t="n">
        <v>0</v>
      </c>
      <c r="R538" s="2" t="inlineStr"/>
    </row>
    <row r="539" ht="15" customHeight="1">
      <c r="A539" t="inlineStr">
        <is>
          <t>A 57277-2025</t>
        </is>
      </c>
      <c r="B539" s="1" t="n">
        <v>45979.68946759259</v>
      </c>
      <c r="C539" s="1" t="n">
        <v>46075</v>
      </c>
      <c r="D539" t="inlineStr">
        <is>
          <t>UPPSALA LÄN</t>
        </is>
      </c>
      <c r="E539" t="inlineStr">
        <is>
          <t>TIERP</t>
        </is>
      </c>
      <c r="G539" t="n">
        <v>4</v>
      </c>
      <c r="H539" t="n">
        <v>0</v>
      </c>
      <c r="I539" t="n">
        <v>0</v>
      </c>
      <c r="J539" t="n">
        <v>0</v>
      </c>
      <c r="K539" t="n">
        <v>0</v>
      </c>
      <c r="L539" t="n">
        <v>0</v>
      </c>
      <c r="M539" t="n">
        <v>0</v>
      </c>
      <c r="N539" t="n">
        <v>0</v>
      </c>
      <c r="O539" t="n">
        <v>0</v>
      </c>
      <c r="P539" t="n">
        <v>0</v>
      </c>
      <c r="Q539" t="n">
        <v>0</v>
      </c>
      <c r="R539" s="2" t="inlineStr"/>
    </row>
    <row r="540" ht="15" customHeight="1">
      <c r="A540" t="inlineStr">
        <is>
          <t>A 60985-2024</t>
        </is>
      </c>
      <c r="B540" s="1" t="n">
        <v>45645.41540509259</v>
      </c>
      <c r="C540" s="1" t="n">
        <v>46075</v>
      </c>
      <c r="D540" t="inlineStr">
        <is>
          <t>UPPSALA LÄN</t>
        </is>
      </c>
      <c r="E540" t="inlineStr">
        <is>
          <t>TIERP</t>
        </is>
      </c>
      <c r="G540" t="n">
        <v>5.5</v>
      </c>
      <c r="H540" t="n">
        <v>0</v>
      </c>
      <c r="I540" t="n">
        <v>0</v>
      </c>
      <c r="J540" t="n">
        <v>0</v>
      </c>
      <c r="K540" t="n">
        <v>0</v>
      </c>
      <c r="L540" t="n">
        <v>0</v>
      </c>
      <c r="M540" t="n">
        <v>0</v>
      </c>
      <c r="N540" t="n">
        <v>0</v>
      </c>
      <c r="O540" t="n">
        <v>0</v>
      </c>
      <c r="P540" t="n">
        <v>0</v>
      </c>
      <c r="Q540" t="n">
        <v>0</v>
      </c>
      <c r="R540" s="2" t="inlineStr"/>
    </row>
    <row r="541" ht="15" customHeight="1">
      <c r="A541" t="inlineStr">
        <is>
          <t>A 57878-2025</t>
        </is>
      </c>
      <c r="B541" s="1" t="n">
        <v>45981.65857638889</v>
      </c>
      <c r="C541" s="1" t="n">
        <v>46075</v>
      </c>
      <c r="D541" t="inlineStr">
        <is>
          <t>UPPSALA LÄN</t>
        </is>
      </c>
      <c r="E541" t="inlineStr">
        <is>
          <t>TIERP</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57657-2025</t>
        </is>
      </c>
      <c r="B542" s="1" t="n">
        <v>45981.40962962963</v>
      </c>
      <c r="C542" s="1" t="n">
        <v>46075</v>
      </c>
      <c r="D542" t="inlineStr">
        <is>
          <t>UPPSALA LÄN</t>
        </is>
      </c>
      <c r="E542" t="inlineStr">
        <is>
          <t>TIERP</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49111-2024</t>
        </is>
      </c>
      <c r="B543" s="1" t="n">
        <v>45594.65586805555</v>
      </c>
      <c r="C543" s="1" t="n">
        <v>46075</v>
      </c>
      <c r="D543" t="inlineStr">
        <is>
          <t>UPPSALA LÄN</t>
        </is>
      </c>
      <c r="E543" t="inlineStr">
        <is>
          <t>TIERP</t>
        </is>
      </c>
      <c r="G543" t="n">
        <v>1.9</v>
      </c>
      <c r="H543" t="n">
        <v>0</v>
      </c>
      <c r="I543" t="n">
        <v>0</v>
      </c>
      <c r="J543" t="n">
        <v>0</v>
      </c>
      <c r="K543" t="n">
        <v>0</v>
      </c>
      <c r="L543" t="n">
        <v>0</v>
      </c>
      <c r="M543" t="n">
        <v>0</v>
      </c>
      <c r="N543" t="n">
        <v>0</v>
      </c>
      <c r="O543" t="n">
        <v>0</v>
      </c>
      <c r="P543" t="n">
        <v>0</v>
      </c>
      <c r="Q543" t="n">
        <v>0</v>
      </c>
      <c r="R543" s="2" t="inlineStr"/>
    </row>
    <row r="544" ht="15" customHeight="1">
      <c r="A544" t="inlineStr">
        <is>
          <t>A 57811-2025</t>
        </is>
      </c>
      <c r="B544" s="1" t="n">
        <v>45981.5921875</v>
      </c>
      <c r="C544" s="1" t="n">
        <v>46075</v>
      </c>
      <c r="D544" t="inlineStr">
        <is>
          <t>UPPSALA LÄN</t>
        </is>
      </c>
      <c r="E544" t="inlineStr">
        <is>
          <t>TIERP</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57692-2025</t>
        </is>
      </c>
      <c r="B545" s="1" t="n">
        <v>45981.4483912037</v>
      </c>
      <c r="C545" s="1" t="n">
        <v>46075</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57699-2025</t>
        </is>
      </c>
      <c r="B546" s="1" t="n">
        <v>45981.45741898148</v>
      </c>
      <c r="C546" s="1" t="n">
        <v>46075</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57422-2025</t>
        </is>
      </c>
      <c r="B547" s="1" t="n">
        <v>45980.45951388889</v>
      </c>
      <c r="C547" s="1" t="n">
        <v>46075</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55818-2023</t>
        </is>
      </c>
      <c r="B548" s="1" t="n">
        <v>45239.58409722222</v>
      </c>
      <c r="C548" s="1" t="n">
        <v>46075</v>
      </c>
      <c r="D548" t="inlineStr">
        <is>
          <t>UPPSALA LÄN</t>
        </is>
      </c>
      <c r="E548" t="inlineStr">
        <is>
          <t>TIERP</t>
        </is>
      </c>
      <c r="G548" t="n">
        <v>0.4</v>
      </c>
      <c r="H548" t="n">
        <v>0</v>
      </c>
      <c r="I548" t="n">
        <v>0</v>
      </c>
      <c r="J548" t="n">
        <v>0</v>
      </c>
      <c r="K548" t="n">
        <v>0</v>
      </c>
      <c r="L548" t="n">
        <v>0</v>
      </c>
      <c r="M548" t="n">
        <v>0</v>
      </c>
      <c r="N548" t="n">
        <v>0</v>
      </c>
      <c r="O548" t="n">
        <v>0</v>
      </c>
      <c r="P548" t="n">
        <v>0</v>
      </c>
      <c r="Q548" t="n">
        <v>0</v>
      </c>
      <c r="R548" s="2" t="inlineStr"/>
    </row>
    <row r="549" ht="15" customHeight="1">
      <c r="A549" t="inlineStr">
        <is>
          <t>A 58134-2025</t>
        </is>
      </c>
      <c r="B549" s="1" t="n">
        <v>45982.61978009259</v>
      </c>
      <c r="C549" s="1" t="n">
        <v>46075</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57944-2025</t>
        </is>
      </c>
      <c r="B550" s="1" t="n">
        <v>45982.32059027778</v>
      </c>
      <c r="C550" s="1" t="n">
        <v>46075</v>
      </c>
      <c r="D550" t="inlineStr">
        <is>
          <t>UPPSALA LÄN</t>
        </is>
      </c>
      <c r="E550" t="inlineStr">
        <is>
          <t>TIERP</t>
        </is>
      </c>
      <c r="F550" t="inlineStr">
        <is>
          <t>Övriga Aktiebolag</t>
        </is>
      </c>
      <c r="G550" t="n">
        <v>6.2</v>
      </c>
      <c r="H550" t="n">
        <v>0</v>
      </c>
      <c r="I550" t="n">
        <v>0</v>
      </c>
      <c r="J550" t="n">
        <v>0</v>
      </c>
      <c r="K550" t="n">
        <v>0</v>
      </c>
      <c r="L550" t="n">
        <v>0</v>
      </c>
      <c r="M550" t="n">
        <v>0</v>
      </c>
      <c r="N550" t="n">
        <v>0</v>
      </c>
      <c r="O550" t="n">
        <v>0</v>
      </c>
      <c r="P550" t="n">
        <v>0</v>
      </c>
      <c r="Q550" t="n">
        <v>0</v>
      </c>
      <c r="R550" s="2" t="inlineStr"/>
    </row>
    <row r="551" ht="15" customHeight="1">
      <c r="A551" t="inlineStr">
        <is>
          <t>A 57945-2025</t>
        </is>
      </c>
      <c r="B551" s="1" t="n">
        <v>45982.32641203704</v>
      </c>
      <c r="C551" s="1" t="n">
        <v>46075</v>
      </c>
      <c r="D551" t="inlineStr">
        <is>
          <t>UPPSALA LÄN</t>
        </is>
      </c>
      <c r="E551" t="inlineStr">
        <is>
          <t>TIERP</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57966-2025</t>
        </is>
      </c>
      <c r="B552" s="1" t="n">
        <v>45982.38324074074</v>
      </c>
      <c r="C552" s="1" t="n">
        <v>46075</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59244-2024</t>
        </is>
      </c>
      <c r="B553" s="1" t="n">
        <v>45637</v>
      </c>
      <c r="C553" s="1" t="n">
        <v>46075</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58842-2025</t>
        </is>
      </c>
      <c r="B554" s="1" t="n">
        <v>45987.36651620371</v>
      </c>
      <c r="C554" s="1" t="n">
        <v>46075</v>
      </c>
      <c r="D554" t="inlineStr">
        <is>
          <t>UPPSALA LÄN</t>
        </is>
      </c>
      <c r="E554" t="inlineStr">
        <is>
          <t>TIERP</t>
        </is>
      </c>
      <c r="G554" t="n">
        <v>5.6</v>
      </c>
      <c r="H554" t="n">
        <v>0</v>
      </c>
      <c r="I554" t="n">
        <v>0</v>
      </c>
      <c r="J554" t="n">
        <v>0</v>
      </c>
      <c r="K554" t="n">
        <v>0</v>
      </c>
      <c r="L554" t="n">
        <v>0</v>
      </c>
      <c r="M554" t="n">
        <v>0</v>
      </c>
      <c r="N554" t="n">
        <v>0</v>
      </c>
      <c r="O554" t="n">
        <v>0</v>
      </c>
      <c r="P554" t="n">
        <v>0</v>
      </c>
      <c r="Q554" t="n">
        <v>0</v>
      </c>
      <c r="R554" s="2" t="inlineStr"/>
    </row>
    <row r="555" ht="15" customHeight="1">
      <c r="A555" t="inlineStr">
        <is>
          <t>A 53090-2025</t>
        </is>
      </c>
      <c r="B555" s="1" t="n">
        <v>45958.42043981481</v>
      </c>
      <c r="C555" s="1" t="n">
        <v>46075</v>
      </c>
      <c r="D555" t="inlineStr">
        <is>
          <t>UPPSALA LÄN</t>
        </is>
      </c>
      <c r="E555" t="inlineStr">
        <is>
          <t>TIERP</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51646-2025</t>
        </is>
      </c>
      <c r="B556" s="1" t="n">
        <v>45951.44916666667</v>
      </c>
      <c r="C556" s="1" t="n">
        <v>46075</v>
      </c>
      <c r="D556" t="inlineStr">
        <is>
          <t>UPPSALA LÄN</t>
        </is>
      </c>
      <c r="E556" t="inlineStr">
        <is>
          <t>TIERP</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39383-2025</t>
        </is>
      </c>
      <c r="B557" s="1" t="n">
        <v>45889.61184027778</v>
      </c>
      <c r="C557" s="1" t="n">
        <v>46075</v>
      </c>
      <c r="D557" t="inlineStr">
        <is>
          <t>UPPSALA LÄN</t>
        </is>
      </c>
      <c r="E557" t="inlineStr">
        <is>
          <t>TIERP</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49777-2025</t>
        </is>
      </c>
      <c r="B558" s="1" t="n">
        <v>45940.38178240741</v>
      </c>
      <c r="C558" s="1" t="n">
        <v>46075</v>
      </c>
      <c r="D558" t="inlineStr">
        <is>
          <t>UPPSALA LÄN</t>
        </is>
      </c>
      <c r="E558" t="inlineStr">
        <is>
          <t>TIERP</t>
        </is>
      </c>
      <c r="F558" t="inlineStr">
        <is>
          <t>Bergvik skog öst AB</t>
        </is>
      </c>
      <c r="G558" t="n">
        <v>0.8</v>
      </c>
      <c r="H558" t="n">
        <v>0</v>
      </c>
      <c r="I558" t="n">
        <v>0</v>
      </c>
      <c r="J558" t="n">
        <v>0</v>
      </c>
      <c r="K558" t="n">
        <v>0</v>
      </c>
      <c r="L558" t="n">
        <v>0</v>
      </c>
      <c r="M558" t="n">
        <v>0</v>
      </c>
      <c r="N558" t="n">
        <v>0</v>
      </c>
      <c r="O558" t="n">
        <v>0</v>
      </c>
      <c r="P558" t="n">
        <v>0</v>
      </c>
      <c r="Q558" t="n">
        <v>0</v>
      </c>
      <c r="R558" s="2" t="inlineStr"/>
    </row>
    <row r="559" ht="15" customHeight="1">
      <c r="A559" t="inlineStr">
        <is>
          <t>A 53516-2025</t>
        </is>
      </c>
      <c r="B559" s="1" t="n">
        <v>45960.34961805555</v>
      </c>
      <c r="C559" s="1" t="n">
        <v>46075</v>
      </c>
      <c r="D559" t="inlineStr">
        <is>
          <t>UPPSALA LÄN</t>
        </is>
      </c>
      <c r="E559" t="inlineStr">
        <is>
          <t>TIERP</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55130-2025</t>
        </is>
      </c>
      <c r="B560" s="1" t="n">
        <v>45968.41636574074</v>
      </c>
      <c r="C560" s="1" t="n">
        <v>46075</v>
      </c>
      <c r="D560" t="inlineStr">
        <is>
          <t>UPPSALA LÄN</t>
        </is>
      </c>
      <c r="E560" t="inlineStr">
        <is>
          <t>TIERP</t>
        </is>
      </c>
      <c r="F560" t="inlineStr">
        <is>
          <t>Bergvik skog öst AB</t>
        </is>
      </c>
      <c r="G560" t="n">
        <v>3.3</v>
      </c>
      <c r="H560" t="n">
        <v>0</v>
      </c>
      <c r="I560" t="n">
        <v>0</v>
      </c>
      <c r="J560" t="n">
        <v>0</v>
      </c>
      <c r="K560" t="n">
        <v>0</v>
      </c>
      <c r="L560" t="n">
        <v>0</v>
      </c>
      <c r="M560" t="n">
        <v>0</v>
      </c>
      <c r="N560" t="n">
        <v>0</v>
      </c>
      <c r="O560" t="n">
        <v>0</v>
      </c>
      <c r="P560" t="n">
        <v>0</v>
      </c>
      <c r="Q560" t="n">
        <v>0</v>
      </c>
      <c r="R560" s="2" t="inlineStr"/>
    </row>
    <row r="561" ht="15" customHeight="1">
      <c r="A561" t="inlineStr">
        <is>
          <t>A 53679-2025</t>
        </is>
      </c>
      <c r="B561" s="1" t="n">
        <v>45960.57180555556</v>
      </c>
      <c r="C561" s="1" t="n">
        <v>46075</v>
      </c>
      <c r="D561" t="inlineStr">
        <is>
          <t>UPPSALA LÄN</t>
        </is>
      </c>
      <c r="E561" t="inlineStr">
        <is>
          <t>TIERP</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51060-2025</t>
        </is>
      </c>
      <c r="B562" s="1" t="n">
        <v>45947.44677083333</v>
      </c>
      <c r="C562" s="1" t="n">
        <v>46075</v>
      </c>
      <c r="D562" t="inlineStr">
        <is>
          <t>UPPSALA LÄN</t>
        </is>
      </c>
      <c r="E562" t="inlineStr">
        <is>
          <t>TIERP</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53121-2025</t>
        </is>
      </c>
      <c r="B563" s="1" t="n">
        <v>45958.45113425926</v>
      </c>
      <c r="C563" s="1" t="n">
        <v>46075</v>
      </c>
      <c r="D563" t="inlineStr">
        <is>
          <t>UPPSALA LÄN</t>
        </is>
      </c>
      <c r="E563" t="inlineStr">
        <is>
          <t>TIERP</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52795-2025</t>
        </is>
      </c>
      <c r="B564" s="1" t="n">
        <v>45957.43520833334</v>
      </c>
      <c r="C564" s="1" t="n">
        <v>46075</v>
      </c>
      <c r="D564" t="inlineStr">
        <is>
          <t>UPPSALA LÄN</t>
        </is>
      </c>
      <c r="E564" t="inlineStr">
        <is>
          <t>TIERP</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55143-2025</t>
        </is>
      </c>
      <c r="B565" s="1" t="n">
        <v>45968.4377662037</v>
      </c>
      <c r="C565" s="1" t="n">
        <v>46075</v>
      </c>
      <c r="D565" t="inlineStr">
        <is>
          <t>UPPSALA LÄN</t>
        </is>
      </c>
      <c r="E565" t="inlineStr">
        <is>
          <t>TIERP</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58946-2025</t>
        </is>
      </c>
      <c r="B566" s="1" t="n">
        <v>45987.58097222223</v>
      </c>
      <c r="C566" s="1" t="n">
        <v>46075</v>
      </c>
      <c r="D566" t="inlineStr">
        <is>
          <t>UPPSALA LÄN</t>
        </is>
      </c>
      <c r="E566" t="inlineStr">
        <is>
          <t>TIERP</t>
        </is>
      </c>
      <c r="G566" t="n">
        <v>5.5</v>
      </c>
      <c r="H566" t="n">
        <v>0</v>
      </c>
      <c r="I566" t="n">
        <v>0</v>
      </c>
      <c r="J566" t="n">
        <v>0</v>
      </c>
      <c r="K566" t="n">
        <v>0</v>
      </c>
      <c r="L566" t="n">
        <v>0</v>
      </c>
      <c r="M566" t="n">
        <v>0</v>
      </c>
      <c r="N566" t="n">
        <v>0</v>
      </c>
      <c r="O566" t="n">
        <v>0</v>
      </c>
      <c r="P566" t="n">
        <v>0</v>
      </c>
      <c r="Q566" t="n">
        <v>0</v>
      </c>
      <c r="R566" s="2" t="inlineStr"/>
    </row>
    <row r="567" ht="15" customHeight="1">
      <c r="A567" t="inlineStr">
        <is>
          <t>A 58661-2025</t>
        </is>
      </c>
      <c r="B567" s="1" t="n">
        <v>45986.53128472222</v>
      </c>
      <c r="C567" s="1" t="n">
        <v>46075</v>
      </c>
      <c r="D567" t="inlineStr">
        <is>
          <t>UPPSALA LÄN</t>
        </is>
      </c>
      <c r="E567" t="inlineStr">
        <is>
          <t>TIERP</t>
        </is>
      </c>
      <c r="G567" t="n">
        <v>4.2</v>
      </c>
      <c r="H567" t="n">
        <v>0</v>
      </c>
      <c r="I567" t="n">
        <v>0</v>
      </c>
      <c r="J567" t="n">
        <v>0</v>
      </c>
      <c r="K567" t="n">
        <v>0</v>
      </c>
      <c r="L567" t="n">
        <v>0</v>
      </c>
      <c r="M567" t="n">
        <v>0</v>
      </c>
      <c r="N567" t="n">
        <v>0</v>
      </c>
      <c r="O567" t="n">
        <v>0</v>
      </c>
      <c r="P567" t="n">
        <v>0</v>
      </c>
      <c r="Q567" t="n">
        <v>0</v>
      </c>
      <c r="R567" s="2" t="inlineStr"/>
    </row>
    <row r="568" ht="15" customHeight="1">
      <c r="A568" t="inlineStr">
        <is>
          <t>A 53094-2025</t>
        </is>
      </c>
      <c r="B568" s="1" t="n">
        <v>45958.42452546296</v>
      </c>
      <c r="C568" s="1" t="n">
        <v>46075</v>
      </c>
      <c r="D568" t="inlineStr">
        <is>
          <t>UPPSALA LÄN</t>
        </is>
      </c>
      <c r="E568" t="inlineStr">
        <is>
          <t>TIERP</t>
        </is>
      </c>
      <c r="F568" t="inlineStr">
        <is>
          <t>Bergvik skog öst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53784-2025</t>
        </is>
      </c>
      <c r="B569" s="1" t="n">
        <v>45960.71332175926</v>
      </c>
      <c r="C569" s="1" t="n">
        <v>46075</v>
      </c>
      <c r="D569" t="inlineStr">
        <is>
          <t>UPPSALA LÄN</t>
        </is>
      </c>
      <c r="E569" t="inlineStr">
        <is>
          <t>TIERP</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53798-2025</t>
        </is>
      </c>
      <c r="B570" s="1" t="n">
        <v>45960.76657407408</v>
      </c>
      <c r="C570" s="1" t="n">
        <v>46075</v>
      </c>
      <c r="D570" t="inlineStr">
        <is>
          <t>UPPSALA LÄN</t>
        </is>
      </c>
      <c r="E570" t="inlineStr">
        <is>
          <t>TIERP</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39380-2025</t>
        </is>
      </c>
      <c r="B571" s="1" t="n">
        <v>45889.60385416666</v>
      </c>
      <c r="C571" s="1" t="n">
        <v>46075</v>
      </c>
      <c r="D571" t="inlineStr">
        <is>
          <t>UPPSALA LÄN</t>
        </is>
      </c>
      <c r="E571" t="inlineStr">
        <is>
          <t>TIERP</t>
        </is>
      </c>
      <c r="F571" t="inlineStr">
        <is>
          <t>Bergvik skog öst AB</t>
        </is>
      </c>
      <c r="G571" t="n">
        <v>3.2</v>
      </c>
      <c r="H571" t="n">
        <v>0</v>
      </c>
      <c r="I571" t="n">
        <v>0</v>
      </c>
      <c r="J571" t="n">
        <v>0</v>
      </c>
      <c r="K571" t="n">
        <v>0</v>
      </c>
      <c r="L571" t="n">
        <v>0</v>
      </c>
      <c r="M571" t="n">
        <v>0</v>
      </c>
      <c r="N571" t="n">
        <v>0</v>
      </c>
      <c r="O571" t="n">
        <v>0</v>
      </c>
      <c r="P571" t="n">
        <v>0</v>
      </c>
      <c r="Q571" t="n">
        <v>0</v>
      </c>
      <c r="R571" s="2" t="inlineStr"/>
    </row>
    <row r="572" ht="15" customHeight="1">
      <c r="A572" t="inlineStr">
        <is>
          <t>A 58969-2025</t>
        </is>
      </c>
      <c r="B572" s="1" t="n">
        <v>45987.60527777778</v>
      </c>
      <c r="C572" s="1" t="n">
        <v>46075</v>
      </c>
      <c r="D572" t="inlineStr">
        <is>
          <t>UPPSALA LÄN</t>
        </is>
      </c>
      <c r="E572" t="inlineStr">
        <is>
          <t>TIERP</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46075</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46075</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51139-2025</t>
        </is>
      </c>
      <c r="B575" s="1" t="n">
        <v>45947.56074074074</v>
      </c>
      <c r="C575" s="1" t="n">
        <v>46075</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53088-2025</t>
        </is>
      </c>
      <c r="B576" s="1" t="n">
        <v>45958.41660879629</v>
      </c>
      <c r="C576" s="1" t="n">
        <v>46075</v>
      </c>
      <c r="D576" t="inlineStr">
        <is>
          <t>UPPSALA LÄN</t>
        </is>
      </c>
      <c r="E576" t="inlineStr">
        <is>
          <t>TIERP</t>
        </is>
      </c>
      <c r="F576" t="inlineStr">
        <is>
          <t>Bergvik skog öst AB</t>
        </is>
      </c>
      <c r="G576" t="n">
        <v>3</v>
      </c>
      <c r="H576" t="n">
        <v>0</v>
      </c>
      <c r="I576" t="n">
        <v>0</v>
      </c>
      <c r="J576" t="n">
        <v>0</v>
      </c>
      <c r="K576" t="n">
        <v>0</v>
      </c>
      <c r="L576" t="n">
        <v>0</v>
      </c>
      <c r="M576" t="n">
        <v>0</v>
      </c>
      <c r="N576" t="n">
        <v>0</v>
      </c>
      <c r="O576" t="n">
        <v>0</v>
      </c>
      <c r="P576" t="n">
        <v>0</v>
      </c>
      <c r="Q576" t="n">
        <v>0</v>
      </c>
      <c r="R576" s="2" t="inlineStr"/>
    </row>
    <row r="577" ht="15" customHeight="1">
      <c r="A577" t="inlineStr">
        <is>
          <t>A 53106-2025</t>
        </is>
      </c>
      <c r="B577" s="1" t="n">
        <v>45958.43461805556</v>
      </c>
      <c r="C577" s="1" t="n">
        <v>46075</v>
      </c>
      <c r="D577" t="inlineStr">
        <is>
          <t>UPPSALA LÄN</t>
        </is>
      </c>
      <c r="E577" t="inlineStr">
        <is>
          <t>TIERP</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19138-2025</t>
        </is>
      </c>
      <c r="B578" s="1" t="n">
        <v>45769.3231712963</v>
      </c>
      <c r="C578" s="1" t="n">
        <v>46075</v>
      </c>
      <c r="D578" t="inlineStr">
        <is>
          <t>UPPSALA LÄN</t>
        </is>
      </c>
      <c r="E578" t="inlineStr">
        <is>
          <t>TIERP</t>
        </is>
      </c>
      <c r="G578" t="n">
        <v>1.1</v>
      </c>
      <c r="H578" t="n">
        <v>0</v>
      </c>
      <c r="I578" t="n">
        <v>0</v>
      </c>
      <c r="J578" t="n">
        <v>0</v>
      </c>
      <c r="K578" t="n">
        <v>0</v>
      </c>
      <c r="L578" t="n">
        <v>0</v>
      </c>
      <c r="M578" t="n">
        <v>0</v>
      </c>
      <c r="N578" t="n">
        <v>0</v>
      </c>
      <c r="O578" t="n">
        <v>0</v>
      </c>
      <c r="P578" t="n">
        <v>0</v>
      </c>
      <c r="Q578" t="n">
        <v>0</v>
      </c>
      <c r="R578" s="2" t="inlineStr"/>
    </row>
    <row r="579" ht="15" customHeight="1">
      <c r="A579" t="inlineStr">
        <is>
          <t>A 53686-2025</t>
        </is>
      </c>
      <c r="B579" s="1" t="n">
        <v>45960.57493055556</v>
      </c>
      <c r="C579" s="1" t="n">
        <v>46075</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53795-2025</t>
        </is>
      </c>
      <c r="B580" s="1" t="n">
        <v>45960.75167824074</v>
      </c>
      <c r="C580" s="1" t="n">
        <v>46075</v>
      </c>
      <c r="D580" t="inlineStr">
        <is>
          <t>UPPSALA LÄN</t>
        </is>
      </c>
      <c r="E580" t="inlineStr">
        <is>
          <t>TIERP</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58966-2025</t>
        </is>
      </c>
      <c r="B581" s="1" t="n">
        <v>45987.60256944445</v>
      </c>
      <c r="C581" s="1" t="n">
        <v>46075</v>
      </c>
      <c r="D581" t="inlineStr">
        <is>
          <t>UPPSALA LÄN</t>
        </is>
      </c>
      <c r="E581" t="inlineStr">
        <is>
          <t>TIERP</t>
        </is>
      </c>
      <c r="F581" t="inlineStr">
        <is>
          <t>Bergvik skog öst AB</t>
        </is>
      </c>
      <c r="G581" t="n">
        <v>5</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46075</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14086-2023</t>
        </is>
      </c>
      <c r="B583" s="1" t="n">
        <v>45009.33243055556</v>
      </c>
      <c r="C583" s="1" t="n">
        <v>46075</v>
      </c>
      <c r="D583" t="inlineStr">
        <is>
          <t>UPPSALA LÄN</t>
        </is>
      </c>
      <c r="E583" t="inlineStr">
        <is>
          <t>TIERP</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59388-2025</t>
        </is>
      </c>
      <c r="B584" s="1" t="n">
        <v>45989.46065972222</v>
      </c>
      <c r="C584" s="1" t="n">
        <v>46075</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48483-2022</t>
        </is>
      </c>
      <c r="B585" s="1" t="n">
        <v>44858</v>
      </c>
      <c r="C585" s="1" t="n">
        <v>46075</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59174-2025</t>
        </is>
      </c>
      <c r="B586" s="1" t="n">
        <v>45988.56907407408</v>
      </c>
      <c r="C586" s="1" t="n">
        <v>46075</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59398-2025</t>
        </is>
      </c>
      <c r="B587" s="1" t="n">
        <v>45989.47987268519</v>
      </c>
      <c r="C587" s="1" t="n">
        <v>46075</v>
      </c>
      <c r="D587" t="inlineStr">
        <is>
          <t>UPPSALA LÄN</t>
        </is>
      </c>
      <c r="E587" t="inlineStr">
        <is>
          <t>TIERP</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59185-2025</t>
        </is>
      </c>
      <c r="B588" s="1" t="n">
        <v>45988.57533564815</v>
      </c>
      <c r="C588" s="1" t="n">
        <v>46075</v>
      </c>
      <c r="D588" t="inlineStr">
        <is>
          <t>UPPSALA LÄN</t>
        </is>
      </c>
      <c r="E588" t="inlineStr">
        <is>
          <t>TIERP</t>
        </is>
      </c>
      <c r="G588" t="n">
        <v>1.5</v>
      </c>
      <c r="H588" t="n">
        <v>0</v>
      </c>
      <c r="I588" t="n">
        <v>0</v>
      </c>
      <c r="J588" t="n">
        <v>0</v>
      </c>
      <c r="K588" t="n">
        <v>0</v>
      </c>
      <c r="L588" t="n">
        <v>0</v>
      </c>
      <c r="M588" t="n">
        <v>0</v>
      </c>
      <c r="N588" t="n">
        <v>0</v>
      </c>
      <c r="O588" t="n">
        <v>0</v>
      </c>
      <c r="P588" t="n">
        <v>0</v>
      </c>
      <c r="Q588" t="n">
        <v>0</v>
      </c>
      <c r="R588" s="2" t="inlineStr"/>
    </row>
    <row r="589" ht="15" customHeight="1">
      <c r="A589" t="inlineStr">
        <is>
          <t>A 59572-2025</t>
        </is>
      </c>
      <c r="B589" s="1" t="n">
        <v>45992.28574074074</v>
      </c>
      <c r="C589" s="1" t="n">
        <v>46075</v>
      </c>
      <c r="D589" t="inlineStr">
        <is>
          <t>UPPSALA LÄN</t>
        </is>
      </c>
      <c r="E589" t="inlineStr">
        <is>
          <t>TIERP</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59573-2025</t>
        </is>
      </c>
      <c r="B590" s="1" t="n">
        <v>45992.29383101852</v>
      </c>
      <c r="C590" s="1" t="n">
        <v>46075</v>
      </c>
      <c r="D590" t="inlineStr">
        <is>
          <t>UPPSALA LÄN</t>
        </is>
      </c>
      <c r="E590" t="inlineStr">
        <is>
          <t>TIERP</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59578-2025</t>
        </is>
      </c>
      <c r="B591" s="1" t="n">
        <v>45992.30194444444</v>
      </c>
      <c r="C591" s="1" t="n">
        <v>46075</v>
      </c>
      <c r="D591" t="inlineStr">
        <is>
          <t>UPPSALA LÄN</t>
        </is>
      </c>
      <c r="E591" t="inlineStr">
        <is>
          <t>TIERP</t>
        </is>
      </c>
      <c r="F591" t="inlineStr">
        <is>
          <t>Bergvik skog öst AB</t>
        </is>
      </c>
      <c r="G591" t="n">
        <v>14.4</v>
      </c>
      <c r="H591" t="n">
        <v>0</v>
      </c>
      <c r="I591" t="n">
        <v>0</v>
      </c>
      <c r="J591" t="n">
        <v>0</v>
      </c>
      <c r="K591" t="n">
        <v>0</v>
      </c>
      <c r="L591" t="n">
        <v>0</v>
      </c>
      <c r="M591" t="n">
        <v>0</v>
      </c>
      <c r="N591" t="n">
        <v>0</v>
      </c>
      <c r="O591" t="n">
        <v>0</v>
      </c>
      <c r="P591" t="n">
        <v>0</v>
      </c>
      <c r="Q591" t="n">
        <v>0</v>
      </c>
      <c r="R591" s="2" t="inlineStr"/>
    </row>
    <row r="592" ht="15" customHeight="1">
      <c r="A592" t="inlineStr">
        <is>
          <t>A 20860-2024</t>
        </is>
      </c>
      <c r="B592" s="1" t="n">
        <v>45439</v>
      </c>
      <c r="C592" s="1" t="n">
        <v>46075</v>
      </c>
      <c r="D592" t="inlineStr">
        <is>
          <t>UPPSALA LÄN</t>
        </is>
      </c>
      <c r="E592" t="inlineStr">
        <is>
          <t>TIERP</t>
        </is>
      </c>
      <c r="G592" t="n">
        <v>1.6</v>
      </c>
      <c r="H592" t="n">
        <v>0</v>
      </c>
      <c r="I592" t="n">
        <v>0</v>
      </c>
      <c r="J592" t="n">
        <v>0</v>
      </c>
      <c r="K592" t="n">
        <v>0</v>
      </c>
      <c r="L592" t="n">
        <v>0</v>
      </c>
      <c r="M592" t="n">
        <v>0</v>
      </c>
      <c r="N592" t="n">
        <v>0</v>
      </c>
      <c r="O592" t="n">
        <v>0</v>
      </c>
      <c r="P592" t="n">
        <v>0</v>
      </c>
      <c r="Q592" t="n">
        <v>0</v>
      </c>
      <c r="R592" s="2" t="inlineStr"/>
    </row>
    <row r="593" ht="15" customHeight="1">
      <c r="A593" t="inlineStr">
        <is>
          <t>A 59575-2025</t>
        </is>
      </c>
      <c r="B593" s="1" t="n">
        <v>45992.29976851852</v>
      </c>
      <c r="C593" s="1" t="n">
        <v>46075</v>
      </c>
      <c r="D593" t="inlineStr">
        <is>
          <t>UPPSALA LÄN</t>
        </is>
      </c>
      <c r="E593" t="inlineStr">
        <is>
          <t>TIERP</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59555-2025</t>
        </is>
      </c>
      <c r="B594" s="1" t="n">
        <v>45991.36298611111</v>
      </c>
      <c r="C594" s="1" t="n">
        <v>46075</v>
      </c>
      <c r="D594" t="inlineStr">
        <is>
          <t>UPPSALA LÄN</t>
        </is>
      </c>
      <c r="E594" t="inlineStr">
        <is>
          <t>TIERP</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52869-2025</t>
        </is>
      </c>
      <c r="B595" s="1" t="n">
        <v>45957</v>
      </c>
      <c r="C595" s="1" t="n">
        <v>46075</v>
      </c>
      <c r="D595" t="inlineStr">
        <is>
          <t>UPPSALA LÄN</t>
        </is>
      </c>
      <c r="E595" t="inlineStr">
        <is>
          <t>TIERP</t>
        </is>
      </c>
      <c r="G595" t="n">
        <v>0.8</v>
      </c>
      <c r="H595" t="n">
        <v>0</v>
      </c>
      <c r="I595" t="n">
        <v>0</v>
      </c>
      <c r="J595" t="n">
        <v>0</v>
      </c>
      <c r="K595" t="n">
        <v>0</v>
      </c>
      <c r="L595" t="n">
        <v>0</v>
      </c>
      <c r="M595" t="n">
        <v>0</v>
      </c>
      <c r="N595" t="n">
        <v>0</v>
      </c>
      <c r="O595" t="n">
        <v>0</v>
      </c>
      <c r="P595" t="n">
        <v>0</v>
      </c>
      <c r="Q595" t="n">
        <v>0</v>
      </c>
      <c r="R595" s="2" t="inlineStr"/>
    </row>
    <row r="596" ht="15" customHeight="1">
      <c r="A596" t="inlineStr">
        <is>
          <t>A 19026-2025</t>
        </is>
      </c>
      <c r="B596" s="1" t="n">
        <v>45764.63778935185</v>
      </c>
      <c r="C596" s="1" t="n">
        <v>46075</v>
      </c>
      <c r="D596" t="inlineStr">
        <is>
          <t>UPPSALA LÄN</t>
        </is>
      </c>
      <c r="E596" t="inlineStr">
        <is>
          <t>TIERP</t>
        </is>
      </c>
      <c r="F596" t="inlineStr">
        <is>
          <t>Bergvik skog öst AB</t>
        </is>
      </c>
      <c r="G596" t="n">
        <v>3.3</v>
      </c>
      <c r="H596" t="n">
        <v>0</v>
      </c>
      <c r="I596" t="n">
        <v>0</v>
      </c>
      <c r="J596" t="n">
        <v>0</v>
      </c>
      <c r="K596" t="n">
        <v>0</v>
      </c>
      <c r="L596" t="n">
        <v>0</v>
      </c>
      <c r="M596" t="n">
        <v>0</v>
      </c>
      <c r="N596" t="n">
        <v>0</v>
      </c>
      <c r="O596" t="n">
        <v>0</v>
      </c>
      <c r="P596" t="n">
        <v>0</v>
      </c>
      <c r="Q596" t="n">
        <v>0</v>
      </c>
      <c r="R596" s="2" t="inlineStr"/>
    </row>
    <row r="597" ht="15" customHeight="1">
      <c r="A597" t="inlineStr">
        <is>
          <t>A 2364-2026</t>
        </is>
      </c>
      <c r="B597" s="1" t="n">
        <v>46034</v>
      </c>
      <c r="C597" s="1" t="n">
        <v>46075</v>
      </c>
      <c r="D597" t="inlineStr">
        <is>
          <t>UPPSALA LÄN</t>
        </is>
      </c>
      <c r="E597" t="inlineStr">
        <is>
          <t>TIERP</t>
        </is>
      </c>
      <c r="G597" t="n">
        <v>3.2</v>
      </c>
      <c r="H597" t="n">
        <v>0</v>
      </c>
      <c r="I597" t="n">
        <v>0</v>
      </c>
      <c r="J597" t="n">
        <v>0</v>
      </c>
      <c r="K597" t="n">
        <v>0</v>
      </c>
      <c r="L597" t="n">
        <v>0</v>
      </c>
      <c r="M597" t="n">
        <v>0</v>
      </c>
      <c r="N597" t="n">
        <v>0</v>
      </c>
      <c r="O597" t="n">
        <v>0</v>
      </c>
      <c r="P597" t="n">
        <v>0</v>
      </c>
      <c r="Q597" t="n">
        <v>0</v>
      </c>
      <c r="R597" s="2" t="inlineStr"/>
    </row>
    <row r="598" ht="15" customHeight="1">
      <c r="A598" t="inlineStr">
        <is>
          <t>A 58252-2024</t>
        </is>
      </c>
      <c r="B598" s="1" t="n">
        <v>45632.55709490741</v>
      </c>
      <c r="C598" s="1" t="n">
        <v>46075</v>
      </c>
      <c r="D598" t="inlineStr">
        <is>
          <t>UPPSALA LÄN</t>
        </is>
      </c>
      <c r="E598" t="inlineStr">
        <is>
          <t>TIERP</t>
        </is>
      </c>
      <c r="G598" t="n">
        <v>3.2</v>
      </c>
      <c r="H598" t="n">
        <v>0</v>
      </c>
      <c r="I598" t="n">
        <v>0</v>
      </c>
      <c r="J598" t="n">
        <v>0</v>
      </c>
      <c r="K598" t="n">
        <v>0</v>
      </c>
      <c r="L598" t="n">
        <v>0</v>
      </c>
      <c r="M598" t="n">
        <v>0</v>
      </c>
      <c r="N598" t="n">
        <v>0</v>
      </c>
      <c r="O598" t="n">
        <v>0</v>
      </c>
      <c r="P598" t="n">
        <v>0</v>
      </c>
      <c r="Q598" t="n">
        <v>0</v>
      </c>
      <c r="R598" s="2" t="inlineStr"/>
    </row>
    <row r="599" ht="15" customHeight="1">
      <c r="A599" t="inlineStr">
        <is>
          <t>A 5967-2023</t>
        </is>
      </c>
      <c r="B599" s="1" t="n">
        <v>44964</v>
      </c>
      <c r="C599" s="1" t="n">
        <v>46075</v>
      </c>
      <c r="D599" t="inlineStr">
        <is>
          <t>UPPSALA LÄN</t>
        </is>
      </c>
      <c r="E599" t="inlineStr">
        <is>
          <t>TIERP</t>
        </is>
      </c>
      <c r="G599" t="n">
        <v>2.1</v>
      </c>
      <c r="H599" t="n">
        <v>0</v>
      </c>
      <c r="I599" t="n">
        <v>0</v>
      </c>
      <c r="J599" t="n">
        <v>0</v>
      </c>
      <c r="K599" t="n">
        <v>0</v>
      </c>
      <c r="L599" t="n">
        <v>0</v>
      </c>
      <c r="M599" t="n">
        <v>0</v>
      </c>
      <c r="N599" t="n">
        <v>0</v>
      </c>
      <c r="O599" t="n">
        <v>0</v>
      </c>
      <c r="P599" t="n">
        <v>0</v>
      </c>
      <c r="Q599" t="n">
        <v>0</v>
      </c>
      <c r="R599" s="2" t="inlineStr"/>
    </row>
    <row r="600" ht="15" customHeight="1">
      <c r="A600" t="inlineStr">
        <is>
          <t>A 59961-2023</t>
        </is>
      </c>
      <c r="B600" s="1" t="n">
        <v>45257</v>
      </c>
      <c r="C600" s="1" t="n">
        <v>46075</v>
      </c>
      <c r="D600" t="inlineStr">
        <is>
          <t>UPPSALA LÄN</t>
        </is>
      </c>
      <c r="E600" t="inlineStr">
        <is>
          <t>TIERP</t>
        </is>
      </c>
      <c r="G600" t="n">
        <v>2.7</v>
      </c>
      <c r="H600" t="n">
        <v>0</v>
      </c>
      <c r="I600" t="n">
        <v>0</v>
      </c>
      <c r="J600" t="n">
        <v>0</v>
      </c>
      <c r="K600" t="n">
        <v>0</v>
      </c>
      <c r="L600" t="n">
        <v>0</v>
      </c>
      <c r="M600" t="n">
        <v>0</v>
      </c>
      <c r="N600" t="n">
        <v>0</v>
      </c>
      <c r="O600" t="n">
        <v>0</v>
      </c>
      <c r="P600" t="n">
        <v>0</v>
      </c>
      <c r="Q600" t="n">
        <v>0</v>
      </c>
      <c r="R600" s="2" t="inlineStr"/>
    </row>
    <row r="601" ht="15" customHeight="1">
      <c r="A601" t="inlineStr">
        <is>
          <t>A 55711-2023</t>
        </is>
      </c>
      <c r="B601" s="1" t="n">
        <v>45239.37905092593</v>
      </c>
      <c r="C601" s="1" t="n">
        <v>46075</v>
      </c>
      <c r="D601" t="inlineStr">
        <is>
          <t>UPPSALA LÄN</t>
        </is>
      </c>
      <c r="E601" t="inlineStr">
        <is>
          <t>TIERP</t>
        </is>
      </c>
      <c r="G601" t="n">
        <v>1.6</v>
      </c>
      <c r="H601" t="n">
        <v>0</v>
      </c>
      <c r="I601" t="n">
        <v>0</v>
      </c>
      <c r="J601" t="n">
        <v>0</v>
      </c>
      <c r="K601" t="n">
        <v>0</v>
      </c>
      <c r="L601" t="n">
        <v>0</v>
      </c>
      <c r="M601" t="n">
        <v>0</v>
      </c>
      <c r="N601" t="n">
        <v>0</v>
      </c>
      <c r="O601" t="n">
        <v>0</v>
      </c>
      <c r="P601" t="n">
        <v>0</v>
      </c>
      <c r="Q601" t="n">
        <v>0</v>
      </c>
      <c r="R601" s="2" t="inlineStr"/>
    </row>
    <row r="602" ht="15" customHeight="1">
      <c r="A602" t="inlineStr">
        <is>
          <t>A 60142-2025</t>
        </is>
      </c>
      <c r="B602" s="1" t="n">
        <v>45994.37430555555</v>
      </c>
      <c r="C602" s="1" t="n">
        <v>46075</v>
      </c>
      <c r="D602" t="inlineStr">
        <is>
          <t>UPPSALA LÄN</t>
        </is>
      </c>
      <c r="E602" t="inlineStr">
        <is>
          <t>TIERP</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2406-2026</t>
        </is>
      </c>
      <c r="B603" s="1" t="n">
        <v>46036.71761574074</v>
      </c>
      <c r="C603" s="1" t="n">
        <v>46075</v>
      </c>
      <c r="D603" t="inlineStr">
        <is>
          <t>UPPSALA LÄN</t>
        </is>
      </c>
      <c r="E603" t="inlineStr">
        <is>
          <t>TIERP</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2366-2026</t>
        </is>
      </c>
      <c r="B604" s="1" t="n">
        <v>46034</v>
      </c>
      <c r="C604" s="1" t="n">
        <v>46075</v>
      </c>
      <c r="D604" t="inlineStr">
        <is>
          <t>UPPSALA LÄN</t>
        </is>
      </c>
      <c r="E604" t="inlineStr">
        <is>
          <t>TIERP</t>
        </is>
      </c>
      <c r="G604" t="n">
        <v>1.5</v>
      </c>
      <c r="H604" t="n">
        <v>0</v>
      </c>
      <c r="I604" t="n">
        <v>0</v>
      </c>
      <c r="J604" t="n">
        <v>0</v>
      </c>
      <c r="K604" t="n">
        <v>0</v>
      </c>
      <c r="L604" t="n">
        <v>0</v>
      </c>
      <c r="M604" t="n">
        <v>0</v>
      </c>
      <c r="N604" t="n">
        <v>0</v>
      </c>
      <c r="O604" t="n">
        <v>0</v>
      </c>
      <c r="P604" t="n">
        <v>0</v>
      </c>
      <c r="Q604" t="n">
        <v>0</v>
      </c>
      <c r="R604" s="2" t="inlineStr"/>
    </row>
    <row r="605" ht="15" customHeight="1">
      <c r="A605" t="inlineStr">
        <is>
          <t>A 26404-2024</t>
        </is>
      </c>
      <c r="B605" s="1" t="n">
        <v>45469</v>
      </c>
      <c r="C605" s="1" t="n">
        <v>46075</v>
      </c>
      <c r="D605" t="inlineStr">
        <is>
          <t>UPPSALA LÄN</t>
        </is>
      </c>
      <c r="E605" t="inlineStr">
        <is>
          <t>TIERP</t>
        </is>
      </c>
      <c r="G605" t="n">
        <v>3.4</v>
      </c>
      <c r="H605" t="n">
        <v>0</v>
      </c>
      <c r="I605" t="n">
        <v>0</v>
      </c>
      <c r="J605" t="n">
        <v>0</v>
      </c>
      <c r="K605" t="n">
        <v>0</v>
      </c>
      <c r="L605" t="n">
        <v>0</v>
      </c>
      <c r="M605" t="n">
        <v>0</v>
      </c>
      <c r="N605" t="n">
        <v>0</v>
      </c>
      <c r="O605" t="n">
        <v>0</v>
      </c>
      <c r="P605" t="n">
        <v>0</v>
      </c>
      <c r="Q605" t="n">
        <v>0</v>
      </c>
      <c r="R605" s="2" t="inlineStr"/>
    </row>
    <row r="606" ht="15" customHeight="1">
      <c r="A606" t="inlineStr">
        <is>
          <t>A 60139-2025</t>
        </is>
      </c>
      <c r="B606" s="1" t="n">
        <v>45994.3599537037</v>
      </c>
      <c r="C606" s="1" t="n">
        <v>46075</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60280-2025</t>
        </is>
      </c>
      <c r="B607" s="1" t="n">
        <v>45994.63814814815</v>
      </c>
      <c r="C607" s="1" t="n">
        <v>46075</v>
      </c>
      <c r="D607" t="inlineStr">
        <is>
          <t>UPPSALA LÄN</t>
        </is>
      </c>
      <c r="E607" t="inlineStr">
        <is>
          <t>TIERP</t>
        </is>
      </c>
      <c r="G607" t="n">
        <v>1.6</v>
      </c>
      <c r="H607" t="n">
        <v>0</v>
      </c>
      <c r="I607" t="n">
        <v>0</v>
      </c>
      <c r="J607" t="n">
        <v>0</v>
      </c>
      <c r="K607" t="n">
        <v>0</v>
      </c>
      <c r="L607" t="n">
        <v>0</v>
      </c>
      <c r="M607" t="n">
        <v>0</v>
      </c>
      <c r="N607" t="n">
        <v>0</v>
      </c>
      <c r="O607" t="n">
        <v>0</v>
      </c>
      <c r="P607" t="n">
        <v>0</v>
      </c>
      <c r="Q607" t="n">
        <v>0</v>
      </c>
      <c r="R607" s="2" t="inlineStr"/>
    </row>
    <row r="608" ht="15" customHeight="1">
      <c r="A608" t="inlineStr">
        <is>
          <t>A 33307-2023</t>
        </is>
      </c>
      <c r="B608" s="1" t="n">
        <v>45127</v>
      </c>
      <c r="C608" s="1" t="n">
        <v>46075</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60211-2025</t>
        </is>
      </c>
      <c r="B609" s="1" t="n">
        <v>45994.52657407407</v>
      </c>
      <c r="C609" s="1" t="n">
        <v>46075</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5987-2023</t>
        </is>
      </c>
      <c r="B610" s="1" t="n">
        <v>44964</v>
      </c>
      <c r="C610" s="1" t="n">
        <v>46075</v>
      </c>
      <c r="D610" t="inlineStr">
        <is>
          <t>UPPSALA LÄN</t>
        </is>
      </c>
      <c r="E610" t="inlineStr">
        <is>
          <t>TIERP</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60749-2025</t>
        </is>
      </c>
      <c r="B611" s="1" t="n">
        <v>45999.38054398148</v>
      </c>
      <c r="C611" s="1" t="n">
        <v>46075</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60795-2025</t>
        </is>
      </c>
      <c r="B612" s="1" t="n">
        <v>45999.42177083333</v>
      </c>
      <c r="C612" s="1" t="n">
        <v>46075</v>
      </c>
      <c r="D612" t="inlineStr">
        <is>
          <t>UPPSALA LÄN</t>
        </is>
      </c>
      <c r="E612" t="inlineStr">
        <is>
          <t>TIERP</t>
        </is>
      </c>
      <c r="G612" t="n">
        <v>0.5</v>
      </c>
      <c r="H612" t="n">
        <v>0</v>
      </c>
      <c r="I612" t="n">
        <v>0</v>
      </c>
      <c r="J612" t="n">
        <v>0</v>
      </c>
      <c r="K612" t="n">
        <v>0</v>
      </c>
      <c r="L612" t="n">
        <v>0</v>
      </c>
      <c r="M612" t="n">
        <v>0</v>
      </c>
      <c r="N612" t="n">
        <v>0</v>
      </c>
      <c r="O612" t="n">
        <v>0</v>
      </c>
      <c r="P612" t="n">
        <v>0</v>
      </c>
      <c r="Q612" t="n">
        <v>0</v>
      </c>
      <c r="R612" s="2" t="inlineStr"/>
    </row>
    <row r="613" ht="15" customHeight="1">
      <c r="A613" t="inlineStr">
        <is>
          <t>A 15662-2025</t>
        </is>
      </c>
      <c r="B613" s="1" t="n">
        <v>45748.4287962963</v>
      </c>
      <c r="C613" s="1" t="n">
        <v>46075</v>
      </c>
      <c r="D613" t="inlineStr">
        <is>
          <t>UPPSALA LÄN</t>
        </is>
      </c>
      <c r="E613" t="inlineStr">
        <is>
          <t>TIERP</t>
        </is>
      </c>
      <c r="F613" t="inlineStr">
        <is>
          <t>Kyrkan</t>
        </is>
      </c>
      <c r="G613" t="n">
        <v>5.4</v>
      </c>
      <c r="H613" t="n">
        <v>0</v>
      </c>
      <c r="I613" t="n">
        <v>0</v>
      </c>
      <c r="J613" t="n">
        <v>0</v>
      </c>
      <c r="K613" t="n">
        <v>0</v>
      </c>
      <c r="L613" t="n">
        <v>0</v>
      </c>
      <c r="M613" t="n">
        <v>0</v>
      </c>
      <c r="N613" t="n">
        <v>0</v>
      </c>
      <c r="O613" t="n">
        <v>0</v>
      </c>
      <c r="P613" t="n">
        <v>0</v>
      </c>
      <c r="Q613" t="n">
        <v>0</v>
      </c>
      <c r="R613" s="2" t="inlineStr"/>
    </row>
    <row r="614" ht="15" customHeight="1">
      <c r="A614" t="inlineStr">
        <is>
          <t>A 24341-2022</t>
        </is>
      </c>
      <c r="B614" s="1" t="n">
        <v>44726</v>
      </c>
      <c r="C614" s="1" t="n">
        <v>46075</v>
      </c>
      <c r="D614" t="inlineStr">
        <is>
          <t>UPPSALA LÄN</t>
        </is>
      </c>
      <c r="E614" t="inlineStr">
        <is>
          <t>TIERP</t>
        </is>
      </c>
      <c r="F614" t="inlineStr">
        <is>
          <t>Bergvik skog väst AB</t>
        </is>
      </c>
      <c r="G614" t="n">
        <v>8.4</v>
      </c>
      <c r="H614" t="n">
        <v>0</v>
      </c>
      <c r="I614" t="n">
        <v>0</v>
      </c>
      <c r="J614" t="n">
        <v>0</v>
      </c>
      <c r="K614" t="n">
        <v>0</v>
      </c>
      <c r="L614" t="n">
        <v>0</v>
      </c>
      <c r="M614" t="n">
        <v>0</v>
      </c>
      <c r="N614" t="n">
        <v>0</v>
      </c>
      <c r="O614" t="n">
        <v>0</v>
      </c>
      <c r="P614" t="n">
        <v>0</v>
      </c>
      <c r="Q614" t="n">
        <v>0</v>
      </c>
      <c r="R614" s="2" t="inlineStr"/>
    </row>
    <row r="615" ht="15" customHeight="1">
      <c r="A615" t="inlineStr">
        <is>
          <t>A 1105-2026</t>
        </is>
      </c>
      <c r="B615" s="1" t="n">
        <v>46029</v>
      </c>
      <c r="C615" s="1" t="n">
        <v>46075</v>
      </c>
      <c r="D615" t="inlineStr">
        <is>
          <t>UPPSALA LÄN</t>
        </is>
      </c>
      <c r="E615" t="inlineStr">
        <is>
          <t>TIERP</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25476-2022</t>
        </is>
      </c>
      <c r="B616" s="1" t="n">
        <v>44732</v>
      </c>
      <c r="C616" s="1" t="n">
        <v>46075</v>
      </c>
      <c r="D616" t="inlineStr">
        <is>
          <t>UPPSALA LÄN</t>
        </is>
      </c>
      <c r="E616" t="inlineStr">
        <is>
          <t>TIERP</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60641-2025</t>
        </is>
      </c>
      <c r="B617" s="1" t="n">
        <v>45996.44386574074</v>
      </c>
      <c r="C617" s="1" t="n">
        <v>46075</v>
      </c>
      <c r="D617" t="inlineStr">
        <is>
          <t>UPPSALA LÄN</t>
        </is>
      </c>
      <c r="E617" t="inlineStr">
        <is>
          <t>TIERP</t>
        </is>
      </c>
      <c r="G617" t="n">
        <v>0.6</v>
      </c>
      <c r="H617" t="n">
        <v>0</v>
      </c>
      <c r="I617" t="n">
        <v>0</v>
      </c>
      <c r="J617" t="n">
        <v>0</v>
      </c>
      <c r="K617" t="n">
        <v>0</v>
      </c>
      <c r="L617" t="n">
        <v>0</v>
      </c>
      <c r="M617" t="n">
        <v>0</v>
      </c>
      <c r="N617" t="n">
        <v>0</v>
      </c>
      <c r="O617" t="n">
        <v>0</v>
      </c>
      <c r="P617" t="n">
        <v>0</v>
      </c>
      <c r="Q617" t="n">
        <v>0</v>
      </c>
      <c r="R617" s="2" t="inlineStr"/>
    </row>
    <row r="618" ht="15" customHeight="1">
      <c r="A618" t="inlineStr">
        <is>
          <t>A 3443-2026</t>
        </is>
      </c>
      <c r="B618" s="1" t="n">
        <v>46042.47866898148</v>
      </c>
      <c r="C618" s="1" t="n">
        <v>46075</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3438-2026</t>
        </is>
      </c>
      <c r="B619" s="1" t="n">
        <v>46042.47289351852</v>
      </c>
      <c r="C619" s="1" t="n">
        <v>46075</v>
      </c>
      <c r="D619" t="inlineStr">
        <is>
          <t>UPPSALA LÄN</t>
        </is>
      </c>
      <c r="E619" t="inlineStr">
        <is>
          <t>TIERP</t>
        </is>
      </c>
      <c r="G619" t="n">
        <v>4.5</v>
      </c>
      <c r="H619" t="n">
        <v>0</v>
      </c>
      <c r="I619" t="n">
        <v>0</v>
      </c>
      <c r="J619" t="n">
        <v>0</v>
      </c>
      <c r="K619" t="n">
        <v>0</v>
      </c>
      <c r="L619" t="n">
        <v>0</v>
      </c>
      <c r="M619" t="n">
        <v>0</v>
      </c>
      <c r="N619" t="n">
        <v>0</v>
      </c>
      <c r="O619" t="n">
        <v>0</v>
      </c>
      <c r="P619" t="n">
        <v>0</v>
      </c>
      <c r="Q619" t="n">
        <v>0</v>
      </c>
      <c r="R619" s="2" t="inlineStr"/>
    </row>
    <row r="620" ht="15" customHeight="1">
      <c r="A620" t="inlineStr">
        <is>
          <t>A 3433-2026</t>
        </is>
      </c>
      <c r="B620" s="1" t="n">
        <v>46042.46269675926</v>
      </c>
      <c r="C620" s="1" t="n">
        <v>46075</v>
      </c>
      <c r="D620" t="inlineStr">
        <is>
          <t>UPPSALA LÄN</t>
        </is>
      </c>
      <c r="E620" t="inlineStr">
        <is>
          <t>TIERP</t>
        </is>
      </c>
      <c r="G620" t="n">
        <v>6.4</v>
      </c>
      <c r="H620" t="n">
        <v>0</v>
      </c>
      <c r="I620" t="n">
        <v>0</v>
      </c>
      <c r="J620" t="n">
        <v>0</v>
      </c>
      <c r="K620" t="n">
        <v>0</v>
      </c>
      <c r="L620" t="n">
        <v>0</v>
      </c>
      <c r="M620" t="n">
        <v>0</v>
      </c>
      <c r="N620" t="n">
        <v>0</v>
      </c>
      <c r="O620" t="n">
        <v>0</v>
      </c>
      <c r="P620" t="n">
        <v>0</v>
      </c>
      <c r="Q620" t="n">
        <v>0</v>
      </c>
      <c r="R620" s="2" t="inlineStr"/>
    </row>
    <row r="621" ht="15" customHeight="1">
      <c r="A621" t="inlineStr">
        <is>
          <t>A 7352-2023</t>
        </is>
      </c>
      <c r="B621" s="1" t="n">
        <v>44966</v>
      </c>
      <c r="C621" s="1" t="n">
        <v>46075</v>
      </c>
      <c r="D621" t="inlineStr">
        <is>
          <t>UPPSALA LÄN</t>
        </is>
      </c>
      <c r="E621" t="inlineStr">
        <is>
          <t>TIERP</t>
        </is>
      </c>
      <c r="G621" t="n">
        <v>3.5</v>
      </c>
      <c r="H621" t="n">
        <v>0</v>
      </c>
      <c r="I621" t="n">
        <v>0</v>
      </c>
      <c r="J621" t="n">
        <v>0</v>
      </c>
      <c r="K621" t="n">
        <v>0</v>
      </c>
      <c r="L621" t="n">
        <v>0</v>
      </c>
      <c r="M621" t="n">
        <v>0</v>
      </c>
      <c r="N621" t="n">
        <v>0</v>
      </c>
      <c r="O621" t="n">
        <v>0</v>
      </c>
      <c r="P621" t="n">
        <v>0</v>
      </c>
      <c r="Q621" t="n">
        <v>0</v>
      </c>
      <c r="R621" s="2" t="inlineStr"/>
    </row>
    <row r="622" ht="15" customHeight="1">
      <c r="A622" t="inlineStr">
        <is>
          <t>A 60151-2022</t>
        </is>
      </c>
      <c r="B622" s="1" t="n">
        <v>44909.71309027778</v>
      </c>
      <c r="C622" s="1" t="n">
        <v>46075</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3767-2026</t>
        </is>
      </c>
      <c r="B623" s="1" t="n">
        <v>46043.5583449074</v>
      </c>
      <c r="C623" s="1" t="n">
        <v>46075</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61252-2025</t>
        </is>
      </c>
      <c r="B624" s="1" t="n">
        <v>46000.668125</v>
      </c>
      <c r="C624" s="1" t="n">
        <v>46075</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53991-2025</t>
        </is>
      </c>
      <c r="B625" s="1" t="n">
        <v>45961.5821412037</v>
      </c>
      <c r="C625" s="1" t="n">
        <v>46075</v>
      </c>
      <c r="D625" t="inlineStr">
        <is>
          <t>UPPSALA LÄN</t>
        </is>
      </c>
      <c r="E625" t="inlineStr">
        <is>
          <t>TIERP</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5289-2023</t>
        </is>
      </c>
      <c r="B626" s="1" t="n">
        <v>44959.52206018518</v>
      </c>
      <c r="C626" s="1" t="n">
        <v>46075</v>
      </c>
      <c r="D626" t="inlineStr">
        <is>
          <t>UPPSALA LÄN</t>
        </is>
      </c>
      <c r="E626" t="inlineStr">
        <is>
          <t>TIERP</t>
        </is>
      </c>
      <c r="G626" t="n">
        <v>2</v>
      </c>
      <c r="H626" t="n">
        <v>0</v>
      </c>
      <c r="I626" t="n">
        <v>0</v>
      </c>
      <c r="J626" t="n">
        <v>0</v>
      </c>
      <c r="K626" t="n">
        <v>0</v>
      </c>
      <c r="L626" t="n">
        <v>0</v>
      </c>
      <c r="M626" t="n">
        <v>0</v>
      </c>
      <c r="N626" t="n">
        <v>0</v>
      </c>
      <c r="O626" t="n">
        <v>0</v>
      </c>
      <c r="P626" t="n">
        <v>0</v>
      </c>
      <c r="Q626" t="n">
        <v>0</v>
      </c>
      <c r="R626" s="2" t="inlineStr"/>
    </row>
    <row r="627" ht="15" customHeight="1">
      <c r="A627" t="inlineStr">
        <is>
          <t>A 29089-2021</t>
        </is>
      </c>
      <c r="B627" s="1" t="n">
        <v>44358.56138888889</v>
      </c>
      <c r="C627" s="1" t="n">
        <v>46075</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47419-2022</t>
        </is>
      </c>
      <c r="B628" s="1" t="n">
        <v>44853.56622685185</v>
      </c>
      <c r="C628" s="1" t="n">
        <v>46075</v>
      </c>
      <c r="D628" t="inlineStr">
        <is>
          <t>UPPSALA LÄN</t>
        </is>
      </c>
      <c r="E628" t="inlineStr">
        <is>
          <t>TIERP</t>
        </is>
      </c>
      <c r="G628" t="n">
        <v>0.5</v>
      </c>
      <c r="H628" t="n">
        <v>0</v>
      </c>
      <c r="I628" t="n">
        <v>0</v>
      </c>
      <c r="J628" t="n">
        <v>0</v>
      </c>
      <c r="K628" t="n">
        <v>0</v>
      </c>
      <c r="L628" t="n">
        <v>0</v>
      </c>
      <c r="M628" t="n">
        <v>0</v>
      </c>
      <c r="N628" t="n">
        <v>0</v>
      </c>
      <c r="O628" t="n">
        <v>0</v>
      </c>
      <c r="P628" t="n">
        <v>0</v>
      </c>
      <c r="Q628" t="n">
        <v>0</v>
      </c>
      <c r="R628" s="2" t="inlineStr"/>
    </row>
    <row r="629" ht="15" customHeight="1">
      <c r="A629" t="inlineStr">
        <is>
          <t>A 58492-2023</t>
        </is>
      </c>
      <c r="B629" s="1" t="n">
        <v>45251</v>
      </c>
      <c r="C629" s="1" t="n">
        <v>46075</v>
      </c>
      <c r="D629" t="inlineStr">
        <is>
          <t>UPPSALA LÄN</t>
        </is>
      </c>
      <c r="E629" t="inlineStr">
        <is>
          <t>TIERP</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44775-2024</t>
        </is>
      </c>
      <c r="B630" s="1" t="n">
        <v>45574</v>
      </c>
      <c r="C630" s="1" t="n">
        <v>46075</v>
      </c>
      <c r="D630" t="inlineStr">
        <is>
          <t>UPPSALA LÄN</t>
        </is>
      </c>
      <c r="E630" t="inlineStr">
        <is>
          <t>TIERP</t>
        </is>
      </c>
      <c r="F630" t="inlineStr">
        <is>
          <t>Bergvik skog öst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46075</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11302-2025</t>
        </is>
      </c>
      <c r="B632" s="1" t="n">
        <v>45726.4434375</v>
      </c>
      <c r="C632" s="1" t="n">
        <v>46075</v>
      </c>
      <c r="D632" t="inlineStr">
        <is>
          <t>UPPSALA LÄN</t>
        </is>
      </c>
      <c r="E632" t="inlineStr">
        <is>
          <t>TIERP</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61846-2025</t>
        </is>
      </c>
      <c r="B633" s="1" t="n">
        <v>46003.37525462963</v>
      </c>
      <c r="C633" s="1" t="n">
        <v>46075</v>
      </c>
      <c r="D633" t="inlineStr">
        <is>
          <t>UPPSALA LÄN</t>
        </is>
      </c>
      <c r="E633" t="inlineStr">
        <is>
          <t>TIERP</t>
        </is>
      </c>
      <c r="F633" t="inlineStr">
        <is>
          <t>Bergvik skog öst AB</t>
        </is>
      </c>
      <c r="G633" t="n">
        <v>3.8</v>
      </c>
      <c r="H633" t="n">
        <v>0</v>
      </c>
      <c r="I633" t="n">
        <v>0</v>
      </c>
      <c r="J633" t="n">
        <v>0</v>
      </c>
      <c r="K633" t="n">
        <v>0</v>
      </c>
      <c r="L633" t="n">
        <v>0</v>
      </c>
      <c r="M633" t="n">
        <v>0</v>
      </c>
      <c r="N633" t="n">
        <v>0</v>
      </c>
      <c r="O633" t="n">
        <v>0</v>
      </c>
      <c r="P633" t="n">
        <v>0</v>
      </c>
      <c r="Q633" t="n">
        <v>0</v>
      </c>
      <c r="R633" s="2" t="inlineStr"/>
    </row>
    <row r="634" ht="15" customHeight="1">
      <c r="A634" t="inlineStr">
        <is>
          <t>A 61825-2025</t>
        </is>
      </c>
      <c r="B634" s="1" t="n">
        <v>46003.33967592593</v>
      </c>
      <c r="C634" s="1" t="n">
        <v>46075</v>
      </c>
      <c r="D634" t="inlineStr">
        <is>
          <t>UPPSALA LÄN</t>
        </is>
      </c>
      <c r="E634" t="inlineStr">
        <is>
          <t>TIERP</t>
        </is>
      </c>
      <c r="F634" t="inlineStr">
        <is>
          <t>Bergvik skog öst AB</t>
        </is>
      </c>
      <c r="G634" t="n">
        <v>7.6</v>
      </c>
      <c r="H634" t="n">
        <v>0</v>
      </c>
      <c r="I634" t="n">
        <v>0</v>
      </c>
      <c r="J634" t="n">
        <v>0</v>
      </c>
      <c r="K634" t="n">
        <v>0</v>
      </c>
      <c r="L634" t="n">
        <v>0</v>
      </c>
      <c r="M634" t="n">
        <v>0</v>
      </c>
      <c r="N634" t="n">
        <v>0</v>
      </c>
      <c r="O634" t="n">
        <v>0</v>
      </c>
      <c r="P634" t="n">
        <v>0</v>
      </c>
      <c r="Q634" t="n">
        <v>0</v>
      </c>
      <c r="R634" s="2" t="inlineStr"/>
    </row>
    <row r="635" ht="15" customHeight="1">
      <c r="A635" t="inlineStr">
        <is>
          <t>A 61928-2025</t>
        </is>
      </c>
      <c r="B635" s="1" t="n">
        <v>46003.52034722222</v>
      </c>
      <c r="C635" s="1" t="n">
        <v>46075</v>
      </c>
      <c r="D635" t="inlineStr">
        <is>
          <t>UPPSALA LÄN</t>
        </is>
      </c>
      <c r="E635" t="inlineStr">
        <is>
          <t>TIERP</t>
        </is>
      </c>
      <c r="F635" t="inlineStr">
        <is>
          <t>Övriga Aktiebolag</t>
        </is>
      </c>
      <c r="G635" t="n">
        <v>9.1</v>
      </c>
      <c r="H635" t="n">
        <v>0</v>
      </c>
      <c r="I635" t="n">
        <v>0</v>
      </c>
      <c r="J635" t="n">
        <v>0</v>
      </c>
      <c r="K635" t="n">
        <v>0</v>
      </c>
      <c r="L635" t="n">
        <v>0</v>
      </c>
      <c r="M635" t="n">
        <v>0</v>
      </c>
      <c r="N635" t="n">
        <v>0</v>
      </c>
      <c r="O635" t="n">
        <v>0</v>
      </c>
      <c r="P635" t="n">
        <v>0</v>
      </c>
      <c r="Q635" t="n">
        <v>0</v>
      </c>
      <c r="R635" s="2" t="inlineStr"/>
    </row>
    <row r="636" ht="15" customHeight="1">
      <c r="A636" t="inlineStr">
        <is>
          <t>A 4342-2026</t>
        </is>
      </c>
      <c r="B636" s="1" t="n">
        <v>46045.51246527778</v>
      </c>
      <c r="C636" s="1" t="n">
        <v>46075</v>
      </c>
      <c r="D636" t="inlineStr">
        <is>
          <t>UPPSALA LÄN</t>
        </is>
      </c>
      <c r="E636" t="inlineStr">
        <is>
          <t>TIERP</t>
        </is>
      </c>
      <c r="G636" t="n">
        <v>2.7</v>
      </c>
      <c r="H636" t="n">
        <v>0</v>
      </c>
      <c r="I636" t="n">
        <v>0</v>
      </c>
      <c r="J636" t="n">
        <v>0</v>
      </c>
      <c r="K636" t="n">
        <v>0</v>
      </c>
      <c r="L636" t="n">
        <v>0</v>
      </c>
      <c r="M636" t="n">
        <v>0</v>
      </c>
      <c r="N636" t="n">
        <v>0</v>
      </c>
      <c r="O636" t="n">
        <v>0</v>
      </c>
      <c r="P636" t="n">
        <v>0</v>
      </c>
      <c r="Q636" t="n">
        <v>0</v>
      </c>
      <c r="R636" s="2" t="inlineStr"/>
    </row>
    <row r="637" ht="15" customHeight="1">
      <c r="A637" t="inlineStr">
        <is>
          <t>A 4343-2026</t>
        </is>
      </c>
      <c r="B637" s="1" t="n">
        <v>46045.51665509259</v>
      </c>
      <c r="C637" s="1" t="n">
        <v>46075</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40793-2021</t>
        </is>
      </c>
      <c r="B638" s="1" t="n">
        <v>44421</v>
      </c>
      <c r="C638" s="1" t="n">
        <v>46075</v>
      </c>
      <c r="D638" t="inlineStr">
        <is>
          <t>UPPSALA LÄN</t>
        </is>
      </c>
      <c r="E638" t="inlineStr">
        <is>
          <t>TIERP</t>
        </is>
      </c>
      <c r="F638" t="inlineStr">
        <is>
          <t>Kyrkan</t>
        </is>
      </c>
      <c r="G638" t="n">
        <v>3.4</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46075</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61672-2025</t>
        </is>
      </c>
      <c r="B640" s="1" t="n">
        <v>46002.47396990741</v>
      </c>
      <c r="C640" s="1" t="n">
        <v>46075</v>
      </c>
      <c r="D640" t="inlineStr">
        <is>
          <t>UPPSALA LÄN</t>
        </is>
      </c>
      <c r="E640" t="inlineStr">
        <is>
          <t>TIERP</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4055-2026</t>
        </is>
      </c>
      <c r="B641" s="1" t="n">
        <v>46044.4862037037</v>
      </c>
      <c r="C641" s="1" t="n">
        <v>46075</v>
      </c>
      <c r="D641" t="inlineStr">
        <is>
          <t>UPPSALA LÄN</t>
        </is>
      </c>
      <c r="E641" t="inlineStr">
        <is>
          <t>TIERP</t>
        </is>
      </c>
      <c r="G641" t="n">
        <v>5.3</v>
      </c>
      <c r="H641" t="n">
        <v>0</v>
      </c>
      <c r="I641" t="n">
        <v>0</v>
      </c>
      <c r="J641" t="n">
        <v>0</v>
      </c>
      <c r="K641" t="n">
        <v>0</v>
      </c>
      <c r="L641" t="n">
        <v>0</v>
      </c>
      <c r="M641" t="n">
        <v>0</v>
      </c>
      <c r="N641" t="n">
        <v>0</v>
      </c>
      <c r="O641" t="n">
        <v>0</v>
      </c>
      <c r="P641" t="n">
        <v>0</v>
      </c>
      <c r="Q641" t="n">
        <v>0</v>
      </c>
      <c r="R641" s="2" t="inlineStr"/>
    </row>
    <row r="642" ht="15" customHeight="1">
      <c r="A642" t="inlineStr">
        <is>
          <t>A 23828-2021</t>
        </is>
      </c>
      <c r="B642" s="1" t="n">
        <v>44335</v>
      </c>
      <c r="C642" s="1" t="n">
        <v>46075</v>
      </c>
      <c r="D642" t="inlineStr">
        <is>
          <t>UPPSALA LÄN</t>
        </is>
      </c>
      <c r="E642" t="inlineStr">
        <is>
          <t>TIERP</t>
        </is>
      </c>
      <c r="G642" t="n">
        <v>1</v>
      </c>
      <c r="H642" t="n">
        <v>0</v>
      </c>
      <c r="I642" t="n">
        <v>0</v>
      </c>
      <c r="J642" t="n">
        <v>0</v>
      </c>
      <c r="K642" t="n">
        <v>0</v>
      </c>
      <c r="L642" t="n">
        <v>0</v>
      </c>
      <c r="M642" t="n">
        <v>0</v>
      </c>
      <c r="N642" t="n">
        <v>0</v>
      </c>
      <c r="O642" t="n">
        <v>0</v>
      </c>
      <c r="P642" t="n">
        <v>0</v>
      </c>
      <c r="Q642" t="n">
        <v>0</v>
      </c>
      <c r="R642" s="2" t="inlineStr"/>
    </row>
    <row r="643" ht="15" customHeight="1">
      <c r="A643" t="inlineStr">
        <is>
          <t>A 61671-2025</t>
        </is>
      </c>
      <c r="B643" s="1" t="n">
        <v>46002.47112268519</v>
      </c>
      <c r="C643" s="1" t="n">
        <v>46075</v>
      </c>
      <c r="D643" t="inlineStr">
        <is>
          <t>UPPSALA LÄN</t>
        </is>
      </c>
      <c r="E643" t="inlineStr">
        <is>
          <t>TIERP</t>
        </is>
      </c>
      <c r="F643" t="inlineStr">
        <is>
          <t>Bergvik skog öst AB</t>
        </is>
      </c>
      <c r="G643" t="n">
        <v>2</v>
      </c>
      <c r="H643" t="n">
        <v>0</v>
      </c>
      <c r="I643" t="n">
        <v>0</v>
      </c>
      <c r="J643" t="n">
        <v>0</v>
      </c>
      <c r="K643" t="n">
        <v>0</v>
      </c>
      <c r="L643" t="n">
        <v>0</v>
      </c>
      <c r="M643" t="n">
        <v>0</v>
      </c>
      <c r="N643" t="n">
        <v>0</v>
      </c>
      <c r="O643" t="n">
        <v>0</v>
      </c>
      <c r="P643" t="n">
        <v>0</v>
      </c>
      <c r="Q643" t="n">
        <v>0</v>
      </c>
      <c r="R643" s="2" t="inlineStr"/>
    </row>
    <row r="644" ht="15" customHeight="1">
      <c r="A644" t="inlineStr">
        <is>
          <t>A 61674-2025</t>
        </is>
      </c>
      <c r="B644" s="1" t="n">
        <v>46002.48126157407</v>
      </c>
      <c r="C644" s="1" t="n">
        <v>46075</v>
      </c>
      <c r="D644" t="inlineStr">
        <is>
          <t>UPPSALA LÄN</t>
        </is>
      </c>
      <c r="E644" t="inlineStr">
        <is>
          <t>TIERP</t>
        </is>
      </c>
      <c r="F644" t="inlineStr">
        <is>
          <t>Bergvik skog öst AB</t>
        </is>
      </c>
      <c r="G644" t="n">
        <v>2.9</v>
      </c>
      <c r="H644" t="n">
        <v>0</v>
      </c>
      <c r="I644" t="n">
        <v>0</v>
      </c>
      <c r="J644" t="n">
        <v>0</v>
      </c>
      <c r="K644" t="n">
        <v>0</v>
      </c>
      <c r="L644" t="n">
        <v>0</v>
      </c>
      <c r="M644" t="n">
        <v>0</v>
      </c>
      <c r="N644" t="n">
        <v>0</v>
      </c>
      <c r="O644" t="n">
        <v>0</v>
      </c>
      <c r="P644" t="n">
        <v>0</v>
      </c>
      <c r="Q644" t="n">
        <v>0</v>
      </c>
      <c r="R644" s="2" t="inlineStr"/>
    </row>
    <row r="645" ht="15" customHeight="1">
      <c r="A645" t="inlineStr">
        <is>
          <t>A 4152-2026</t>
        </is>
      </c>
      <c r="B645" s="1" t="n">
        <v>46044.64974537037</v>
      </c>
      <c r="C645" s="1" t="n">
        <v>46075</v>
      </c>
      <c r="D645" t="inlineStr">
        <is>
          <t>UPPSALA LÄN</t>
        </is>
      </c>
      <c r="E645" t="inlineStr">
        <is>
          <t>TIERP</t>
        </is>
      </c>
      <c r="G645" t="n">
        <v>2</v>
      </c>
      <c r="H645" t="n">
        <v>0</v>
      </c>
      <c r="I645" t="n">
        <v>0</v>
      </c>
      <c r="J645" t="n">
        <v>0</v>
      </c>
      <c r="K645" t="n">
        <v>0</v>
      </c>
      <c r="L645" t="n">
        <v>0</v>
      </c>
      <c r="M645" t="n">
        <v>0</v>
      </c>
      <c r="N645" t="n">
        <v>0</v>
      </c>
      <c r="O645" t="n">
        <v>0</v>
      </c>
      <c r="P645" t="n">
        <v>0</v>
      </c>
      <c r="Q645" t="n">
        <v>0</v>
      </c>
      <c r="R645" s="2" t="inlineStr"/>
    </row>
    <row r="646" ht="15" customHeight="1">
      <c r="A646" t="inlineStr">
        <is>
          <t>A 61599-2025</t>
        </is>
      </c>
      <c r="B646" s="1" t="n">
        <v>46002.361875</v>
      </c>
      <c r="C646" s="1" t="n">
        <v>46075</v>
      </c>
      <c r="D646" t="inlineStr">
        <is>
          <t>UPPSALA LÄN</t>
        </is>
      </c>
      <c r="E646" t="inlineStr">
        <is>
          <t>TIERP</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62537-2025</t>
        </is>
      </c>
      <c r="B647" s="1" t="n">
        <v>46007.64109953704</v>
      </c>
      <c r="C647" s="1" t="n">
        <v>46075</v>
      </c>
      <c r="D647" t="inlineStr">
        <is>
          <t>UPPSALA LÄN</t>
        </is>
      </c>
      <c r="E647" t="inlineStr">
        <is>
          <t>TIERP</t>
        </is>
      </c>
      <c r="F647" t="inlineStr">
        <is>
          <t>Bergvik skog öst AB</t>
        </is>
      </c>
      <c r="G647" t="n">
        <v>10</v>
      </c>
      <c r="H647" t="n">
        <v>0</v>
      </c>
      <c r="I647" t="n">
        <v>0</v>
      </c>
      <c r="J647" t="n">
        <v>0</v>
      </c>
      <c r="K647" t="n">
        <v>0</v>
      </c>
      <c r="L647" t="n">
        <v>0</v>
      </c>
      <c r="M647" t="n">
        <v>0</v>
      </c>
      <c r="N647" t="n">
        <v>0</v>
      </c>
      <c r="O647" t="n">
        <v>0</v>
      </c>
      <c r="P647" t="n">
        <v>0</v>
      </c>
      <c r="Q647" t="n">
        <v>0</v>
      </c>
      <c r="R647" s="2" t="inlineStr"/>
    </row>
    <row r="648" ht="15" customHeight="1">
      <c r="A648" t="inlineStr">
        <is>
          <t>A 62484-2025</t>
        </is>
      </c>
      <c r="B648" s="1" t="n">
        <v>46007.56385416666</v>
      </c>
      <c r="C648" s="1" t="n">
        <v>46075</v>
      </c>
      <c r="D648" t="inlineStr">
        <is>
          <t>UPPSALA LÄN</t>
        </is>
      </c>
      <c r="E648" t="inlineStr">
        <is>
          <t>TIERP</t>
        </is>
      </c>
      <c r="G648" t="n">
        <v>1.8</v>
      </c>
      <c r="H648" t="n">
        <v>0</v>
      </c>
      <c r="I648" t="n">
        <v>0</v>
      </c>
      <c r="J648" t="n">
        <v>0</v>
      </c>
      <c r="K648" t="n">
        <v>0</v>
      </c>
      <c r="L648" t="n">
        <v>0</v>
      </c>
      <c r="M648" t="n">
        <v>0</v>
      </c>
      <c r="N648" t="n">
        <v>0</v>
      </c>
      <c r="O648" t="n">
        <v>0</v>
      </c>
      <c r="P648" t="n">
        <v>0</v>
      </c>
      <c r="Q648" t="n">
        <v>0</v>
      </c>
      <c r="R648" s="2" t="inlineStr"/>
    </row>
    <row r="649" ht="15" customHeight="1">
      <c r="A649" t="inlineStr">
        <is>
          <t>A 61640-2023</t>
        </is>
      </c>
      <c r="B649" s="1" t="n">
        <v>45265.56704861111</v>
      </c>
      <c r="C649" s="1" t="n">
        <v>46075</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5101-2026</t>
        </is>
      </c>
      <c r="B650" s="1" t="n">
        <v>46049.56449074074</v>
      </c>
      <c r="C650" s="1" t="n">
        <v>46075</v>
      </c>
      <c r="D650" t="inlineStr">
        <is>
          <t>UPPSALA LÄN</t>
        </is>
      </c>
      <c r="E650" t="inlineStr">
        <is>
          <t>TIERP</t>
        </is>
      </c>
      <c r="G650" t="n">
        <v>0.8</v>
      </c>
      <c r="H650" t="n">
        <v>0</v>
      </c>
      <c r="I650" t="n">
        <v>0</v>
      </c>
      <c r="J650" t="n">
        <v>0</v>
      </c>
      <c r="K650" t="n">
        <v>0</v>
      </c>
      <c r="L650" t="n">
        <v>0</v>
      </c>
      <c r="M650" t="n">
        <v>0</v>
      </c>
      <c r="N650" t="n">
        <v>0</v>
      </c>
      <c r="O650" t="n">
        <v>0</v>
      </c>
      <c r="P650" t="n">
        <v>0</v>
      </c>
      <c r="Q650" t="n">
        <v>0</v>
      </c>
      <c r="R650" s="2" t="inlineStr"/>
    </row>
    <row r="651" ht="15" customHeight="1">
      <c r="A651" t="inlineStr">
        <is>
          <t>A 4706-2026</t>
        </is>
      </c>
      <c r="B651" s="1" t="n">
        <v>46048.45535879629</v>
      </c>
      <c r="C651" s="1" t="n">
        <v>46075</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4716-2026</t>
        </is>
      </c>
      <c r="B652" s="1" t="n">
        <v>46048.46590277777</v>
      </c>
      <c r="C652" s="1" t="n">
        <v>46075</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5190-2026</t>
        </is>
      </c>
      <c r="B653" s="1" t="n">
        <v>46049.66104166667</v>
      </c>
      <c r="C653" s="1" t="n">
        <v>46075</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49061-2021</t>
        </is>
      </c>
      <c r="B654" s="1" t="n">
        <v>44453.60243055555</v>
      </c>
      <c r="C654" s="1" t="n">
        <v>46075</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4139-2026</t>
        </is>
      </c>
      <c r="B655" s="1" t="n">
        <v>46044.63179398148</v>
      </c>
      <c r="C655" s="1" t="n">
        <v>46075</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64128-2023</t>
        </is>
      </c>
      <c r="B656" s="1" t="n">
        <v>45279.51664351852</v>
      </c>
      <c r="C656" s="1" t="n">
        <v>46075</v>
      </c>
      <c r="D656" t="inlineStr">
        <is>
          <t>UPPSALA LÄN</t>
        </is>
      </c>
      <c r="E656" t="inlineStr">
        <is>
          <t>TIERP</t>
        </is>
      </c>
      <c r="G656" t="n">
        <v>1.6</v>
      </c>
      <c r="H656" t="n">
        <v>0</v>
      </c>
      <c r="I656" t="n">
        <v>0</v>
      </c>
      <c r="J656" t="n">
        <v>0</v>
      </c>
      <c r="K656" t="n">
        <v>0</v>
      </c>
      <c r="L656" t="n">
        <v>0</v>
      </c>
      <c r="M656" t="n">
        <v>0</v>
      </c>
      <c r="N656" t="n">
        <v>0</v>
      </c>
      <c r="O656" t="n">
        <v>0</v>
      </c>
      <c r="P656" t="n">
        <v>0</v>
      </c>
      <c r="Q656" t="n">
        <v>0</v>
      </c>
      <c r="R656" s="2" t="inlineStr"/>
    </row>
    <row r="657" ht="15" customHeight="1">
      <c r="A657" t="inlineStr">
        <is>
          <t>A 5741-2026</t>
        </is>
      </c>
      <c r="B657" s="1" t="n">
        <v>46051.58244212963</v>
      </c>
      <c r="C657" s="1" t="n">
        <v>46075</v>
      </c>
      <c r="D657" t="inlineStr">
        <is>
          <t>UPPSALA LÄN</t>
        </is>
      </c>
      <c r="E657" t="inlineStr">
        <is>
          <t>TIERP</t>
        </is>
      </c>
      <c r="G657" t="n">
        <v>5.8</v>
      </c>
      <c r="H657" t="n">
        <v>0</v>
      </c>
      <c r="I657" t="n">
        <v>0</v>
      </c>
      <c r="J657" t="n">
        <v>0</v>
      </c>
      <c r="K657" t="n">
        <v>0</v>
      </c>
      <c r="L657" t="n">
        <v>0</v>
      </c>
      <c r="M657" t="n">
        <v>0</v>
      </c>
      <c r="N657" t="n">
        <v>0</v>
      </c>
      <c r="O657" t="n">
        <v>0</v>
      </c>
      <c r="P657" t="n">
        <v>0</v>
      </c>
      <c r="Q657" t="n">
        <v>0</v>
      </c>
      <c r="R657" s="2" t="inlineStr"/>
    </row>
    <row r="658" ht="15" customHeight="1">
      <c r="A658" t="inlineStr">
        <is>
          <t>A 5735-2026</t>
        </is>
      </c>
      <c r="B658" s="1" t="n">
        <v>46051.57649305555</v>
      </c>
      <c r="C658" s="1" t="n">
        <v>46075</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5794-2026</t>
        </is>
      </c>
      <c r="B659" s="1" t="n">
        <v>46051.7077199074</v>
      </c>
      <c r="C659" s="1" t="n">
        <v>46075</v>
      </c>
      <c r="D659" t="inlineStr">
        <is>
          <t>UPPSALA LÄN</t>
        </is>
      </c>
      <c r="E659" t="inlineStr">
        <is>
          <t>TIERP</t>
        </is>
      </c>
      <c r="G659" t="n">
        <v>4.1</v>
      </c>
      <c r="H659" t="n">
        <v>0</v>
      </c>
      <c r="I659" t="n">
        <v>0</v>
      </c>
      <c r="J659" t="n">
        <v>0</v>
      </c>
      <c r="K659" t="n">
        <v>0</v>
      </c>
      <c r="L659" t="n">
        <v>0</v>
      </c>
      <c r="M659" t="n">
        <v>0</v>
      </c>
      <c r="N659" t="n">
        <v>0</v>
      </c>
      <c r="O659" t="n">
        <v>0</v>
      </c>
      <c r="P659" t="n">
        <v>0</v>
      </c>
      <c r="Q659" t="n">
        <v>0</v>
      </c>
      <c r="R659" s="2" t="inlineStr"/>
    </row>
    <row r="660" ht="15" customHeight="1">
      <c r="A660" t="inlineStr">
        <is>
          <t>A 5797-2026</t>
        </is>
      </c>
      <c r="B660" s="1" t="n">
        <v>46051.71248842592</v>
      </c>
      <c r="C660" s="1" t="n">
        <v>46075</v>
      </c>
      <c r="D660" t="inlineStr">
        <is>
          <t>UPPSALA LÄN</t>
        </is>
      </c>
      <c r="E660" t="inlineStr">
        <is>
          <t>TIERP</t>
        </is>
      </c>
      <c r="G660" t="n">
        <v>1.6</v>
      </c>
      <c r="H660" t="n">
        <v>0</v>
      </c>
      <c r="I660" t="n">
        <v>0</v>
      </c>
      <c r="J660" t="n">
        <v>0</v>
      </c>
      <c r="K660" t="n">
        <v>0</v>
      </c>
      <c r="L660" t="n">
        <v>0</v>
      </c>
      <c r="M660" t="n">
        <v>0</v>
      </c>
      <c r="N660" t="n">
        <v>0</v>
      </c>
      <c r="O660" t="n">
        <v>0</v>
      </c>
      <c r="P660" t="n">
        <v>0</v>
      </c>
      <c r="Q660" t="n">
        <v>0</v>
      </c>
      <c r="R660" s="2" t="inlineStr"/>
    </row>
    <row r="661" ht="15" customHeight="1">
      <c r="A661" t="inlineStr">
        <is>
          <t>A 62615-2025</t>
        </is>
      </c>
      <c r="B661" s="1" t="n">
        <v>46008.32130787037</v>
      </c>
      <c r="C661" s="1" t="n">
        <v>46075</v>
      </c>
      <c r="D661" t="inlineStr">
        <is>
          <t>UPPSALA LÄN</t>
        </is>
      </c>
      <c r="E661" t="inlineStr">
        <is>
          <t>TIERP</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63066-2025</t>
        </is>
      </c>
      <c r="B662" s="1" t="n">
        <v>46009</v>
      </c>
      <c r="C662" s="1" t="n">
        <v>46075</v>
      </c>
      <c r="D662" t="inlineStr">
        <is>
          <t>UPPSALA LÄN</t>
        </is>
      </c>
      <c r="E662" t="inlineStr">
        <is>
          <t>TIERP</t>
        </is>
      </c>
      <c r="G662" t="n">
        <v>3</v>
      </c>
      <c r="H662" t="n">
        <v>0</v>
      </c>
      <c r="I662" t="n">
        <v>0</v>
      </c>
      <c r="J662" t="n">
        <v>0</v>
      </c>
      <c r="K662" t="n">
        <v>0</v>
      </c>
      <c r="L662" t="n">
        <v>0</v>
      </c>
      <c r="M662" t="n">
        <v>0</v>
      </c>
      <c r="N662" t="n">
        <v>0</v>
      </c>
      <c r="O662" t="n">
        <v>0</v>
      </c>
      <c r="P662" t="n">
        <v>0</v>
      </c>
      <c r="Q662" t="n">
        <v>0</v>
      </c>
      <c r="R662" s="2" t="inlineStr"/>
    </row>
    <row r="663" ht="15" customHeight="1">
      <c r="A663" t="inlineStr">
        <is>
          <t>A 16494-2025</t>
        </is>
      </c>
      <c r="B663" s="1" t="n">
        <v>45751.59844907407</v>
      </c>
      <c r="C663" s="1" t="n">
        <v>46075</v>
      </c>
      <c r="D663" t="inlineStr">
        <is>
          <t>UPPSALA LÄN</t>
        </is>
      </c>
      <c r="E663" t="inlineStr">
        <is>
          <t>TIERP</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46075</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5662-2026</t>
        </is>
      </c>
      <c r="B665" s="1" t="n">
        <v>46051.45866898148</v>
      </c>
      <c r="C665" s="1" t="n">
        <v>46075</v>
      </c>
      <c r="D665" t="inlineStr">
        <is>
          <t>UPPSALA LÄN</t>
        </is>
      </c>
      <c r="E665" t="inlineStr">
        <is>
          <t>TIERP</t>
        </is>
      </c>
      <c r="G665" t="n">
        <v>1.2</v>
      </c>
      <c r="H665" t="n">
        <v>0</v>
      </c>
      <c r="I665" t="n">
        <v>0</v>
      </c>
      <c r="J665" t="n">
        <v>0</v>
      </c>
      <c r="K665" t="n">
        <v>0</v>
      </c>
      <c r="L665" t="n">
        <v>0</v>
      </c>
      <c r="M665" t="n">
        <v>0</v>
      </c>
      <c r="N665" t="n">
        <v>0</v>
      </c>
      <c r="O665" t="n">
        <v>0</v>
      </c>
      <c r="P665" t="n">
        <v>0</v>
      </c>
      <c r="Q665" t="n">
        <v>0</v>
      </c>
      <c r="R665" s="2" t="inlineStr"/>
    </row>
    <row r="666" ht="15" customHeight="1">
      <c r="A666" t="inlineStr">
        <is>
          <t>A 5423-2026</t>
        </is>
      </c>
      <c r="B666" s="1" t="n">
        <v>46050.54232638889</v>
      </c>
      <c r="C666" s="1" t="n">
        <v>46075</v>
      </c>
      <c r="D666" t="inlineStr">
        <is>
          <t>UPPSALA LÄN</t>
        </is>
      </c>
      <c r="E666" t="inlineStr">
        <is>
          <t>TIERP</t>
        </is>
      </c>
      <c r="G666" t="n">
        <v>3.4</v>
      </c>
      <c r="H666" t="n">
        <v>0</v>
      </c>
      <c r="I666" t="n">
        <v>0</v>
      </c>
      <c r="J666" t="n">
        <v>0</v>
      </c>
      <c r="K666" t="n">
        <v>0</v>
      </c>
      <c r="L666" t="n">
        <v>0</v>
      </c>
      <c r="M666" t="n">
        <v>0</v>
      </c>
      <c r="N666" t="n">
        <v>0</v>
      </c>
      <c r="O666" t="n">
        <v>0</v>
      </c>
      <c r="P666" t="n">
        <v>0</v>
      </c>
      <c r="Q666" t="n">
        <v>0</v>
      </c>
      <c r="R666" s="2" t="inlineStr"/>
    </row>
    <row r="667" ht="15" customHeight="1">
      <c r="A667" t="inlineStr">
        <is>
          <t>A 62872-2025</t>
        </is>
      </c>
      <c r="B667" s="1" t="n">
        <v>46008.84649305556</v>
      </c>
      <c r="C667" s="1" t="n">
        <v>46075</v>
      </c>
      <c r="D667" t="inlineStr">
        <is>
          <t>UPPSALA LÄN</t>
        </is>
      </c>
      <c r="E667" t="inlineStr">
        <is>
          <t>TIERP</t>
        </is>
      </c>
      <c r="G667" t="n">
        <v>2.7</v>
      </c>
      <c r="H667" t="n">
        <v>0</v>
      </c>
      <c r="I667" t="n">
        <v>0</v>
      </c>
      <c r="J667" t="n">
        <v>0</v>
      </c>
      <c r="K667" t="n">
        <v>0</v>
      </c>
      <c r="L667" t="n">
        <v>0</v>
      </c>
      <c r="M667" t="n">
        <v>0</v>
      </c>
      <c r="N667" t="n">
        <v>0</v>
      </c>
      <c r="O667" t="n">
        <v>0</v>
      </c>
      <c r="P667" t="n">
        <v>0</v>
      </c>
      <c r="Q667" t="n">
        <v>0</v>
      </c>
      <c r="R667" s="2" t="inlineStr"/>
    </row>
    <row r="668" ht="15" customHeight="1">
      <c r="A668" t="inlineStr">
        <is>
          <t>A 62874-2025</t>
        </is>
      </c>
      <c r="B668" s="1" t="n">
        <v>46008.85138888889</v>
      </c>
      <c r="C668" s="1" t="n">
        <v>46075</v>
      </c>
      <c r="D668" t="inlineStr">
        <is>
          <t>UPPSALA LÄN</t>
        </is>
      </c>
      <c r="E668" t="inlineStr">
        <is>
          <t>TIERP</t>
        </is>
      </c>
      <c r="G668" t="n">
        <v>1.2</v>
      </c>
      <c r="H668" t="n">
        <v>0</v>
      </c>
      <c r="I668" t="n">
        <v>0</v>
      </c>
      <c r="J668" t="n">
        <v>0</v>
      </c>
      <c r="K668" t="n">
        <v>0</v>
      </c>
      <c r="L668" t="n">
        <v>0</v>
      </c>
      <c r="M668" t="n">
        <v>0</v>
      </c>
      <c r="N668" t="n">
        <v>0</v>
      </c>
      <c r="O668" t="n">
        <v>0</v>
      </c>
      <c r="P668" t="n">
        <v>0</v>
      </c>
      <c r="Q668" t="n">
        <v>0</v>
      </c>
      <c r="R668" s="2" t="inlineStr"/>
    </row>
    <row r="669" ht="15" customHeight="1">
      <c r="A669" t="inlineStr">
        <is>
          <t>A 62624-2025</t>
        </is>
      </c>
      <c r="B669" s="1" t="n">
        <v>46008.34482638889</v>
      </c>
      <c r="C669" s="1" t="n">
        <v>46075</v>
      </c>
      <c r="D669" t="inlineStr">
        <is>
          <t>UPPSALA LÄN</t>
        </is>
      </c>
      <c r="E669" t="inlineStr">
        <is>
          <t>TIERP</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17944-2023</t>
        </is>
      </c>
      <c r="B670" s="1" t="n">
        <v>45040.43703703704</v>
      </c>
      <c r="C670" s="1" t="n">
        <v>46075</v>
      </c>
      <c r="D670" t="inlineStr">
        <is>
          <t>UPPSALA LÄN</t>
        </is>
      </c>
      <c r="E670" t="inlineStr">
        <is>
          <t>TIERP</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5727-2026</t>
        </is>
      </c>
      <c r="B671" s="1" t="n">
        <v>46051.56842592593</v>
      </c>
      <c r="C671" s="1" t="n">
        <v>46075</v>
      </c>
      <c r="D671" t="inlineStr">
        <is>
          <t>UPPSALA LÄN</t>
        </is>
      </c>
      <c r="E671" t="inlineStr">
        <is>
          <t>TIERP</t>
        </is>
      </c>
      <c r="G671" t="n">
        <v>5.1</v>
      </c>
      <c r="H671" t="n">
        <v>0</v>
      </c>
      <c r="I671" t="n">
        <v>0</v>
      </c>
      <c r="J671" t="n">
        <v>0</v>
      </c>
      <c r="K671" t="n">
        <v>0</v>
      </c>
      <c r="L671" t="n">
        <v>0</v>
      </c>
      <c r="M671" t="n">
        <v>0</v>
      </c>
      <c r="N671" t="n">
        <v>0</v>
      </c>
      <c r="O671" t="n">
        <v>0</v>
      </c>
      <c r="P671" t="n">
        <v>0</v>
      </c>
      <c r="Q671" t="n">
        <v>0</v>
      </c>
      <c r="R671" s="2" t="inlineStr"/>
    </row>
    <row r="672" ht="15" customHeight="1">
      <c r="A672" t="inlineStr">
        <is>
          <t>A 62855-2025</t>
        </is>
      </c>
      <c r="B672" s="1" t="n">
        <v>46008.7384375</v>
      </c>
      <c r="C672" s="1" t="n">
        <v>46075</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63331-2025</t>
        </is>
      </c>
      <c r="B673" s="1" t="n">
        <v>46010.64234953704</v>
      </c>
      <c r="C673" s="1" t="n">
        <v>46075</v>
      </c>
      <c r="D673" t="inlineStr">
        <is>
          <t>UPPSALA LÄN</t>
        </is>
      </c>
      <c r="E673" t="inlineStr">
        <is>
          <t>TIERP</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1117-2026</t>
        </is>
      </c>
      <c r="B674" s="1" t="n">
        <v>46029</v>
      </c>
      <c r="C674" s="1" t="n">
        <v>46075</v>
      </c>
      <c r="D674" t="inlineStr">
        <is>
          <t>UPPSALA LÄN</t>
        </is>
      </c>
      <c r="E674" t="inlineStr">
        <is>
          <t>TIERP</t>
        </is>
      </c>
      <c r="F674" t="inlineStr">
        <is>
          <t>Naturvårdsverket</t>
        </is>
      </c>
      <c r="G674" t="n">
        <v>2.8</v>
      </c>
      <c r="H674" t="n">
        <v>0</v>
      </c>
      <c r="I674" t="n">
        <v>0</v>
      </c>
      <c r="J674" t="n">
        <v>0</v>
      </c>
      <c r="K674" t="n">
        <v>0</v>
      </c>
      <c r="L674" t="n">
        <v>0</v>
      </c>
      <c r="M674" t="n">
        <v>0</v>
      </c>
      <c r="N674" t="n">
        <v>0</v>
      </c>
      <c r="O674" t="n">
        <v>0</v>
      </c>
      <c r="P674" t="n">
        <v>0</v>
      </c>
      <c r="Q674" t="n">
        <v>0</v>
      </c>
      <c r="R674" s="2" t="inlineStr"/>
    </row>
    <row r="675" ht="15" customHeight="1">
      <c r="A675" t="inlineStr">
        <is>
          <t>A 32326-2022</t>
        </is>
      </c>
      <c r="B675" s="1" t="n">
        <v>44781.68261574074</v>
      </c>
      <c r="C675" s="1" t="n">
        <v>46075</v>
      </c>
      <c r="D675" t="inlineStr">
        <is>
          <t>UPPSALA LÄN</t>
        </is>
      </c>
      <c r="E675" t="inlineStr">
        <is>
          <t>TIERP</t>
        </is>
      </c>
      <c r="G675" t="n">
        <v>3.6</v>
      </c>
      <c r="H675" t="n">
        <v>0</v>
      </c>
      <c r="I675" t="n">
        <v>0</v>
      </c>
      <c r="J675" t="n">
        <v>0</v>
      </c>
      <c r="K675" t="n">
        <v>0</v>
      </c>
      <c r="L675" t="n">
        <v>0</v>
      </c>
      <c r="M675" t="n">
        <v>0</v>
      </c>
      <c r="N675" t="n">
        <v>0</v>
      </c>
      <c r="O675" t="n">
        <v>0</v>
      </c>
      <c r="P675" t="n">
        <v>0</v>
      </c>
      <c r="Q675" t="n">
        <v>0</v>
      </c>
      <c r="R675" s="2" t="inlineStr"/>
    </row>
    <row r="676" ht="15" customHeight="1">
      <c r="A676" t="inlineStr">
        <is>
          <t>A 63348-2025</t>
        </is>
      </c>
      <c r="B676" s="1" t="n">
        <v>46010.66298611111</v>
      </c>
      <c r="C676" s="1" t="n">
        <v>46075</v>
      </c>
      <c r="D676" t="inlineStr">
        <is>
          <t>UPPSALA LÄN</t>
        </is>
      </c>
      <c r="E676" t="inlineStr">
        <is>
          <t>TIERP</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24278-2021</t>
        </is>
      </c>
      <c r="B677" s="1" t="n">
        <v>44337</v>
      </c>
      <c r="C677" s="1" t="n">
        <v>46075</v>
      </c>
      <c r="D677" t="inlineStr">
        <is>
          <t>UPPSALA LÄN</t>
        </is>
      </c>
      <c r="E677" t="inlineStr">
        <is>
          <t>TIERP</t>
        </is>
      </c>
      <c r="F677" t="inlineStr">
        <is>
          <t>Bergvik skog väst AB</t>
        </is>
      </c>
      <c r="G677" t="n">
        <v>1.8</v>
      </c>
      <c r="H677" t="n">
        <v>0</v>
      </c>
      <c r="I677" t="n">
        <v>0</v>
      </c>
      <c r="J677" t="n">
        <v>0</v>
      </c>
      <c r="K677" t="n">
        <v>0</v>
      </c>
      <c r="L677" t="n">
        <v>0</v>
      </c>
      <c r="M677" t="n">
        <v>0</v>
      </c>
      <c r="N677" t="n">
        <v>0</v>
      </c>
      <c r="O677" t="n">
        <v>0</v>
      </c>
      <c r="P677" t="n">
        <v>0</v>
      </c>
      <c r="Q677" t="n">
        <v>0</v>
      </c>
      <c r="R677" s="2" t="inlineStr"/>
    </row>
    <row r="678" ht="15" customHeight="1">
      <c r="A678" t="inlineStr">
        <is>
          <t>A 6410-2026</t>
        </is>
      </c>
      <c r="B678" s="1" t="n">
        <v>46055.67453703703</v>
      </c>
      <c r="C678" s="1" t="n">
        <v>46075</v>
      </c>
      <c r="D678" t="inlineStr">
        <is>
          <t>UPPSALA LÄN</t>
        </is>
      </c>
      <c r="E678" t="inlineStr">
        <is>
          <t>TIERP</t>
        </is>
      </c>
      <c r="G678" t="n">
        <v>3.7</v>
      </c>
      <c r="H678" t="n">
        <v>0</v>
      </c>
      <c r="I678" t="n">
        <v>0</v>
      </c>
      <c r="J678" t="n">
        <v>0</v>
      </c>
      <c r="K678" t="n">
        <v>0</v>
      </c>
      <c r="L678" t="n">
        <v>0</v>
      </c>
      <c r="M678" t="n">
        <v>0</v>
      </c>
      <c r="N678" t="n">
        <v>0</v>
      </c>
      <c r="O678" t="n">
        <v>0</v>
      </c>
      <c r="P678" t="n">
        <v>0</v>
      </c>
      <c r="Q678" t="n">
        <v>0</v>
      </c>
      <c r="R678" s="2" t="inlineStr"/>
    </row>
    <row r="679" ht="15" customHeight="1">
      <c r="A679" t="inlineStr">
        <is>
          <t>A 6139-2026</t>
        </is>
      </c>
      <c r="B679" s="1" t="n">
        <v>46054.72121527778</v>
      </c>
      <c r="C679" s="1" t="n">
        <v>46075</v>
      </c>
      <c r="D679" t="inlineStr">
        <is>
          <t>UPPSALA LÄN</t>
        </is>
      </c>
      <c r="E679" t="inlineStr">
        <is>
          <t>TIERP</t>
        </is>
      </c>
      <c r="G679" t="n">
        <v>1</v>
      </c>
      <c r="H679" t="n">
        <v>0</v>
      </c>
      <c r="I679" t="n">
        <v>0</v>
      </c>
      <c r="J679" t="n">
        <v>0</v>
      </c>
      <c r="K679" t="n">
        <v>0</v>
      </c>
      <c r="L679" t="n">
        <v>0</v>
      </c>
      <c r="M679" t="n">
        <v>0</v>
      </c>
      <c r="N679" t="n">
        <v>0</v>
      </c>
      <c r="O679" t="n">
        <v>0</v>
      </c>
      <c r="P679" t="n">
        <v>0</v>
      </c>
      <c r="Q679" t="n">
        <v>0</v>
      </c>
      <c r="R679" s="2" t="inlineStr"/>
    </row>
    <row r="680" ht="15" customHeight="1">
      <c r="A680" t="inlineStr">
        <is>
          <t>A 63263-2025</t>
        </is>
      </c>
      <c r="B680" s="1" t="n">
        <v>46010.56049768518</v>
      </c>
      <c r="C680" s="1" t="n">
        <v>46075</v>
      </c>
      <c r="D680" t="inlineStr">
        <is>
          <t>UPPSALA LÄN</t>
        </is>
      </c>
      <c r="E680" t="inlineStr">
        <is>
          <t>TIERP</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6417-2026</t>
        </is>
      </c>
      <c r="B681" s="1" t="n">
        <v>46055.68753472222</v>
      </c>
      <c r="C681" s="1" t="n">
        <v>46075</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15193-2024</t>
        </is>
      </c>
      <c r="B682" s="1" t="n">
        <v>45400.41387731482</v>
      </c>
      <c r="C682" s="1" t="n">
        <v>46075</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6036-2026</t>
        </is>
      </c>
      <c r="B683" s="1" t="n">
        <v>46052.61545138889</v>
      </c>
      <c r="C683" s="1" t="n">
        <v>46075</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22663-2022</t>
        </is>
      </c>
      <c r="B684" s="1" t="n">
        <v>44713</v>
      </c>
      <c r="C684" s="1" t="n">
        <v>46075</v>
      </c>
      <c r="D684" t="inlineStr">
        <is>
          <t>UPPSALA LÄN</t>
        </is>
      </c>
      <c r="E684" t="inlineStr">
        <is>
          <t>TIERP</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63258-2025</t>
        </is>
      </c>
      <c r="B685" s="1" t="n">
        <v>46010.55542824074</v>
      </c>
      <c r="C685" s="1" t="n">
        <v>46075</v>
      </c>
      <c r="D685" t="inlineStr">
        <is>
          <t>UPPSALA LÄN</t>
        </is>
      </c>
      <c r="E685" t="inlineStr">
        <is>
          <t>TIERP</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63261-2025</t>
        </is>
      </c>
      <c r="B686" s="1" t="n">
        <v>46010.55767361111</v>
      </c>
      <c r="C686" s="1" t="n">
        <v>46075</v>
      </c>
      <c r="D686" t="inlineStr">
        <is>
          <t>UPPSALA LÄN</t>
        </is>
      </c>
      <c r="E686" t="inlineStr">
        <is>
          <t>TIERP</t>
        </is>
      </c>
      <c r="F686" t="inlineStr">
        <is>
          <t>Bergvik skog öst AB</t>
        </is>
      </c>
      <c r="G686" t="n">
        <v>16.6</v>
      </c>
      <c r="H686" t="n">
        <v>0</v>
      </c>
      <c r="I686" t="n">
        <v>0</v>
      </c>
      <c r="J686" t="n">
        <v>0</v>
      </c>
      <c r="K686" t="n">
        <v>0</v>
      </c>
      <c r="L686" t="n">
        <v>0</v>
      </c>
      <c r="M686" t="n">
        <v>0</v>
      </c>
      <c r="N686" t="n">
        <v>0</v>
      </c>
      <c r="O686" t="n">
        <v>0</v>
      </c>
      <c r="P686" t="n">
        <v>0</v>
      </c>
      <c r="Q686" t="n">
        <v>0</v>
      </c>
      <c r="R686" s="2" t="inlineStr"/>
    </row>
    <row r="687" ht="15" customHeight="1">
      <c r="A687" t="inlineStr">
        <is>
          <t>A 32190-2022</t>
        </is>
      </c>
      <c r="B687" s="1" t="n">
        <v>44781.3843287037</v>
      </c>
      <c r="C687" s="1" t="n">
        <v>46075</v>
      </c>
      <c r="D687" t="inlineStr">
        <is>
          <t>UPPSALA LÄN</t>
        </is>
      </c>
      <c r="E687" t="inlineStr">
        <is>
          <t>TIERP</t>
        </is>
      </c>
      <c r="G687" t="n">
        <v>3.1</v>
      </c>
      <c r="H687" t="n">
        <v>0</v>
      </c>
      <c r="I687" t="n">
        <v>0</v>
      </c>
      <c r="J687" t="n">
        <v>0</v>
      </c>
      <c r="K687" t="n">
        <v>0</v>
      </c>
      <c r="L687" t="n">
        <v>0</v>
      </c>
      <c r="M687" t="n">
        <v>0</v>
      </c>
      <c r="N687" t="n">
        <v>0</v>
      </c>
      <c r="O687" t="n">
        <v>0</v>
      </c>
      <c r="P687" t="n">
        <v>0</v>
      </c>
      <c r="Q687" t="n">
        <v>0</v>
      </c>
      <c r="R687" s="2" t="inlineStr"/>
    </row>
    <row r="688" ht="15" customHeight="1">
      <c r="A688" t="inlineStr">
        <is>
          <t>A 6404-2026</t>
        </is>
      </c>
      <c r="B688" s="1" t="n">
        <v>46055.66452546296</v>
      </c>
      <c r="C688" s="1" t="n">
        <v>46075</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6407-2026</t>
        </is>
      </c>
      <c r="B689" s="1" t="n">
        <v>46055.66721064815</v>
      </c>
      <c r="C689" s="1" t="n">
        <v>46075</v>
      </c>
      <c r="D689" t="inlineStr">
        <is>
          <t>UPPSALA LÄN</t>
        </is>
      </c>
      <c r="E689" t="inlineStr">
        <is>
          <t>TIERP</t>
        </is>
      </c>
      <c r="G689" t="n">
        <v>0.5</v>
      </c>
      <c r="H689" t="n">
        <v>0</v>
      </c>
      <c r="I689" t="n">
        <v>0</v>
      </c>
      <c r="J689" t="n">
        <v>0</v>
      </c>
      <c r="K689" t="n">
        <v>0</v>
      </c>
      <c r="L689" t="n">
        <v>0</v>
      </c>
      <c r="M689" t="n">
        <v>0</v>
      </c>
      <c r="N689" t="n">
        <v>0</v>
      </c>
      <c r="O689" t="n">
        <v>0</v>
      </c>
      <c r="P689" t="n">
        <v>0</v>
      </c>
      <c r="Q689" t="n">
        <v>0</v>
      </c>
      <c r="R689" s="2" t="inlineStr"/>
    </row>
    <row r="690" ht="15" customHeight="1">
      <c r="A690" t="inlineStr">
        <is>
          <t>A 63384-2025</t>
        </is>
      </c>
      <c r="B690" s="1" t="n">
        <v>46011.5487037037</v>
      </c>
      <c r="C690" s="1" t="n">
        <v>46075</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63259-2025</t>
        </is>
      </c>
      <c r="B691" s="1" t="n">
        <v>46010.55642361111</v>
      </c>
      <c r="C691" s="1" t="n">
        <v>46075</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63262-2025</t>
        </is>
      </c>
      <c r="B692" s="1" t="n">
        <v>46010.55979166667</v>
      </c>
      <c r="C692" s="1" t="n">
        <v>46075</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8768-2023</t>
        </is>
      </c>
      <c r="B693" s="1" t="n">
        <v>44978.5362037037</v>
      </c>
      <c r="C693" s="1" t="n">
        <v>46075</v>
      </c>
      <c r="D693" t="inlineStr">
        <is>
          <t>UPPSALA LÄN</t>
        </is>
      </c>
      <c r="E693" t="inlineStr">
        <is>
          <t>TIERP</t>
        </is>
      </c>
      <c r="G693" t="n">
        <v>1.2</v>
      </c>
      <c r="H693" t="n">
        <v>0</v>
      </c>
      <c r="I693" t="n">
        <v>0</v>
      </c>
      <c r="J693" t="n">
        <v>0</v>
      </c>
      <c r="K693" t="n">
        <v>0</v>
      </c>
      <c r="L693" t="n">
        <v>0</v>
      </c>
      <c r="M693" t="n">
        <v>0</v>
      </c>
      <c r="N693" t="n">
        <v>0</v>
      </c>
      <c r="O693" t="n">
        <v>0</v>
      </c>
      <c r="P693" t="n">
        <v>0</v>
      </c>
      <c r="Q693" t="n">
        <v>0</v>
      </c>
      <c r="R693" s="2" t="inlineStr"/>
    </row>
    <row r="694" ht="15" customHeight="1">
      <c r="A694" t="inlineStr">
        <is>
          <t>A 12786-2024</t>
        </is>
      </c>
      <c r="B694" s="1" t="n">
        <v>45384.60682870371</v>
      </c>
      <c r="C694" s="1" t="n">
        <v>46075</v>
      </c>
      <c r="D694" t="inlineStr">
        <is>
          <t>UPPSALA LÄN</t>
        </is>
      </c>
      <c r="E694" t="inlineStr">
        <is>
          <t>TIERP</t>
        </is>
      </c>
      <c r="G694" t="n">
        <v>0.8</v>
      </c>
      <c r="H694" t="n">
        <v>0</v>
      </c>
      <c r="I694" t="n">
        <v>0</v>
      </c>
      <c r="J694" t="n">
        <v>0</v>
      </c>
      <c r="K694" t="n">
        <v>0</v>
      </c>
      <c r="L694" t="n">
        <v>0</v>
      </c>
      <c r="M694" t="n">
        <v>0</v>
      </c>
      <c r="N694" t="n">
        <v>0</v>
      </c>
      <c r="O694" t="n">
        <v>0</v>
      </c>
      <c r="P694" t="n">
        <v>0</v>
      </c>
      <c r="Q694" t="n">
        <v>0</v>
      </c>
      <c r="R694" s="2" t="inlineStr"/>
    </row>
    <row r="695" ht="15" customHeight="1">
      <c r="A695" t="inlineStr">
        <is>
          <t>A 6707-2026</t>
        </is>
      </c>
      <c r="B695" s="1" t="n">
        <v>46053</v>
      </c>
      <c r="C695" s="1" t="n">
        <v>46075</v>
      </c>
      <c r="D695" t="inlineStr">
        <is>
          <t>UPPSALA LÄN</t>
        </is>
      </c>
      <c r="E695" t="inlineStr">
        <is>
          <t>TIERP</t>
        </is>
      </c>
      <c r="G695" t="n">
        <v>0.9</v>
      </c>
      <c r="H695" t="n">
        <v>0</v>
      </c>
      <c r="I695" t="n">
        <v>0</v>
      </c>
      <c r="J695" t="n">
        <v>0</v>
      </c>
      <c r="K695" t="n">
        <v>0</v>
      </c>
      <c r="L695" t="n">
        <v>0</v>
      </c>
      <c r="M695" t="n">
        <v>0</v>
      </c>
      <c r="N695" t="n">
        <v>0</v>
      </c>
      <c r="O695" t="n">
        <v>0</v>
      </c>
      <c r="P695" t="n">
        <v>0</v>
      </c>
      <c r="Q695" t="n">
        <v>0</v>
      </c>
      <c r="R695" s="2" t="inlineStr"/>
    </row>
    <row r="696" ht="15" customHeight="1">
      <c r="A696" t="inlineStr">
        <is>
          <t>A 6696-2026</t>
        </is>
      </c>
      <c r="B696" s="1" t="n">
        <v>46053</v>
      </c>
      <c r="C696" s="1" t="n">
        <v>46075</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63631-2025</t>
        </is>
      </c>
      <c r="B697" s="1" t="n">
        <v>46014.37875</v>
      </c>
      <c r="C697" s="1" t="n">
        <v>46075</v>
      </c>
      <c r="D697" t="inlineStr">
        <is>
          <t>UPPSALA LÄN</t>
        </is>
      </c>
      <c r="E697" t="inlineStr">
        <is>
          <t>TIERP</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5170-2022</t>
        </is>
      </c>
      <c r="B698" s="1" t="n">
        <v>44594.41829861111</v>
      </c>
      <c r="C698" s="1" t="n">
        <v>46075</v>
      </c>
      <c r="D698" t="inlineStr">
        <is>
          <t>UPPSALA LÄN</t>
        </is>
      </c>
      <c r="E698" t="inlineStr">
        <is>
          <t>TIERP</t>
        </is>
      </c>
      <c r="F698" t="inlineStr">
        <is>
          <t>Bergvik skog öst AB</t>
        </is>
      </c>
      <c r="G698" t="n">
        <v>3.5</v>
      </c>
      <c r="H698" t="n">
        <v>0</v>
      </c>
      <c r="I698" t="n">
        <v>0</v>
      </c>
      <c r="J698" t="n">
        <v>0</v>
      </c>
      <c r="K698" t="n">
        <v>0</v>
      </c>
      <c r="L698" t="n">
        <v>0</v>
      </c>
      <c r="M698" t="n">
        <v>0</v>
      </c>
      <c r="N698" t="n">
        <v>0</v>
      </c>
      <c r="O698" t="n">
        <v>0</v>
      </c>
      <c r="P698" t="n">
        <v>0</v>
      </c>
      <c r="Q698" t="n">
        <v>0</v>
      </c>
      <c r="R698" s="2" t="inlineStr"/>
    </row>
    <row r="699" ht="15" customHeight="1">
      <c r="A699" t="inlineStr">
        <is>
          <t>A 5963-2023</t>
        </is>
      </c>
      <c r="B699" s="1" t="n">
        <v>44964</v>
      </c>
      <c r="C699" s="1" t="n">
        <v>46075</v>
      </c>
      <c r="D699" t="inlineStr">
        <is>
          <t>UPPSALA LÄN</t>
        </is>
      </c>
      <c r="E699" t="inlineStr">
        <is>
          <t>TIERP</t>
        </is>
      </c>
      <c r="F699" t="inlineStr">
        <is>
          <t>Bergvik skog öst AB</t>
        </is>
      </c>
      <c r="G699" t="n">
        <v>4.1</v>
      </c>
      <c r="H699" t="n">
        <v>0</v>
      </c>
      <c r="I699" t="n">
        <v>0</v>
      </c>
      <c r="J699" t="n">
        <v>0</v>
      </c>
      <c r="K699" t="n">
        <v>0</v>
      </c>
      <c r="L699" t="n">
        <v>0</v>
      </c>
      <c r="M699" t="n">
        <v>0</v>
      </c>
      <c r="N699" t="n">
        <v>0</v>
      </c>
      <c r="O699" t="n">
        <v>0</v>
      </c>
      <c r="P699" t="n">
        <v>0</v>
      </c>
      <c r="Q699" t="n">
        <v>0</v>
      </c>
      <c r="R699" s="2" t="inlineStr"/>
    </row>
    <row r="700" ht="15" customHeight="1">
      <c r="A700" t="inlineStr">
        <is>
          <t>A 6709-2026</t>
        </is>
      </c>
      <c r="B700" s="1" t="n">
        <v>46053</v>
      </c>
      <c r="C700" s="1" t="n">
        <v>46075</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28346-2022</t>
        </is>
      </c>
      <c r="B701" s="1" t="n">
        <v>44747</v>
      </c>
      <c r="C701" s="1" t="n">
        <v>46075</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43605-2023</t>
        </is>
      </c>
      <c r="B702" s="1" t="n">
        <v>45181</v>
      </c>
      <c r="C702" s="1" t="n">
        <v>46075</v>
      </c>
      <c r="D702" t="inlineStr">
        <is>
          <t>UPPSALA LÄN</t>
        </is>
      </c>
      <c r="E702" t="inlineStr">
        <is>
          <t>TIERP</t>
        </is>
      </c>
      <c r="G702" t="n">
        <v>2.5</v>
      </c>
      <c r="H702" t="n">
        <v>0</v>
      </c>
      <c r="I702" t="n">
        <v>0</v>
      </c>
      <c r="J702" t="n">
        <v>0</v>
      </c>
      <c r="K702" t="n">
        <v>0</v>
      </c>
      <c r="L702" t="n">
        <v>0</v>
      </c>
      <c r="M702" t="n">
        <v>0</v>
      </c>
      <c r="N702" t="n">
        <v>0</v>
      </c>
      <c r="O702" t="n">
        <v>0</v>
      </c>
      <c r="P702" t="n">
        <v>0</v>
      </c>
      <c r="Q702" t="n">
        <v>0</v>
      </c>
      <c r="R702" s="2" t="inlineStr"/>
    </row>
    <row r="703" ht="15" customHeight="1">
      <c r="A703" t="inlineStr">
        <is>
          <t>A 59534-2022</t>
        </is>
      </c>
      <c r="B703" s="1" t="n">
        <v>44907.56795138889</v>
      </c>
      <c r="C703" s="1" t="n">
        <v>46075</v>
      </c>
      <c r="D703" t="inlineStr">
        <is>
          <t>UPPSALA LÄN</t>
        </is>
      </c>
      <c r="E703" t="inlineStr">
        <is>
          <t>TIERP</t>
        </is>
      </c>
      <c r="G703" t="n">
        <v>2</v>
      </c>
      <c r="H703" t="n">
        <v>0</v>
      </c>
      <c r="I703" t="n">
        <v>0</v>
      </c>
      <c r="J703" t="n">
        <v>0</v>
      </c>
      <c r="K703" t="n">
        <v>0</v>
      </c>
      <c r="L703" t="n">
        <v>0</v>
      </c>
      <c r="M703" t="n">
        <v>0</v>
      </c>
      <c r="N703" t="n">
        <v>0</v>
      </c>
      <c r="O703" t="n">
        <v>0</v>
      </c>
      <c r="P703" t="n">
        <v>0</v>
      </c>
      <c r="Q703" t="n">
        <v>0</v>
      </c>
      <c r="R703" s="2" t="inlineStr"/>
    </row>
    <row r="704" ht="15" customHeight="1">
      <c r="A704" t="inlineStr">
        <is>
          <t>A 56173-2024</t>
        </is>
      </c>
      <c r="B704" s="1" t="n">
        <v>45624.55622685186</v>
      </c>
      <c r="C704" s="1" t="n">
        <v>46075</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12657-2025</t>
        </is>
      </c>
      <c r="B705" s="1" t="n">
        <v>45733.42229166667</v>
      </c>
      <c r="C705" s="1" t="n">
        <v>46075</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12662-2025</t>
        </is>
      </c>
      <c r="B706" s="1" t="n">
        <v>45733.42510416666</v>
      </c>
      <c r="C706" s="1" t="n">
        <v>46075</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63746-2025</t>
        </is>
      </c>
      <c r="B707" s="1" t="n">
        <v>46017.47381944444</v>
      </c>
      <c r="C707" s="1" t="n">
        <v>46075</v>
      </c>
      <c r="D707" t="inlineStr">
        <is>
          <t>UPPSALA LÄN</t>
        </is>
      </c>
      <c r="E707" t="inlineStr">
        <is>
          <t>TIERP</t>
        </is>
      </c>
      <c r="F707" t="inlineStr">
        <is>
          <t>Bergvik skog öst AB</t>
        </is>
      </c>
      <c r="G707" t="n">
        <v>1.5</v>
      </c>
      <c r="H707" t="n">
        <v>0</v>
      </c>
      <c r="I707" t="n">
        <v>0</v>
      </c>
      <c r="J707" t="n">
        <v>0</v>
      </c>
      <c r="K707" t="n">
        <v>0</v>
      </c>
      <c r="L707" t="n">
        <v>0</v>
      </c>
      <c r="M707" t="n">
        <v>0</v>
      </c>
      <c r="N707" t="n">
        <v>0</v>
      </c>
      <c r="O707" t="n">
        <v>0</v>
      </c>
      <c r="P707" t="n">
        <v>0</v>
      </c>
      <c r="Q707" t="n">
        <v>0</v>
      </c>
      <c r="R707" s="2" t="inlineStr"/>
    </row>
    <row r="708" ht="15" customHeight="1">
      <c r="A708" t="inlineStr">
        <is>
          <t>A 63747-2025</t>
        </is>
      </c>
      <c r="B708" s="1" t="n">
        <v>46017.53915509259</v>
      </c>
      <c r="C708" s="1" t="n">
        <v>46075</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11308-2025</t>
        </is>
      </c>
      <c r="B709" s="1" t="n">
        <v>45726.44707175926</v>
      </c>
      <c r="C709" s="1" t="n">
        <v>46075</v>
      </c>
      <c r="D709" t="inlineStr">
        <is>
          <t>UPPSALA LÄN</t>
        </is>
      </c>
      <c r="E709" t="inlineStr">
        <is>
          <t>TIERP</t>
        </is>
      </c>
      <c r="F709" t="inlineStr">
        <is>
          <t>Bergvik skog öst AB</t>
        </is>
      </c>
      <c r="G709" t="n">
        <v>13.5</v>
      </c>
      <c r="H709" t="n">
        <v>0</v>
      </c>
      <c r="I709" t="n">
        <v>0</v>
      </c>
      <c r="J709" t="n">
        <v>0</v>
      </c>
      <c r="K709" t="n">
        <v>0</v>
      </c>
      <c r="L709" t="n">
        <v>0</v>
      </c>
      <c r="M709" t="n">
        <v>0</v>
      </c>
      <c r="N709" t="n">
        <v>0</v>
      </c>
      <c r="O709" t="n">
        <v>0</v>
      </c>
      <c r="P709" t="n">
        <v>0</v>
      </c>
      <c r="Q709" t="n">
        <v>0</v>
      </c>
      <c r="R709" s="2" t="inlineStr"/>
    </row>
    <row r="710" ht="15" customHeight="1">
      <c r="A710" t="inlineStr">
        <is>
          <t>A 63924-2025</t>
        </is>
      </c>
      <c r="B710" s="1" t="n">
        <v>46020.7575</v>
      </c>
      <c r="C710" s="1" t="n">
        <v>46075</v>
      </c>
      <c r="D710" t="inlineStr">
        <is>
          <t>UPPSALA LÄN</t>
        </is>
      </c>
      <c r="E710" t="inlineStr">
        <is>
          <t>TIERP</t>
        </is>
      </c>
      <c r="F710" t="inlineStr">
        <is>
          <t>Bergvik skog öst AB</t>
        </is>
      </c>
      <c r="G710" t="n">
        <v>6.3</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46075</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29056-2025</t>
        </is>
      </c>
      <c r="B712" s="1" t="n">
        <v>45821</v>
      </c>
      <c r="C712" s="1" t="n">
        <v>46075</v>
      </c>
      <c r="D712" t="inlineStr">
        <is>
          <t>UPPSALA LÄN</t>
        </is>
      </c>
      <c r="E712" t="inlineStr">
        <is>
          <t>TIERP</t>
        </is>
      </c>
      <c r="F712" t="inlineStr">
        <is>
          <t>Bergvik skog öst AB</t>
        </is>
      </c>
      <c r="G712" t="n">
        <v>8.9</v>
      </c>
      <c r="H712" t="n">
        <v>0</v>
      </c>
      <c r="I712" t="n">
        <v>0</v>
      </c>
      <c r="J712" t="n">
        <v>0</v>
      </c>
      <c r="K712" t="n">
        <v>0</v>
      </c>
      <c r="L712" t="n">
        <v>0</v>
      </c>
      <c r="M712" t="n">
        <v>0</v>
      </c>
      <c r="N712" t="n">
        <v>0</v>
      </c>
      <c r="O712" t="n">
        <v>0</v>
      </c>
      <c r="P712" t="n">
        <v>0</v>
      </c>
      <c r="Q712" t="n">
        <v>0</v>
      </c>
      <c r="R712" s="2" t="inlineStr"/>
    </row>
    <row r="713" ht="15" customHeight="1">
      <c r="A713" t="inlineStr">
        <is>
          <t>A 51712-2025</t>
        </is>
      </c>
      <c r="B713" s="1" t="n">
        <v>45951.57142361111</v>
      </c>
      <c r="C713" s="1" t="n">
        <v>46075</v>
      </c>
      <c r="D713" t="inlineStr">
        <is>
          <t>UPPSALA LÄN</t>
        </is>
      </c>
      <c r="E713" t="inlineStr">
        <is>
          <t>TIERP</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43260-2025</t>
        </is>
      </c>
      <c r="B714" s="1" t="n">
        <v>45910.56313657408</v>
      </c>
      <c r="C714" s="1" t="n">
        <v>46075</v>
      </c>
      <c r="D714" t="inlineStr">
        <is>
          <t>UPPSALA LÄN</t>
        </is>
      </c>
      <c r="E714" t="inlineStr">
        <is>
          <t>TIERP</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60154-2022</t>
        </is>
      </c>
      <c r="B715" s="1" t="n">
        <v>44909</v>
      </c>
      <c r="C715" s="1" t="n">
        <v>46075</v>
      </c>
      <c r="D715" t="inlineStr">
        <is>
          <t>UPPSALA LÄN</t>
        </is>
      </c>
      <c r="E715" t="inlineStr">
        <is>
          <t>TIERP</t>
        </is>
      </c>
      <c r="G715" t="n">
        <v>6</v>
      </c>
      <c r="H715" t="n">
        <v>0</v>
      </c>
      <c r="I715" t="n">
        <v>0</v>
      </c>
      <c r="J715" t="n">
        <v>0</v>
      </c>
      <c r="K715" t="n">
        <v>0</v>
      </c>
      <c r="L715" t="n">
        <v>0</v>
      </c>
      <c r="M715" t="n">
        <v>0</v>
      </c>
      <c r="N715" t="n">
        <v>0</v>
      </c>
      <c r="O715" t="n">
        <v>0</v>
      </c>
      <c r="P715" t="n">
        <v>0</v>
      </c>
      <c r="Q715" t="n">
        <v>0</v>
      </c>
      <c r="R715" s="2" t="inlineStr"/>
    </row>
    <row r="716" ht="15" customHeight="1">
      <c r="A716" t="inlineStr">
        <is>
          <t>A 63921-2025</t>
        </is>
      </c>
      <c r="B716" s="1" t="n">
        <v>46020.75388888889</v>
      </c>
      <c r="C716" s="1" t="n">
        <v>46075</v>
      </c>
      <c r="D716" t="inlineStr">
        <is>
          <t>UPPSALA LÄN</t>
        </is>
      </c>
      <c r="E716" t="inlineStr">
        <is>
          <t>TIERP</t>
        </is>
      </c>
      <c r="F716" t="inlineStr">
        <is>
          <t>Bergvik skog öst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10550-2024</t>
        </is>
      </c>
      <c r="B717" s="1" t="n">
        <v>45366.5775462963</v>
      </c>
      <c r="C717" s="1" t="n">
        <v>46075</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6075-2023</t>
        </is>
      </c>
      <c r="B718" s="1" t="n">
        <v>44964.52627314815</v>
      </c>
      <c r="C718" s="1" t="n">
        <v>46075</v>
      </c>
      <c r="D718" t="inlineStr">
        <is>
          <t>UPPSALA LÄN</t>
        </is>
      </c>
      <c r="E718" t="inlineStr">
        <is>
          <t>TIERP</t>
        </is>
      </c>
      <c r="F718" t="inlineStr">
        <is>
          <t>Bergvik skog öst AB</t>
        </is>
      </c>
      <c r="G718" t="n">
        <v>2.6</v>
      </c>
      <c r="H718" t="n">
        <v>0</v>
      </c>
      <c r="I718" t="n">
        <v>0</v>
      </c>
      <c r="J718" t="n">
        <v>0</v>
      </c>
      <c r="K718" t="n">
        <v>0</v>
      </c>
      <c r="L718" t="n">
        <v>0</v>
      </c>
      <c r="M718" t="n">
        <v>0</v>
      </c>
      <c r="N718" t="n">
        <v>0</v>
      </c>
      <c r="O718" t="n">
        <v>0</v>
      </c>
      <c r="P718" t="n">
        <v>0</v>
      </c>
      <c r="Q718" t="n">
        <v>0</v>
      </c>
      <c r="R718" s="2" t="inlineStr"/>
    </row>
    <row r="719" ht="15" customHeight="1">
      <c r="A719" t="inlineStr">
        <is>
          <t>A 21782-2025</t>
        </is>
      </c>
      <c r="B719" s="1" t="n">
        <v>45783</v>
      </c>
      <c r="C719" s="1" t="n">
        <v>46075</v>
      </c>
      <c r="D719" t="inlineStr">
        <is>
          <t>UPPSALA LÄN</t>
        </is>
      </c>
      <c r="E719" t="inlineStr">
        <is>
          <t>TIERP</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43378-2025</t>
        </is>
      </c>
      <c r="B720" s="1" t="n">
        <v>45911.35693287037</v>
      </c>
      <c r="C720" s="1" t="n">
        <v>46075</v>
      </c>
      <c r="D720" t="inlineStr">
        <is>
          <t>UPPSALA LÄN</t>
        </is>
      </c>
      <c r="E720" t="inlineStr">
        <is>
          <t>TIERP</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39790-2025</t>
        </is>
      </c>
      <c r="B721" s="1" t="n">
        <v>45891.48542824074</v>
      </c>
      <c r="C721" s="1" t="n">
        <v>46075</v>
      </c>
      <c r="D721" t="inlineStr">
        <is>
          <t>UPPSALA LÄN</t>
        </is>
      </c>
      <c r="E721" t="inlineStr">
        <is>
          <t>TIERP</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63926-2025</t>
        </is>
      </c>
      <c r="B722" s="1" t="n">
        <v>46020.76140046296</v>
      </c>
      <c r="C722" s="1" t="n">
        <v>46075</v>
      </c>
      <c r="D722" t="inlineStr">
        <is>
          <t>UPPSALA LÄN</t>
        </is>
      </c>
      <c r="E722" t="inlineStr">
        <is>
          <t>TIERP</t>
        </is>
      </c>
      <c r="F722" t="inlineStr">
        <is>
          <t>Bergvik skog öst AB</t>
        </is>
      </c>
      <c r="G722" t="n">
        <v>4.5</v>
      </c>
      <c r="H722" t="n">
        <v>0</v>
      </c>
      <c r="I722" t="n">
        <v>0</v>
      </c>
      <c r="J722" t="n">
        <v>0</v>
      </c>
      <c r="K722" t="n">
        <v>0</v>
      </c>
      <c r="L722" t="n">
        <v>0</v>
      </c>
      <c r="M722" t="n">
        <v>0</v>
      </c>
      <c r="N722" t="n">
        <v>0</v>
      </c>
      <c r="O722" t="n">
        <v>0</v>
      </c>
      <c r="P722" t="n">
        <v>0</v>
      </c>
      <c r="Q722" t="n">
        <v>0</v>
      </c>
      <c r="R722" s="2" t="inlineStr"/>
    </row>
    <row r="723" ht="15" customHeight="1">
      <c r="A723" t="inlineStr">
        <is>
          <t>A 63927-2025</t>
        </is>
      </c>
      <c r="B723" s="1" t="n">
        <v>46020.76443287037</v>
      </c>
      <c r="C723" s="1" t="n">
        <v>46075</v>
      </c>
      <c r="D723" t="inlineStr">
        <is>
          <t>UPPSALA LÄN</t>
        </is>
      </c>
      <c r="E723" t="inlineStr">
        <is>
          <t>TIERP</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63928-2025</t>
        </is>
      </c>
      <c r="B724" s="1" t="n">
        <v>46020.76618055555</v>
      </c>
      <c r="C724" s="1" t="n">
        <v>46075</v>
      </c>
      <c r="D724" t="inlineStr">
        <is>
          <t>UPPSALA LÄN</t>
        </is>
      </c>
      <c r="E724" t="inlineStr">
        <is>
          <t>TIERP</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46075</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57142-2023</t>
        </is>
      </c>
      <c r="B726" s="1" t="n">
        <v>45245.39725694444</v>
      </c>
      <c r="C726" s="1" t="n">
        <v>46075</v>
      </c>
      <c r="D726" t="inlineStr">
        <is>
          <t>UPPSALA LÄN</t>
        </is>
      </c>
      <c r="E726" t="inlineStr">
        <is>
          <t>TIERP</t>
        </is>
      </c>
      <c r="G726" t="n">
        <v>3.2</v>
      </c>
      <c r="H726" t="n">
        <v>0</v>
      </c>
      <c r="I726" t="n">
        <v>0</v>
      </c>
      <c r="J726" t="n">
        <v>0</v>
      </c>
      <c r="K726" t="n">
        <v>0</v>
      </c>
      <c r="L726" t="n">
        <v>0</v>
      </c>
      <c r="M726" t="n">
        <v>0</v>
      </c>
      <c r="N726" t="n">
        <v>0</v>
      </c>
      <c r="O726" t="n">
        <v>0</v>
      </c>
      <c r="P726" t="n">
        <v>0</v>
      </c>
      <c r="Q726" t="n">
        <v>0</v>
      </c>
      <c r="R726" s="2" t="inlineStr"/>
    </row>
    <row r="727" ht="15" customHeight="1">
      <c r="A727" t="inlineStr">
        <is>
          <t>A 41389-2024</t>
        </is>
      </c>
      <c r="B727" s="1" t="n">
        <v>45560</v>
      </c>
      <c r="C727" s="1" t="n">
        <v>46075</v>
      </c>
      <c r="D727" t="inlineStr">
        <is>
          <t>UPPSALA LÄN</t>
        </is>
      </c>
      <c r="E727" t="inlineStr">
        <is>
          <t>TIERP</t>
        </is>
      </c>
      <c r="F727" t="inlineStr">
        <is>
          <t>Bergvik skog öst AB</t>
        </is>
      </c>
      <c r="G727" t="n">
        <v>0.3</v>
      </c>
      <c r="H727" t="n">
        <v>0</v>
      </c>
      <c r="I727" t="n">
        <v>0</v>
      </c>
      <c r="J727" t="n">
        <v>0</v>
      </c>
      <c r="K727" t="n">
        <v>0</v>
      </c>
      <c r="L727" t="n">
        <v>0</v>
      </c>
      <c r="M727" t="n">
        <v>0</v>
      </c>
      <c r="N727" t="n">
        <v>0</v>
      </c>
      <c r="O727" t="n">
        <v>0</v>
      </c>
      <c r="P727" t="n">
        <v>0</v>
      </c>
      <c r="Q727" t="n">
        <v>0</v>
      </c>
      <c r="R727" s="2" t="inlineStr"/>
    </row>
    <row r="728" ht="15" customHeight="1">
      <c r="A728" t="inlineStr">
        <is>
          <t>A 63883-2025</t>
        </is>
      </c>
      <c r="B728" s="1" t="n">
        <v>46020.58802083333</v>
      </c>
      <c r="C728" s="1" t="n">
        <v>46075</v>
      </c>
      <c r="D728" t="inlineStr">
        <is>
          <t>UPPSALA LÄN</t>
        </is>
      </c>
      <c r="E728" t="inlineStr">
        <is>
          <t>TIERP</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63886-2025</t>
        </is>
      </c>
      <c r="B729" s="1" t="n">
        <v>46020.61392361111</v>
      </c>
      <c r="C729" s="1" t="n">
        <v>46075</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21876-2025</t>
        </is>
      </c>
      <c r="B730" s="1" t="n">
        <v>45784</v>
      </c>
      <c r="C730" s="1" t="n">
        <v>46075</v>
      </c>
      <c r="D730" t="inlineStr">
        <is>
          <t>UPPSALA LÄN</t>
        </is>
      </c>
      <c r="E730" t="inlineStr">
        <is>
          <t>TIERP</t>
        </is>
      </c>
      <c r="F730" t="inlineStr">
        <is>
          <t>Bergvik skog öst AB</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6081-2026</t>
        </is>
      </c>
      <c r="B731" s="1" t="n">
        <v>46052.67892361111</v>
      </c>
      <c r="C731" s="1" t="n">
        <v>46075</v>
      </c>
      <c r="D731" t="inlineStr">
        <is>
          <t>UPPSALA LÄN</t>
        </is>
      </c>
      <c r="E731" t="inlineStr">
        <is>
          <t>TIERP</t>
        </is>
      </c>
      <c r="G731" t="n">
        <v>8</v>
      </c>
      <c r="H731" t="n">
        <v>0</v>
      </c>
      <c r="I731" t="n">
        <v>0</v>
      </c>
      <c r="J731" t="n">
        <v>0</v>
      </c>
      <c r="K731" t="n">
        <v>0</v>
      </c>
      <c r="L731" t="n">
        <v>0</v>
      </c>
      <c r="M731" t="n">
        <v>0</v>
      </c>
      <c r="N731" t="n">
        <v>0</v>
      </c>
      <c r="O731" t="n">
        <v>0</v>
      </c>
      <c r="P731" t="n">
        <v>0</v>
      </c>
      <c r="Q731" t="n">
        <v>0</v>
      </c>
      <c r="R731" s="2" t="inlineStr"/>
    </row>
    <row r="732" ht="15" customHeight="1">
      <c r="A732" t="inlineStr">
        <is>
          <t>A 34082-2023</t>
        </is>
      </c>
      <c r="B732" s="1" t="n">
        <v>45135</v>
      </c>
      <c r="C732" s="1" t="n">
        <v>46075</v>
      </c>
      <c r="D732" t="inlineStr">
        <is>
          <t>UPPSALA LÄN</t>
        </is>
      </c>
      <c r="E732" t="inlineStr">
        <is>
          <t>TIERP</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54737-2023</t>
        </is>
      </c>
      <c r="B733" s="1" t="n">
        <v>45229</v>
      </c>
      <c r="C733" s="1" t="n">
        <v>46075</v>
      </c>
      <c r="D733" t="inlineStr">
        <is>
          <t>UPPSALA LÄN</t>
        </is>
      </c>
      <c r="E733" t="inlineStr">
        <is>
          <t>TIERP</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43640-2024</t>
        </is>
      </c>
      <c r="B734" s="1" t="n">
        <v>45569</v>
      </c>
      <c r="C734" s="1" t="n">
        <v>46075</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8772-2023</t>
        </is>
      </c>
      <c r="B735" s="1" t="n">
        <v>44978.5591087963</v>
      </c>
      <c r="C735" s="1" t="n">
        <v>46075</v>
      </c>
      <c r="D735" t="inlineStr">
        <is>
          <t>UPPSALA LÄN</t>
        </is>
      </c>
      <c r="E735" t="inlineStr">
        <is>
          <t>TIERP</t>
        </is>
      </c>
      <c r="G735" t="n">
        <v>2.4</v>
      </c>
      <c r="H735" t="n">
        <v>0</v>
      </c>
      <c r="I735" t="n">
        <v>0</v>
      </c>
      <c r="J735" t="n">
        <v>0</v>
      </c>
      <c r="K735" t="n">
        <v>0</v>
      </c>
      <c r="L735" t="n">
        <v>0</v>
      </c>
      <c r="M735" t="n">
        <v>0</v>
      </c>
      <c r="N735" t="n">
        <v>0</v>
      </c>
      <c r="O735" t="n">
        <v>0</v>
      </c>
      <c r="P735" t="n">
        <v>0</v>
      </c>
      <c r="Q735" t="n">
        <v>0</v>
      </c>
      <c r="R735" s="2" t="inlineStr"/>
    </row>
    <row r="736" ht="15" customHeight="1">
      <c r="A736" t="inlineStr">
        <is>
          <t>A 8774-2023</t>
        </is>
      </c>
      <c r="B736" s="1" t="n">
        <v>44978.56202546296</v>
      </c>
      <c r="C736" s="1" t="n">
        <v>46075</v>
      </c>
      <c r="D736" t="inlineStr">
        <is>
          <t>UPPSALA LÄN</t>
        </is>
      </c>
      <c r="E736" t="inlineStr">
        <is>
          <t>TIERP</t>
        </is>
      </c>
      <c r="G736" t="n">
        <v>0.9</v>
      </c>
      <c r="H736" t="n">
        <v>0</v>
      </c>
      <c r="I736" t="n">
        <v>0</v>
      </c>
      <c r="J736" t="n">
        <v>0</v>
      </c>
      <c r="K736" t="n">
        <v>0</v>
      </c>
      <c r="L736" t="n">
        <v>0</v>
      </c>
      <c r="M736" t="n">
        <v>0</v>
      </c>
      <c r="N736" t="n">
        <v>0</v>
      </c>
      <c r="O736" t="n">
        <v>0</v>
      </c>
      <c r="P736" t="n">
        <v>0</v>
      </c>
      <c r="Q736" t="n">
        <v>0</v>
      </c>
      <c r="R736" s="2" t="inlineStr"/>
    </row>
    <row r="737" ht="15" customHeight="1">
      <c r="A737" t="inlineStr">
        <is>
          <t>A 99-2026</t>
        </is>
      </c>
      <c r="B737" s="1" t="n">
        <v>46024.50481481481</v>
      </c>
      <c r="C737" s="1" t="n">
        <v>46075</v>
      </c>
      <c r="D737" t="inlineStr">
        <is>
          <t>UPPSALA LÄN</t>
        </is>
      </c>
      <c r="E737" t="inlineStr">
        <is>
          <t>TIERP</t>
        </is>
      </c>
      <c r="F737" t="inlineStr">
        <is>
          <t>Bergvik skog öst AB</t>
        </is>
      </c>
      <c r="G737" t="n">
        <v>8.4</v>
      </c>
      <c r="H737" t="n">
        <v>0</v>
      </c>
      <c r="I737" t="n">
        <v>0</v>
      </c>
      <c r="J737" t="n">
        <v>0</v>
      </c>
      <c r="K737" t="n">
        <v>0</v>
      </c>
      <c r="L737" t="n">
        <v>0</v>
      </c>
      <c r="M737" t="n">
        <v>0</v>
      </c>
      <c r="N737" t="n">
        <v>0</v>
      </c>
      <c r="O737" t="n">
        <v>0</v>
      </c>
      <c r="P737" t="n">
        <v>0</v>
      </c>
      <c r="Q737" t="n">
        <v>0</v>
      </c>
      <c r="R737" s="2" t="inlineStr"/>
    </row>
    <row r="738" ht="15" customHeight="1">
      <c r="A738" t="inlineStr">
        <is>
          <t>A 100-2026</t>
        </is>
      </c>
      <c r="B738" s="1" t="n">
        <v>46024.50523148148</v>
      </c>
      <c r="C738" s="1" t="n">
        <v>46075</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8767-2026</t>
        </is>
      </c>
      <c r="B739" s="1" t="n">
        <v>46066.56225694445</v>
      </c>
      <c r="C739" s="1" t="n">
        <v>46075</v>
      </c>
      <c r="D739" t="inlineStr">
        <is>
          <t>UPPSALA LÄN</t>
        </is>
      </c>
      <c r="E739" t="inlineStr">
        <is>
          <t>TIERP</t>
        </is>
      </c>
      <c r="G739" t="n">
        <v>3.3</v>
      </c>
      <c r="H739" t="n">
        <v>0</v>
      </c>
      <c r="I739" t="n">
        <v>0</v>
      </c>
      <c r="J739" t="n">
        <v>0</v>
      </c>
      <c r="K739" t="n">
        <v>0</v>
      </c>
      <c r="L739" t="n">
        <v>0</v>
      </c>
      <c r="M739" t="n">
        <v>0</v>
      </c>
      <c r="N739" t="n">
        <v>0</v>
      </c>
      <c r="O739" t="n">
        <v>0</v>
      </c>
      <c r="P739" t="n">
        <v>0</v>
      </c>
      <c r="Q739" t="n">
        <v>0</v>
      </c>
      <c r="R739" s="2" t="inlineStr"/>
    </row>
    <row r="740" ht="15" customHeight="1">
      <c r="A740" t="inlineStr">
        <is>
          <t>A 380-2026</t>
        </is>
      </c>
      <c r="B740" s="1" t="n">
        <v>46027.73540509259</v>
      </c>
      <c r="C740" s="1" t="n">
        <v>46075</v>
      </c>
      <c r="D740" t="inlineStr">
        <is>
          <t>UPPSALA LÄN</t>
        </is>
      </c>
      <c r="E740" t="inlineStr">
        <is>
          <t>TIERP</t>
        </is>
      </c>
      <c r="G740" t="n">
        <v>5.1</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46075</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18110-2025</t>
        </is>
      </c>
      <c r="B742" s="1" t="n">
        <v>45761.56990740741</v>
      </c>
      <c r="C742" s="1" t="n">
        <v>46075</v>
      </c>
      <c r="D742" t="inlineStr">
        <is>
          <t>UPPSALA LÄN</t>
        </is>
      </c>
      <c r="E742" t="inlineStr">
        <is>
          <t>TIERP</t>
        </is>
      </c>
      <c r="F742" t="inlineStr">
        <is>
          <t>Bergvik skog väst AB</t>
        </is>
      </c>
      <c r="G742" t="n">
        <v>4</v>
      </c>
      <c r="H742" t="n">
        <v>0</v>
      </c>
      <c r="I742" t="n">
        <v>0</v>
      </c>
      <c r="J742" t="n">
        <v>0</v>
      </c>
      <c r="K742" t="n">
        <v>0</v>
      </c>
      <c r="L742" t="n">
        <v>0</v>
      </c>
      <c r="M742" t="n">
        <v>0</v>
      </c>
      <c r="N742" t="n">
        <v>0</v>
      </c>
      <c r="O742" t="n">
        <v>0</v>
      </c>
      <c r="P742" t="n">
        <v>0</v>
      </c>
      <c r="Q742" t="n">
        <v>0</v>
      </c>
      <c r="R742" s="2" t="inlineStr"/>
    </row>
    <row r="743" ht="15" customHeight="1">
      <c r="A743" t="inlineStr">
        <is>
          <t>A 20750-2023</t>
        </is>
      </c>
      <c r="B743" s="1" t="n">
        <v>45058.53024305555</v>
      </c>
      <c r="C743" s="1" t="n">
        <v>46075</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48970-2021</t>
        </is>
      </c>
      <c r="B744" s="1" t="n">
        <v>44453</v>
      </c>
      <c r="C744" s="1" t="n">
        <v>46075</v>
      </c>
      <c r="D744" t="inlineStr">
        <is>
          <t>UPPSALA LÄN</t>
        </is>
      </c>
      <c r="E744" t="inlineStr">
        <is>
          <t>TIERP</t>
        </is>
      </c>
      <c r="G744" t="n">
        <v>4.5</v>
      </c>
      <c r="H744" t="n">
        <v>0</v>
      </c>
      <c r="I744" t="n">
        <v>0</v>
      </c>
      <c r="J744" t="n">
        <v>0</v>
      </c>
      <c r="K744" t="n">
        <v>0</v>
      </c>
      <c r="L744" t="n">
        <v>0</v>
      </c>
      <c r="M744" t="n">
        <v>0</v>
      </c>
      <c r="N744" t="n">
        <v>0</v>
      </c>
      <c r="O744" t="n">
        <v>0</v>
      </c>
      <c r="P744" t="n">
        <v>0</v>
      </c>
      <c r="Q744" t="n">
        <v>0</v>
      </c>
      <c r="R744" s="2" t="inlineStr"/>
    </row>
    <row r="745" ht="15" customHeight="1">
      <c r="A745" t="inlineStr">
        <is>
          <t>A 9247-2026</t>
        </is>
      </c>
      <c r="B745" s="1" t="n">
        <v>46070.49069444444</v>
      </c>
      <c r="C745" s="1" t="n">
        <v>46075</v>
      </c>
      <c r="D745" t="inlineStr">
        <is>
          <t>UPPSALA LÄN</t>
        </is>
      </c>
      <c r="E745" t="inlineStr">
        <is>
          <t>TIERP</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9572-2026</t>
        </is>
      </c>
      <c r="B746" s="1" t="n">
        <v>46071.66385416667</v>
      </c>
      <c r="C746" s="1" t="n">
        <v>46075</v>
      </c>
      <c r="D746" t="inlineStr">
        <is>
          <t>UPPSALA LÄN</t>
        </is>
      </c>
      <c r="E746" t="inlineStr">
        <is>
          <t>TIERP</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4409-2023</t>
        </is>
      </c>
      <c r="B747" s="1" t="n">
        <v>44956.36935185185</v>
      </c>
      <c r="C747" s="1" t="n">
        <v>46075</v>
      </c>
      <c r="D747" t="inlineStr">
        <is>
          <t>UPPSALA LÄN</t>
        </is>
      </c>
      <c r="E747" t="inlineStr">
        <is>
          <t>TIERP</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59658-2024</t>
        </is>
      </c>
      <c r="B748" s="1" t="n">
        <v>45639</v>
      </c>
      <c r="C748" s="1" t="n">
        <v>46075</v>
      </c>
      <c r="D748" t="inlineStr">
        <is>
          <t>UPPSALA LÄN</t>
        </is>
      </c>
      <c r="E748" t="inlineStr">
        <is>
          <t>TIERP</t>
        </is>
      </c>
      <c r="G748" t="n">
        <v>4.9</v>
      </c>
      <c r="H748" t="n">
        <v>0</v>
      </c>
      <c r="I748" t="n">
        <v>0</v>
      </c>
      <c r="J748" t="n">
        <v>0</v>
      </c>
      <c r="K748" t="n">
        <v>0</v>
      </c>
      <c r="L748" t="n">
        <v>0</v>
      </c>
      <c r="M748" t="n">
        <v>0</v>
      </c>
      <c r="N748" t="n">
        <v>0</v>
      </c>
      <c r="O748" t="n">
        <v>0</v>
      </c>
      <c r="P748" t="n">
        <v>0</v>
      </c>
      <c r="Q748" t="n">
        <v>0</v>
      </c>
      <c r="R748" s="2" t="inlineStr"/>
    </row>
    <row r="749" ht="15" customHeight="1">
      <c r="A749" t="inlineStr">
        <is>
          <t>A 59731-2022</t>
        </is>
      </c>
      <c r="B749" s="1" t="n">
        <v>44908</v>
      </c>
      <c r="C749" s="1" t="n">
        <v>46075</v>
      </c>
      <c r="D749" t="inlineStr">
        <is>
          <t>UPPSALA LÄN</t>
        </is>
      </c>
      <c r="E749" t="inlineStr">
        <is>
          <t>TIERP</t>
        </is>
      </c>
      <c r="F749" t="inlineStr">
        <is>
          <t>Kyrkan</t>
        </is>
      </c>
      <c r="G749" t="n">
        <v>0.4</v>
      </c>
      <c r="H749" t="n">
        <v>0</v>
      </c>
      <c r="I749" t="n">
        <v>0</v>
      </c>
      <c r="J749" t="n">
        <v>0</v>
      </c>
      <c r="K749" t="n">
        <v>0</v>
      </c>
      <c r="L749" t="n">
        <v>0</v>
      </c>
      <c r="M749" t="n">
        <v>0</v>
      </c>
      <c r="N749" t="n">
        <v>0</v>
      </c>
      <c r="O749" t="n">
        <v>0</v>
      </c>
      <c r="P749" t="n">
        <v>0</v>
      </c>
      <c r="Q749" t="n">
        <v>0</v>
      </c>
      <c r="R749" s="2" t="inlineStr"/>
    </row>
    <row r="750" ht="15" customHeight="1">
      <c r="A750" t="inlineStr">
        <is>
          <t>A 402-2026</t>
        </is>
      </c>
      <c r="B750" s="1" t="n">
        <v>46028.66145833334</v>
      </c>
      <c r="C750" s="1" t="n">
        <v>46075</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398-2026</t>
        </is>
      </c>
      <c r="B751" s="1" t="n">
        <v>46028.65503472222</v>
      </c>
      <c r="C751" s="1" t="n">
        <v>46075</v>
      </c>
      <c r="D751" t="inlineStr">
        <is>
          <t>UPPSALA LÄN</t>
        </is>
      </c>
      <c r="E751" t="inlineStr">
        <is>
          <t>TIERP</t>
        </is>
      </c>
      <c r="F751" t="inlineStr">
        <is>
          <t>Bergvik skog öst AB</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46075</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399-2026</t>
        </is>
      </c>
      <c r="B753" s="1" t="n">
        <v>46028.65712962963</v>
      </c>
      <c r="C753" s="1" t="n">
        <v>46075</v>
      </c>
      <c r="D753" t="inlineStr">
        <is>
          <t>UPPSALA LÄN</t>
        </is>
      </c>
      <c r="E753" t="inlineStr">
        <is>
          <t>TIERP</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401-2026</t>
        </is>
      </c>
      <c r="B754" s="1" t="n">
        <v>46028.65945601852</v>
      </c>
      <c r="C754" s="1" t="n">
        <v>46075</v>
      </c>
      <c r="D754" t="inlineStr">
        <is>
          <t>UPPSALA LÄN</t>
        </is>
      </c>
      <c r="E754" t="inlineStr">
        <is>
          <t>TIERP</t>
        </is>
      </c>
      <c r="F754" t="inlineStr">
        <is>
          <t>Bergvik skog öst AB</t>
        </is>
      </c>
      <c r="G754" t="n">
        <v>2.5</v>
      </c>
      <c r="H754" t="n">
        <v>0</v>
      </c>
      <c r="I754" t="n">
        <v>0</v>
      </c>
      <c r="J754" t="n">
        <v>0</v>
      </c>
      <c r="K754" t="n">
        <v>0</v>
      </c>
      <c r="L754" t="n">
        <v>0</v>
      </c>
      <c r="M754" t="n">
        <v>0</v>
      </c>
      <c r="N754" t="n">
        <v>0</v>
      </c>
      <c r="O754" t="n">
        <v>0</v>
      </c>
      <c r="P754" t="n">
        <v>0</v>
      </c>
      <c r="Q754" t="n">
        <v>0</v>
      </c>
      <c r="R754" s="2" t="inlineStr"/>
    </row>
    <row r="755" ht="15" customHeight="1">
      <c r="A755" t="inlineStr">
        <is>
          <t>A 26771-2024</t>
        </is>
      </c>
      <c r="B755" s="1" t="n">
        <v>45470</v>
      </c>
      <c r="C755" s="1" t="n">
        <v>46075</v>
      </c>
      <c r="D755" t="inlineStr">
        <is>
          <t>UPPSALA LÄN</t>
        </is>
      </c>
      <c r="E755" t="inlineStr">
        <is>
          <t>TIERP</t>
        </is>
      </c>
      <c r="G755" t="n">
        <v>1.2</v>
      </c>
      <c r="H755" t="n">
        <v>0</v>
      </c>
      <c r="I755" t="n">
        <v>0</v>
      </c>
      <c r="J755" t="n">
        <v>0</v>
      </c>
      <c r="K755" t="n">
        <v>0</v>
      </c>
      <c r="L755" t="n">
        <v>0</v>
      </c>
      <c r="M755" t="n">
        <v>0</v>
      </c>
      <c r="N755" t="n">
        <v>0</v>
      </c>
      <c r="O755" t="n">
        <v>0</v>
      </c>
      <c r="P755" t="n">
        <v>0</v>
      </c>
      <c r="Q755" t="n">
        <v>0</v>
      </c>
      <c r="R755" s="2" t="inlineStr"/>
    </row>
    <row r="756" ht="15" customHeight="1">
      <c r="A756" t="inlineStr">
        <is>
          <t>A 534-2026</t>
        </is>
      </c>
      <c r="B756" s="1" t="n">
        <v>46029.45288194445</v>
      </c>
      <c r="C756" s="1" t="n">
        <v>46075</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32207-2021</t>
        </is>
      </c>
      <c r="B757" s="1" t="n">
        <v>44371</v>
      </c>
      <c r="C757" s="1" t="n">
        <v>46075</v>
      </c>
      <c r="D757" t="inlineStr">
        <is>
          <t>UPPSALA LÄN</t>
        </is>
      </c>
      <c r="E757" t="inlineStr">
        <is>
          <t>TIERP</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46075</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13368-2024</t>
        </is>
      </c>
      <c r="B759" s="1" t="n">
        <v>45387</v>
      </c>
      <c r="C759" s="1" t="n">
        <v>46075</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45848-2024</t>
        </is>
      </c>
      <c r="B760" s="1" t="n">
        <v>45580</v>
      </c>
      <c r="C760" s="1" t="n">
        <v>46075</v>
      </c>
      <c r="D760" t="inlineStr">
        <is>
          <t>UPPSALA LÄN</t>
        </is>
      </c>
      <c r="E760" t="inlineStr">
        <is>
          <t>TIERP</t>
        </is>
      </c>
      <c r="G760" t="n">
        <v>6.4</v>
      </c>
      <c r="H760" t="n">
        <v>0</v>
      </c>
      <c r="I760" t="n">
        <v>0</v>
      </c>
      <c r="J760" t="n">
        <v>0</v>
      </c>
      <c r="K760" t="n">
        <v>0</v>
      </c>
      <c r="L760" t="n">
        <v>0</v>
      </c>
      <c r="M760" t="n">
        <v>0</v>
      </c>
      <c r="N760" t="n">
        <v>0</v>
      </c>
      <c r="O760" t="n">
        <v>0</v>
      </c>
      <c r="P760" t="n">
        <v>0</v>
      </c>
      <c r="Q760" t="n">
        <v>0</v>
      </c>
      <c r="R760" s="2" t="inlineStr"/>
    </row>
    <row r="761" ht="15" customHeight="1">
      <c r="A761" t="inlineStr">
        <is>
          <t>A 9268-2026</t>
        </is>
      </c>
      <c r="B761" s="1" t="n">
        <v>46070.5502662037</v>
      </c>
      <c r="C761" s="1" t="n">
        <v>46075</v>
      </c>
      <c r="D761" t="inlineStr">
        <is>
          <t>UPPSALA LÄN</t>
        </is>
      </c>
      <c r="E761" t="inlineStr">
        <is>
          <t>TIERP</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52388-2022</t>
        </is>
      </c>
      <c r="B762" s="1" t="n">
        <v>44874</v>
      </c>
      <c r="C762" s="1" t="n">
        <v>46075</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1081-2026</t>
        </is>
      </c>
      <c r="B763" s="1" t="n">
        <v>46030.65311342593</v>
      </c>
      <c r="C763" s="1" t="n">
        <v>46075</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888-2026</t>
        </is>
      </c>
      <c r="B764" s="1" t="n">
        <v>46030.45091435185</v>
      </c>
      <c r="C764" s="1" t="n">
        <v>46075</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20911-2022</t>
        </is>
      </c>
      <c r="B765" s="1" t="n">
        <v>44701.60350694445</v>
      </c>
      <c r="C765" s="1" t="n">
        <v>46075</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9195-2026</t>
        </is>
      </c>
      <c r="B766" s="1" t="n">
        <v>46070.39546296297</v>
      </c>
      <c r="C766" s="1" t="n">
        <v>46075</v>
      </c>
      <c r="D766" t="inlineStr">
        <is>
          <t>UPPSALA LÄN</t>
        </is>
      </c>
      <c r="E766" t="inlineStr">
        <is>
          <t>TIERP</t>
        </is>
      </c>
      <c r="G766" t="n">
        <v>0.7</v>
      </c>
      <c r="H766" t="n">
        <v>0</v>
      </c>
      <c r="I766" t="n">
        <v>0</v>
      </c>
      <c r="J766" t="n">
        <v>0</v>
      </c>
      <c r="K766" t="n">
        <v>0</v>
      </c>
      <c r="L766" t="n">
        <v>0</v>
      </c>
      <c r="M766" t="n">
        <v>0</v>
      </c>
      <c r="N766" t="n">
        <v>0</v>
      </c>
      <c r="O766" t="n">
        <v>0</v>
      </c>
      <c r="P766" t="n">
        <v>0</v>
      </c>
      <c r="Q766" t="n">
        <v>0</v>
      </c>
      <c r="R766" s="2" t="inlineStr"/>
    </row>
    <row r="767" ht="15" customHeight="1">
      <c r="A767" t="inlineStr">
        <is>
          <t>A 1099-2026</t>
        </is>
      </c>
      <c r="B767" s="1" t="n">
        <v>46030.66539351852</v>
      </c>
      <c r="C767" s="1" t="n">
        <v>46075</v>
      </c>
      <c r="D767" t="inlineStr">
        <is>
          <t>UPPSALA LÄN</t>
        </is>
      </c>
      <c r="E767" t="inlineStr">
        <is>
          <t>TIERP</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796-2026</t>
        </is>
      </c>
      <c r="B768" s="1" t="n">
        <v>46029.86646990741</v>
      </c>
      <c r="C768" s="1" t="n">
        <v>46075</v>
      </c>
      <c r="D768" t="inlineStr">
        <is>
          <t>UPPSALA LÄN</t>
        </is>
      </c>
      <c r="E768" t="inlineStr">
        <is>
          <t>TIERP</t>
        </is>
      </c>
      <c r="G768" t="n">
        <v>2.6</v>
      </c>
      <c r="H768" t="n">
        <v>0</v>
      </c>
      <c r="I768" t="n">
        <v>0</v>
      </c>
      <c r="J768" t="n">
        <v>0</v>
      </c>
      <c r="K768" t="n">
        <v>0</v>
      </c>
      <c r="L768" t="n">
        <v>0</v>
      </c>
      <c r="M768" t="n">
        <v>0</v>
      </c>
      <c r="N768" t="n">
        <v>0</v>
      </c>
      <c r="O768" t="n">
        <v>0</v>
      </c>
      <c r="P768" t="n">
        <v>0</v>
      </c>
      <c r="Q768" t="n">
        <v>0</v>
      </c>
      <c r="R768" s="2" t="inlineStr"/>
    </row>
    <row r="769" ht="15" customHeight="1">
      <c r="A769" t="inlineStr">
        <is>
          <t>A 56946-2023</t>
        </is>
      </c>
      <c r="B769" s="1" t="n">
        <v>45244.6134837963</v>
      </c>
      <c r="C769" s="1" t="n">
        <v>46075</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44762-2023</t>
        </is>
      </c>
      <c r="B770" s="1" t="n">
        <v>45190</v>
      </c>
      <c r="C770" s="1" t="n">
        <v>46075</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49647-2022</t>
        </is>
      </c>
      <c r="B771" s="1" t="n">
        <v>44862</v>
      </c>
      <c r="C771" s="1" t="n">
        <v>46075</v>
      </c>
      <c r="D771" t="inlineStr">
        <is>
          <t>UPPSALA LÄN</t>
        </is>
      </c>
      <c r="E771" t="inlineStr">
        <is>
          <t>TIERP</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12885-2024</t>
        </is>
      </c>
      <c r="B772" s="1" t="n">
        <v>45385</v>
      </c>
      <c r="C772" s="1" t="n">
        <v>46075</v>
      </c>
      <c r="D772" t="inlineStr">
        <is>
          <t>UPPSALA LÄN</t>
        </is>
      </c>
      <c r="E772" t="inlineStr">
        <is>
          <t>TIERP</t>
        </is>
      </c>
      <c r="G772" t="n">
        <v>0.4</v>
      </c>
      <c r="H772" t="n">
        <v>0</v>
      </c>
      <c r="I772" t="n">
        <v>0</v>
      </c>
      <c r="J772" t="n">
        <v>0</v>
      </c>
      <c r="K772" t="n">
        <v>0</v>
      </c>
      <c r="L772" t="n">
        <v>0</v>
      </c>
      <c r="M772" t="n">
        <v>0</v>
      </c>
      <c r="N772" t="n">
        <v>0</v>
      </c>
      <c r="O772" t="n">
        <v>0</v>
      </c>
      <c r="P772" t="n">
        <v>0</v>
      </c>
      <c r="Q772" t="n">
        <v>0</v>
      </c>
      <c r="R772" s="2" t="inlineStr"/>
    </row>
    <row r="773" ht="15" customHeight="1">
      <c r="A773" t="inlineStr">
        <is>
          <t>A 19840-2022</t>
        </is>
      </c>
      <c r="B773" s="1" t="n">
        <v>44696</v>
      </c>
      <c r="C773" s="1" t="n">
        <v>46075</v>
      </c>
      <c r="D773" t="inlineStr">
        <is>
          <t>UPPSALA LÄN</t>
        </is>
      </c>
      <c r="E773" t="inlineStr">
        <is>
          <t>TIERP</t>
        </is>
      </c>
      <c r="G773" t="n">
        <v>3</v>
      </c>
      <c r="H773" t="n">
        <v>0</v>
      </c>
      <c r="I773" t="n">
        <v>0</v>
      </c>
      <c r="J773" t="n">
        <v>0</v>
      </c>
      <c r="K773" t="n">
        <v>0</v>
      </c>
      <c r="L773" t="n">
        <v>0</v>
      </c>
      <c r="M773" t="n">
        <v>0</v>
      </c>
      <c r="N773" t="n">
        <v>0</v>
      </c>
      <c r="O773" t="n">
        <v>0</v>
      </c>
      <c r="P773" t="n">
        <v>0</v>
      </c>
      <c r="Q773" t="n">
        <v>0</v>
      </c>
      <c r="R773" s="2" t="inlineStr"/>
    </row>
    <row r="774" ht="15" customHeight="1">
      <c r="A774" t="inlineStr">
        <is>
          <t>A 30742-2021</t>
        </is>
      </c>
      <c r="B774" s="1" t="n">
        <v>44365</v>
      </c>
      <c r="C774" s="1" t="n">
        <v>46075</v>
      </c>
      <c r="D774" t="inlineStr">
        <is>
          <t>UPPSALA LÄN</t>
        </is>
      </c>
      <c r="E774" t="inlineStr">
        <is>
          <t>TIERP</t>
        </is>
      </c>
      <c r="F774" t="inlineStr">
        <is>
          <t>Bergvik skog väst AB</t>
        </is>
      </c>
      <c r="G774" t="n">
        <v>6.5</v>
      </c>
      <c r="H774" t="n">
        <v>0</v>
      </c>
      <c r="I774" t="n">
        <v>0</v>
      </c>
      <c r="J774" t="n">
        <v>0</v>
      </c>
      <c r="K774" t="n">
        <v>0</v>
      </c>
      <c r="L774" t="n">
        <v>0</v>
      </c>
      <c r="M774" t="n">
        <v>0</v>
      </c>
      <c r="N774" t="n">
        <v>0</v>
      </c>
      <c r="O774" t="n">
        <v>0</v>
      </c>
      <c r="P774" t="n">
        <v>0</v>
      </c>
      <c r="Q774" t="n">
        <v>0</v>
      </c>
      <c r="R774" s="2" t="inlineStr"/>
    </row>
    <row r="775" ht="15" customHeight="1">
      <c r="A775" t="inlineStr">
        <is>
          <t>A 6497-2023</t>
        </is>
      </c>
      <c r="B775" s="1" t="n">
        <v>44966</v>
      </c>
      <c r="C775" s="1" t="n">
        <v>46075</v>
      </c>
      <c r="D775" t="inlineStr">
        <is>
          <t>UPPSALA LÄN</t>
        </is>
      </c>
      <c r="E775" t="inlineStr">
        <is>
          <t>TIERP</t>
        </is>
      </c>
      <c r="F775" t="inlineStr">
        <is>
          <t>Bergvik skog öst AB</t>
        </is>
      </c>
      <c r="G775" t="n">
        <v>12.9</v>
      </c>
      <c r="H775" t="n">
        <v>0</v>
      </c>
      <c r="I775" t="n">
        <v>0</v>
      </c>
      <c r="J775" t="n">
        <v>0</v>
      </c>
      <c r="K775" t="n">
        <v>0</v>
      </c>
      <c r="L775" t="n">
        <v>0</v>
      </c>
      <c r="M775" t="n">
        <v>0</v>
      </c>
      <c r="N775" t="n">
        <v>0</v>
      </c>
      <c r="O775" t="n">
        <v>0</v>
      </c>
      <c r="P775" t="n">
        <v>0</v>
      </c>
      <c r="Q775" t="n">
        <v>0</v>
      </c>
      <c r="R775" s="2" t="inlineStr"/>
    </row>
    <row r="776" ht="15" customHeight="1">
      <c r="A776" t="inlineStr">
        <is>
          <t>A 46976-2021</t>
        </is>
      </c>
      <c r="B776" s="1" t="n">
        <v>44446</v>
      </c>
      <c r="C776" s="1" t="n">
        <v>46075</v>
      </c>
      <c r="D776" t="inlineStr">
        <is>
          <t>UPPSALA LÄN</t>
        </is>
      </c>
      <c r="E776" t="inlineStr">
        <is>
          <t>TIERP</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20854-2024</t>
        </is>
      </c>
      <c r="B777" s="1" t="n">
        <v>45439.42039351852</v>
      </c>
      <c r="C777" s="1" t="n">
        <v>46075</v>
      </c>
      <c r="D777" t="inlineStr">
        <is>
          <t>UPPSALA LÄN</t>
        </is>
      </c>
      <c r="E777" t="inlineStr">
        <is>
          <t>TIERP</t>
        </is>
      </c>
      <c r="G777" t="n">
        <v>0.8</v>
      </c>
      <c r="H777" t="n">
        <v>0</v>
      </c>
      <c r="I777" t="n">
        <v>0</v>
      </c>
      <c r="J777" t="n">
        <v>0</v>
      </c>
      <c r="K777" t="n">
        <v>0</v>
      </c>
      <c r="L777" t="n">
        <v>0</v>
      </c>
      <c r="M777" t="n">
        <v>0</v>
      </c>
      <c r="N777" t="n">
        <v>0</v>
      </c>
      <c r="O777" t="n">
        <v>0</v>
      </c>
      <c r="P777" t="n">
        <v>0</v>
      </c>
      <c r="Q777" t="n">
        <v>0</v>
      </c>
      <c r="R777" s="2" t="inlineStr"/>
    </row>
    <row r="778" ht="15" customHeight="1">
      <c r="A778" t="inlineStr">
        <is>
          <t>A 4083-2022</t>
        </is>
      </c>
      <c r="B778" s="1" t="n">
        <v>44588</v>
      </c>
      <c r="C778" s="1" t="n">
        <v>46075</v>
      </c>
      <c r="D778" t="inlineStr">
        <is>
          <t>UPPSALA LÄN</t>
        </is>
      </c>
      <c r="E778" t="inlineStr">
        <is>
          <t>TIERP</t>
        </is>
      </c>
      <c r="G778" t="n">
        <v>26.1</v>
      </c>
      <c r="H778" t="n">
        <v>0</v>
      </c>
      <c r="I778" t="n">
        <v>0</v>
      </c>
      <c r="J778" t="n">
        <v>0</v>
      </c>
      <c r="K778" t="n">
        <v>0</v>
      </c>
      <c r="L778" t="n">
        <v>0</v>
      </c>
      <c r="M778" t="n">
        <v>0</v>
      </c>
      <c r="N778" t="n">
        <v>0</v>
      </c>
      <c r="O778" t="n">
        <v>0</v>
      </c>
      <c r="P778" t="n">
        <v>0</v>
      </c>
      <c r="Q778" t="n">
        <v>0</v>
      </c>
      <c r="R778" s="2" t="inlineStr"/>
    </row>
    <row r="779" ht="15" customHeight="1">
      <c r="A779" t="inlineStr">
        <is>
          <t>A 13464-2024</t>
        </is>
      </c>
      <c r="B779" s="1" t="n">
        <v>45387.55987268518</v>
      </c>
      <c r="C779" s="1" t="n">
        <v>46075</v>
      </c>
      <c r="D779" t="inlineStr">
        <is>
          <t>UPPSALA LÄN</t>
        </is>
      </c>
      <c r="E779" t="inlineStr">
        <is>
          <t>TIERP</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13356-2024</t>
        </is>
      </c>
      <c r="B780" s="1" t="n">
        <v>45387.34152777777</v>
      </c>
      <c r="C780" s="1" t="n">
        <v>46075</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61149-2024</t>
        </is>
      </c>
      <c r="B781" s="1" t="n">
        <v>45645</v>
      </c>
      <c r="C781" s="1" t="n">
        <v>46075</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18734-2025</t>
        </is>
      </c>
      <c r="B782" s="1" t="n">
        <v>45763.67659722222</v>
      </c>
      <c r="C782" s="1" t="n">
        <v>46075</v>
      </c>
      <c r="D782" t="inlineStr">
        <is>
          <t>UPPSALA LÄN</t>
        </is>
      </c>
      <c r="E782" t="inlineStr">
        <is>
          <t>TIERP</t>
        </is>
      </c>
      <c r="F782" t="inlineStr">
        <is>
          <t>Kyrkan</t>
        </is>
      </c>
      <c r="G782" t="n">
        <v>4.5</v>
      </c>
      <c r="H782" t="n">
        <v>0</v>
      </c>
      <c r="I782" t="n">
        <v>0</v>
      </c>
      <c r="J782" t="n">
        <v>0</v>
      </c>
      <c r="K782" t="n">
        <v>0</v>
      </c>
      <c r="L782" t="n">
        <v>0</v>
      </c>
      <c r="M782" t="n">
        <v>0</v>
      </c>
      <c r="N782" t="n">
        <v>0</v>
      </c>
      <c r="O782" t="n">
        <v>0</v>
      </c>
      <c r="P782" t="n">
        <v>0</v>
      </c>
      <c r="Q782" t="n">
        <v>0</v>
      </c>
      <c r="R782" s="2" t="inlineStr"/>
    </row>
    <row r="783" ht="15" customHeight="1">
      <c r="A783" t="inlineStr">
        <is>
          <t>A 34460-2022</t>
        </is>
      </c>
      <c r="B783" s="1" t="n">
        <v>44792</v>
      </c>
      <c r="C783" s="1" t="n">
        <v>46075</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18412-2025</t>
        </is>
      </c>
      <c r="B784" s="1" t="n">
        <v>45762.61427083334</v>
      </c>
      <c r="C784" s="1" t="n">
        <v>46075</v>
      </c>
      <c r="D784" t="inlineStr">
        <is>
          <t>UPPSALA LÄN</t>
        </is>
      </c>
      <c r="E784" t="inlineStr">
        <is>
          <t>TIERP</t>
        </is>
      </c>
      <c r="F784" t="inlineStr">
        <is>
          <t>Bergvik skog öst AB</t>
        </is>
      </c>
      <c r="G784" t="n">
        <v>7.3</v>
      </c>
      <c r="H784" t="n">
        <v>0</v>
      </c>
      <c r="I784" t="n">
        <v>0</v>
      </c>
      <c r="J784" t="n">
        <v>0</v>
      </c>
      <c r="K784" t="n">
        <v>0</v>
      </c>
      <c r="L784" t="n">
        <v>0</v>
      </c>
      <c r="M784" t="n">
        <v>0</v>
      </c>
      <c r="N784" t="n">
        <v>0</v>
      </c>
      <c r="O784" t="n">
        <v>0</v>
      </c>
      <c r="P784" t="n">
        <v>0</v>
      </c>
      <c r="Q784" t="n">
        <v>0</v>
      </c>
      <c r="R784" s="2" t="inlineStr"/>
    </row>
    <row r="785" ht="15" customHeight="1">
      <c r="A785" t="inlineStr">
        <is>
          <t>A 28912-2023</t>
        </is>
      </c>
      <c r="B785" s="1" t="n">
        <v>45104.53165509259</v>
      </c>
      <c r="C785" s="1" t="n">
        <v>46075</v>
      </c>
      <c r="D785" t="inlineStr">
        <is>
          <t>UPPSALA LÄN</t>
        </is>
      </c>
      <c r="E785" t="inlineStr">
        <is>
          <t>TIERP</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22901-2023</t>
        </is>
      </c>
      <c r="B786" s="1" t="n">
        <v>45072</v>
      </c>
      <c r="C786" s="1" t="n">
        <v>46075</v>
      </c>
      <c r="D786" t="inlineStr">
        <is>
          <t>UPPSALA LÄN</t>
        </is>
      </c>
      <c r="E786" t="inlineStr">
        <is>
          <t>TIERP</t>
        </is>
      </c>
      <c r="G786" t="n">
        <v>0.2</v>
      </c>
      <c r="H786" t="n">
        <v>0</v>
      </c>
      <c r="I786" t="n">
        <v>0</v>
      </c>
      <c r="J786" t="n">
        <v>0</v>
      </c>
      <c r="K786" t="n">
        <v>0</v>
      </c>
      <c r="L786" t="n">
        <v>0</v>
      </c>
      <c r="M786" t="n">
        <v>0</v>
      </c>
      <c r="N786" t="n">
        <v>0</v>
      </c>
      <c r="O786" t="n">
        <v>0</v>
      </c>
      <c r="P786" t="n">
        <v>0</v>
      </c>
      <c r="Q786" t="n">
        <v>0</v>
      </c>
      <c r="R786" s="2" t="inlineStr"/>
    </row>
    <row r="787" ht="15" customHeight="1">
      <c r="A787" t="inlineStr">
        <is>
          <t>A 13066-2024</t>
        </is>
      </c>
      <c r="B787" s="1" t="n">
        <v>45385.63880787037</v>
      </c>
      <c r="C787" s="1" t="n">
        <v>46075</v>
      </c>
      <c r="D787" t="inlineStr">
        <is>
          <t>UPPSALA LÄN</t>
        </is>
      </c>
      <c r="E787" t="inlineStr">
        <is>
          <t>TIERP</t>
        </is>
      </c>
      <c r="F787" t="inlineStr">
        <is>
          <t>Bergvik skog öst AB</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5993-2023</t>
        </is>
      </c>
      <c r="B788" s="1" t="n">
        <v>44964</v>
      </c>
      <c r="C788" s="1" t="n">
        <v>46075</v>
      </c>
      <c r="D788" t="inlineStr">
        <is>
          <t>UPPSALA LÄN</t>
        </is>
      </c>
      <c r="E788" t="inlineStr">
        <is>
          <t>TIERP</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60304-2024</t>
        </is>
      </c>
      <c r="B789" s="1" t="n">
        <v>45643</v>
      </c>
      <c r="C789" s="1" t="n">
        <v>46075</v>
      </c>
      <c r="D789" t="inlineStr">
        <is>
          <t>UPPSALA LÄN</t>
        </is>
      </c>
      <c r="E789" t="inlineStr">
        <is>
          <t>TIERP</t>
        </is>
      </c>
      <c r="F789" t="inlineStr">
        <is>
          <t>Bergvik skog öst AB</t>
        </is>
      </c>
      <c r="G789" t="n">
        <v>3.4</v>
      </c>
      <c r="H789" t="n">
        <v>0</v>
      </c>
      <c r="I789" t="n">
        <v>0</v>
      </c>
      <c r="J789" t="n">
        <v>0</v>
      </c>
      <c r="K789" t="n">
        <v>0</v>
      </c>
      <c r="L789" t="n">
        <v>0</v>
      </c>
      <c r="M789" t="n">
        <v>0</v>
      </c>
      <c r="N789" t="n">
        <v>0</v>
      </c>
      <c r="O789" t="n">
        <v>0</v>
      </c>
      <c r="P789" t="n">
        <v>0</v>
      </c>
      <c r="Q789" t="n">
        <v>0</v>
      </c>
      <c r="R789" s="2" t="inlineStr"/>
    </row>
    <row r="790" ht="15" customHeight="1">
      <c r="A790" t="inlineStr">
        <is>
          <t>A 62006-2024</t>
        </is>
      </c>
      <c r="B790" s="1" t="n">
        <v>45655</v>
      </c>
      <c r="C790" s="1" t="n">
        <v>46075</v>
      </c>
      <c r="D790" t="inlineStr">
        <is>
          <t>UPPSALA LÄN</t>
        </is>
      </c>
      <c r="E790" t="inlineStr">
        <is>
          <t>TIERP</t>
        </is>
      </c>
      <c r="G790" t="n">
        <v>4.2</v>
      </c>
      <c r="H790" t="n">
        <v>0</v>
      </c>
      <c r="I790" t="n">
        <v>0</v>
      </c>
      <c r="J790" t="n">
        <v>0</v>
      </c>
      <c r="K790" t="n">
        <v>0</v>
      </c>
      <c r="L790" t="n">
        <v>0</v>
      </c>
      <c r="M790" t="n">
        <v>0</v>
      </c>
      <c r="N790" t="n">
        <v>0</v>
      </c>
      <c r="O790" t="n">
        <v>0</v>
      </c>
      <c r="P790" t="n">
        <v>0</v>
      </c>
      <c r="Q790" t="n">
        <v>0</v>
      </c>
      <c r="R790" s="2" t="inlineStr"/>
    </row>
    <row r="791" ht="15" customHeight="1">
      <c r="A791" t="inlineStr">
        <is>
          <t>A 12424-2024</t>
        </is>
      </c>
      <c r="B791" s="1" t="n">
        <v>45379.4344212963</v>
      </c>
      <c r="C791" s="1" t="n">
        <v>46075</v>
      </c>
      <c r="D791" t="inlineStr">
        <is>
          <t>UPPSALA LÄN</t>
        </is>
      </c>
      <c r="E791" t="inlineStr">
        <is>
          <t>TIERP</t>
        </is>
      </c>
      <c r="G791" t="n">
        <v>11.6</v>
      </c>
      <c r="H791" t="n">
        <v>0</v>
      </c>
      <c r="I791" t="n">
        <v>0</v>
      </c>
      <c r="J791" t="n">
        <v>0</v>
      </c>
      <c r="K791" t="n">
        <v>0</v>
      </c>
      <c r="L791" t="n">
        <v>0</v>
      </c>
      <c r="M791" t="n">
        <v>0</v>
      </c>
      <c r="N791" t="n">
        <v>0</v>
      </c>
      <c r="O791" t="n">
        <v>0</v>
      </c>
      <c r="P791" t="n">
        <v>0</v>
      </c>
      <c r="Q791" t="n">
        <v>0</v>
      </c>
      <c r="R791" s="2" t="inlineStr"/>
    </row>
    <row r="792" ht="15" customHeight="1">
      <c r="A792" t="inlineStr">
        <is>
          <t>A 14527-2025</t>
        </is>
      </c>
      <c r="B792" s="1" t="n">
        <v>45741.65077546296</v>
      </c>
      <c r="C792" s="1" t="n">
        <v>46075</v>
      </c>
      <c r="D792" t="inlineStr">
        <is>
          <t>UPPSALA LÄN</t>
        </is>
      </c>
      <c r="E792" t="inlineStr">
        <is>
          <t>TIERP</t>
        </is>
      </c>
      <c r="F792" t="inlineStr">
        <is>
          <t>Bergvik skog väst AB</t>
        </is>
      </c>
      <c r="G792" t="n">
        <v>0.5</v>
      </c>
      <c r="H792" t="n">
        <v>0</v>
      </c>
      <c r="I792" t="n">
        <v>0</v>
      </c>
      <c r="J792" t="n">
        <v>0</v>
      </c>
      <c r="K792" t="n">
        <v>0</v>
      </c>
      <c r="L792" t="n">
        <v>0</v>
      </c>
      <c r="M792" t="n">
        <v>0</v>
      </c>
      <c r="N792" t="n">
        <v>0</v>
      </c>
      <c r="O792" t="n">
        <v>0</v>
      </c>
      <c r="P792" t="n">
        <v>0</v>
      </c>
      <c r="Q792" t="n">
        <v>0</v>
      </c>
      <c r="R792" s="2" t="inlineStr"/>
    </row>
    <row r="793" ht="15" customHeight="1">
      <c r="A793" t="inlineStr">
        <is>
          <t>A 19380-2025</t>
        </is>
      </c>
      <c r="B793" s="1" t="n">
        <v>45769.65503472222</v>
      </c>
      <c r="C793" s="1" t="n">
        <v>46075</v>
      </c>
      <c r="D793" t="inlineStr">
        <is>
          <t>UPPSALA LÄN</t>
        </is>
      </c>
      <c r="E793" t="inlineStr">
        <is>
          <t>TIERP</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7375-2025</t>
        </is>
      </c>
      <c r="B794" s="1" t="n">
        <v>45705.29239583333</v>
      </c>
      <c r="C794" s="1" t="n">
        <v>46075</v>
      </c>
      <c r="D794" t="inlineStr">
        <is>
          <t>UPPSALA LÄN</t>
        </is>
      </c>
      <c r="E794" t="inlineStr">
        <is>
          <t>TIERP</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41223-2023</t>
        </is>
      </c>
      <c r="B795" s="1" t="n">
        <v>45174</v>
      </c>
      <c r="C795" s="1" t="n">
        <v>46075</v>
      </c>
      <c r="D795" t="inlineStr">
        <is>
          <t>UPPSALA LÄN</t>
        </is>
      </c>
      <c r="E795" t="inlineStr">
        <is>
          <t>TIERP</t>
        </is>
      </c>
      <c r="G795" t="n">
        <v>3.3</v>
      </c>
      <c r="H795" t="n">
        <v>0</v>
      </c>
      <c r="I795" t="n">
        <v>0</v>
      </c>
      <c r="J795" t="n">
        <v>0</v>
      </c>
      <c r="K795" t="n">
        <v>0</v>
      </c>
      <c r="L795" t="n">
        <v>0</v>
      </c>
      <c r="M795" t="n">
        <v>0</v>
      </c>
      <c r="N795" t="n">
        <v>0</v>
      </c>
      <c r="O795" t="n">
        <v>0</v>
      </c>
      <c r="P795" t="n">
        <v>0</v>
      </c>
      <c r="Q795" t="n">
        <v>0</v>
      </c>
      <c r="R795" s="2" t="inlineStr"/>
    </row>
    <row r="796" ht="15" customHeight="1">
      <c r="A796" t="inlineStr">
        <is>
          <t>A 9238-2023</t>
        </is>
      </c>
      <c r="B796" s="1" t="n">
        <v>44980</v>
      </c>
      <c r="C796" s="1" t="n">
        <v>46075</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9432-2023</t>
        </is>
      </c>
      <c r="B797" s="1" t="n">
        <v>44981.51266203704</v>
      </c>
      <c r="C797" s="1" t="n">
        <v>46075</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34648-2021</t>
        </is>
      </c>
      <c r="B798" s="1" t="n">
        <v>44382</v>
      </c>
      <c r="C798" s="1" t="n">
        <v>46075</v>
      </c>
      <c r="D798" t="inlineStr">
        <is>
          <t>UPPSALA LÄN</t>
        </is>
      </c>
      <c r="E798" t="inlineStr">
        <is>
          <t>TIERP</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11932-2021</t>
        </is>
      </c>
      <c r="B799" s="1" t="n">
        <v>44266.35443287037</v>
      </c>
      <c r="C799" s="1" t="n">
        <v>46075</v>
      </c>
      <c r="D799" t="inlineStr">
        <is>
          <t>UPPSALA LÄN</t>
        </is>
      </c>
      <c r="E799" t="inlineStr">
        <is>
          <t>TIERP</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20846-2024</t>
        </is>
      </c>
      <c r="B800" s="1" t="n">
        <v>45439</v>
      </c>
      <c r="C800" s="1" t="n">
        <v>46075</v>
      </c>
      <c r="D800" t="inlineStr">
        <is>
          <t>UPPSALA LÄN</t>
        </is>
      </c>
      <c r="E800" t="inlineStr">
        <is>
          <t>TIERP</t>
        </is>
      </c>
      <c r="G800" t="n">
        <v>0.8</v>
      </c>
      <c r="H800" t="n">
        <v>0</v>
      </c>
      <c r="I800" t="n">
        <v>0</v>
      </c>
      <c r="J800" t="n">
        <v>0</v>
      </c>
      <c r="K800" t="n">
        <v>0</v>
      </c>
      <c r="L800" t="n">
        <v>0</v>
      </c>
      <c r="M800" t="n">
        <v>0</v>
      </c>
      <c r="N800" t="n">
        <v>0</v>
      </c>
      <c r="O800" t="n">
        <v>0</v>
      </c>
      <c r="P800" t="n">
        <v>0</v>
      </c>
      <c r="Q800" t="n">
        <v>0</v>
      </c>
      <c r="R800" s="2" t="inlineStr"/>
    </row>
    <row r="801" ht="15" customHeight="1">
      <c r="A801" t="inlineStr">
        <is>
          <t>A 50227-2024</t>
        </is>
      </c>
      <c r="B801" s="1" t="n">
        <v>45600.54467592593</v>
      </c>
      <c r="C801" s="1" t="n">
        <v>46075</v>
      </c>
      <c r="D801" t="inlineStr">
        <is>
          <t>UPPSALA LÄN</t>
        </is>
      </c>
      <c r="E801" t="inlineStr">
        <is>
          <t>TIERP</t>
        </is>
      </c>
      <c r="G801" t="n">
        <v>4.5</v>
      </c>
      <c r="H801" t="n">
        <v>0</v>
      </c>
      <c r="I801" t="n">
        <v>0</v>
      </c>
      <c r="J801" t="n">
        <v>0</v>
      </c>
      <c r="K801" t="n">
        <v>0</v>
      </c>
      <c r="L801" t="n">
        <v>0</v>
      </c>
      <c r="M801" t="n">
        <v>0</v>
      </c>
      <c r="N801" t="n">
        <v>0</v>
      </c>
      <c r="O801" t="n">
        <v>0</v>
      </c>
      <c r="P801" t="n">
        <v>0</v>
      </c>
      <c r="Q801" t="n">
        <v>0</v>
      </c>
      <c r="R801" s="2" t="inlineStr"/>
    </row>
    <row r="802" ht="15" customHeight="1">
      <c r="A802" t="inlineStr">
        <is>
          <t>A 18516-2025</t>
        </is>
      </c>
      <c r="B802" s="1" t="n">
        <v>45763.38787037037</v>
      </c>
      <c r="C802" s="1" t="n">
        <v>46075</v>
      </c>
      <c r="D802" t="inlineStr">
        <is>
          <t>UPPSALA LÄN</t>
        </is>
      </c>
      <c r="E802" t="inlineStr">
        <is>
          <t>TIERP</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25363-2022</t>
        </is>
      </c>
      <c r="B803" s="1" t="n">
        <v>44732.35172453704</v>
      </c>
      <c r="C803" s="1" t="n">
        <v>46075</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47968-2023</t>
        </is>
      </c>
      <c r="B804" s="1" t="n">
        <v>45204</v>
      </c>
      <c r="C804" s="1" t="n">
        <v>46075</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16851-2025</t>
        </is>
      </c>
      <c r="B805" s="1" t="n">
        <v>45754.71314814815</v>
      </c>
      <c r="C805" s="1" t="n">
        <v>46075</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48735-2023</t>
        </is>
      </c>
      <c r="B806" s="1" t="n">
        <v>45203</v>
      </c>
      <c r="C806" s="1" t="n">
        <v>46075</v>
      </c>
      <c r="D806" t="inlineStr">
        <is>
          <t>UPPSALA LÄN</t>
        </is>
      </c>
      <c r="E806" t="inlineStr">
        <is>
          <t>TIERP</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23154-2023</t>
        </is>
      </c>
      <c r="B807" s="1" t="n">
        <v>45075</v>
      </c>
      <c r="C807" s="1" t="n">
        <v>46075</v>
      </c>
      <c r="D807" t="inlineStr">
        <is>
          <t>UPPSALA LÄN</t>
        </is>
      </c>
      <c r="E807" t="inlineStr">
        <is>
          <t>TIERP</t>
        </is>
      </c>
      <c r="F807" t="inlineStr">
        <is>
          <t>Kyrkan</t>
        </is>
      </c>
      <c r="G807" t="n">
        <v>3.3</v>
      </c>
      <c r="H807" t="n">
        <v>0</v>
      </c>
      <c r="I807" t="n">
        <v>0</v>
      </c>
      <c r="J807" t="n">
        <v>0</v>
      </c>
      <c r="K807" t="n">
        <v>0</v>
      </c>
      <c r="L807" t="n">
        <v>0</v>
      </c>
      <c r="M807" t="n">
        <v>0</v>
      </c>
      <c r="N807" t="n">
        <v>0</v>
      </c>
      <c r="O807" t="n">
        <v>0</v>
      </c>
      <c r="P807" t="n">
        <v>0</v>
      </c>
      <c r="Q807" t="n">
        <v>0</v>
      </c>
      <c r="R807" s="2" t="inlineStr"/>
    </row>
    <row r="808" ht="15" customHeight="1">
      <c r="A808" t="inlineStr">
        <is>
          <t>A 36069-2021</t>
        </is>
      </c>
      <c r="B808" s="1" t="n">
        <v>44389</v>
      </c>
      <c r="C808" s="1" t="n">
        <v>46075</v>
      </c>
      <c r="D808" t="inlineStr">
        <is>
          <t>UPPSALA LÄN</t>
        </is>
      </c>
      <c r="E808" t="inlineStr">
        <is>
          <t>TIERP</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54764-2022</t>
        </is>
      </c>
      <c r="B809" s="1" t="n">
        <v>44883</v>
      </c>
      <c r="C809" s="1" t="n">
        <v>46075</v>
      </c>
      <c r="D809" t="inlineStr">
        <is>
          <t>UPPSALA LÄN</t>
        </is>
      </c>
      <c r="E809" t="inlineStr">
        <is>
          <t>TIERP</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39928-2023</t>
        </is>
      </c>
      <c r="B810" s="1" t="n">
        <v>45167</v>
      </c>
      <c r="C810" s="1" t="n">
        <v>46075</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61717-2022</t>
        </is>
      </c>
      <c r="B811" s="1" t="n">
        <v>44917</v>
      </c>
      <c r="C811" s="1" t="n">
        <v>46075</v>
      </c>
      <c r="D811" t="inlineStr">
        <is>
          <t>UPPSALA LÄN</t>
        </is>
      </c>
      <c r="E811" t="inlineStr">
        <is>
          <t>TIERP</t>
        </is>
      </c>
      <c r="G811" t="n">
        <v>3.2</v>
      </c>
      <c r="H811" t="n">
        <v>0</v>
      </c>
      <c r="I811" t="n">
        <v>0</v>
      </c>
      <c r="J811" t="n">
        <v>0</v>
      </c>
      <c r="K811" t="n">
        <v>0</v>
      </c>
      <c r="L811" t="n">
        <v>0</v>
      </c>
      <c r="M811" t="n">
        <v>0</v>
      </c>
      <c r="N811" t="n">
        <v>0</v>
      </c>
      <c r="O811" t="n">
        <v>0</v>
      </c>
      <c r="P811" t="n">
        <v>0</v>
      </c>
      <c r="Q811" t="n">
        <v>0</v>
      </c>
      <c r="R811" s="2" t="inlineStr"/>
    </row>
    <row r="812" ht="15" customHeight="1">
      <c r="A812" t="inlineStr">
        <is>
          <t>A 36561-2022</t>
        </is>
      </c>
      <c r="B812" s="1" t="n">
        <v>44804</v>
      </c>
      <c r="C812" s="1" t="n">
        <v>46075</v>
      </c>
      <c r="D812" t="inlineStr">
        <is>
          <t>UPPSALA LÄN</t>
        </is>
      </c>
      <c r="E812" t="inlineStr">
        <is>
          <t>TIERP</t>
        </is>
      </c>
      <c r="G812" t="n">
        <v>0.3</v>
      </c>
      <c r="H812" t="n">
        <v>0</v>
      </c>
      <c r="I812" t="n">
        <v>0</v>
      </c>
      <c r="J812" t="n">
        <v>0</v>
      </c>
      <c r="K812" t="n">
        <v>0</v>
      </c>
      <c r="L812" t="n">
        <v>0</v>
      </c>
      <c r="M812" t="n">
        <v>0</v>
      </c>
      <c r="N812" t="n">
        <v>0</v>
      </c>
      <c r="O812" t="n">
        <v>0</v>
      </c>
      <c r="P812" t="n">
        <v>0</v>
      </c>
      <c r="Q812" t="n">
        <v>0</v>
      </c>
      <c r="R812" s="2" t="inlineStr"/>
    </row>
    <row r="813" ht="15" customHeight="1">
      <c r="A813" t="inlineStr">
        <is>
          <t>A 19172-2023</t>
        </is>
      </c>
      <c r="B813" s="1" t="n">
        <v>45046</v>
      </c>
      <c r="C813" s="1" t="n">
        <v>46075</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14116-2024</t>
        </is>
      </c>
      <c r="B814" s="1" t="n">
        <v>45392.64703703704</v>
      </c>
      <c r="C814" s="1" t="n">
        <v>46075</v>
      </c>
      <c r="D814" t="inlineStr">
        <is>
          <t>UPPSALA LÄN</t>
        </is>
      </c>
      <c r="E814" t="inlineStr">
        <is>
          <t>TIERP</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22759-2024</t>
        </is>
      </c>
      <c r="B815" s="1" t="n">
        <v>45448</v>
      </c>
      <c r="C815" s="1" t="n">
        <v>46075</v>
      </c>
      <c r="D815" t="inlineStr">
        <is>
          <t>UPPSALA LÄN</t>
        </is>
      </c>
      <c r="E815" t="inlineStr">
        <is>
          <t>TIERP</t>
        </is>
      </c>
      <c r="G815" t="n">
        <v>6.9</v>
      </c>
      <c r="H815" t="n">
        <v>0</v>
      </c>
      <c r="I815" t="n">
        <v>0</v>
      </c>
      <c r="J815" t="n">
        <v>0</v>
      </c>
      <c r="K815" t="n">
        <v>0</v>
      </c>
      <c r="L815" t="n">
        <v>0</v>
      </c>
      <c r="M815" t="n">
        <v>0</v>
      </c>
      <c r="N815" t="n">
        <v>0</v>
      </c>
      <c r="O815" t="n">
        <v>0</v>
      </c>
      <c r="P815" t="n">
        <v>0</v>
      </c>
      <c r="Q815" t="n">
        <v>0</v>
      </c>
      <c r="R815" s="2" t="inlineStr"/>
    </row>
    <row r="816" ht="15" customHeight="1">
      <c r="A816" t="inlineStr">
        <is>
          <t>A 18368-2025</t>
        </is>
      </c>
      <c r="B816" s="1" t="n">
        <v>45762.56429398148</v>
      </c>
      <c r="C816" s="1" t="n">
        <v>46075</v>
      </c>
      <c r="D816" t="inlineStr">
        <is>
          <t>UPPSALA LÄN</t>
        </is>
      </c>
      <c r="E816" t="inlineStr">
        <is>
          <t>TIERP</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18423-2025</t>
        </is>
      </c>
      <c r="B817" s="1" t="n">
        <v>45762.62068287037</v>
      </c>
      <c r="C817" s="1" t="n">
        <v>46075</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11568-2025</t>
        </is>
      </c>
      <c r="B818" s="1" t="n">
        <v>45727.37728009259</v>
      </c>
      <c r="C818" s="1" t="n">
        <v>46075</v>
      </c>
      <c r="D818" t="inlineStr">
        <is>
          <t>UPPSALA LÄN</t>
        </is>
      </c>
      <c r="E818" t="inlineStr">
        <is>
          <t>TIERP</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26380-2023</t>
        </is>
      </c>
      <c r="B819" s="1" t="n">
        <v>45092</v>
      </c>
      <c r="C819" s="1" t="n">
        <v>46075</v>
      </c>
      <c r="D819" t="inlineStr">
        <is>
          <t>UPPSALA LÄN</t>
        </is>
      </c>
      <c r="E819" t="inlineStr">
        <is>
          <t>TIERP</t>
        </is>
      </c>
      <c r="G819" t="n">
        <v>2.2</v>
      </c>
      <c r="H819" t="n">
        <v>0</v>
      </c>
      <c r="I819" t="n">
        <v>0</v>
      </c>
      <c r="J819" t="n">
        <v>0</v>
      </c>
      <c r="K819" t="n">
        <v>0</v>
      </c>
      <c r="L819" t="n">
        <v>0</v>
      </c>
      <c r="M819" t="n">
        <v>0</v>
      </c>
      <c r="N819" t="n">
        <v>0</v>
      </c>
      <c r="O819" t="n">
        <v>0</v>
      </c>
      <c r="P819" t="n">
        <v>0</v>
      </c>
      <c r="Q819" t="n">
        <v>0</v>
      </c>
      <c r="R819" s="2" t="inlineStr"/>
    </row>
    <row r="820" ht="15" customHeight="1">
      <c r="A820" t="inlineStr">
        <is>
          <t>A 18885-2025</t>
        </is>
      </c>
      <c r="B820" s="1" t="n">
        <v>45764.44233796297</v>
      </c>
      <c r="C820" s="1" t="n">
        <v>46075</v>
      </c>
      <c r="D820" t="inlineStr">
        <is>
          <t>UPPSALA LÄN</t>
        </is>
      </c>
      <c r="E820" t="inlineStr">
        <is>
          <t>TIERP</t>
        </is>
      </c>
      <c r="F820" t="inlineStr">
        <is>
          <t>Bergvik skog öst AB</t>
        </is>
      </c>
      <c r="G820" t="n">
        <v>4.7</v>
      </c>
      <c r="H820" t="n">
        <v>0</v>
      </c>
      <c r="I820" t="n">
        <v>0</v>
      </c>
      <c r="J820" t="n">
        <v>0</v>
      </c>
      <c r="K820" t="n">
        <v>0</v>
      </c>
      <c r="L820" t="n">
        <v>0</v>
      </c>
      <c r="M820" t="n">
        <v>0</v>
      </c>
      <c r="N820" t="n">
        <v>0</v>
      </c>
      <c r="O820" t="n">
        <v>0</v>
      </c>
      <c r="P820" t="n">
        <v>0</v>
      </c>
      <c r="Q820" t="n">
        <v>0</v>
      </c>
      <c r="R820" s="2" t="inlineStr"/>
    </row>
    <row r="821" ht="15" customHeight="1">
      <c r="A821" t="inlineStr">
        <is>
          <t>A 16852-2025</t>
        </is>
      </c>
      <c r="B821" s="1" t="n">
        <v>45754.72487268518</v>
      </c>
      <c r="C821" s="1" t="n">
        <v>46075</v>
      </c>
      <c r="D821" t="inlineStr">
        <is>
          <t>UPPSALA LÄN</t>
        </is>
      </c>
      <c r="E821" t="inlineStr">
        <is>
          <t>TIERP</t>
        </is>
      </c>
      <c r="G821" t="n">
        <v>5.2</v>
      </c>
      <c r="H821" t="n">
        <v>0</v>
      </c>
      <c r="I821" t="n">
        <v>0</v>
      </c>
      <c r="J821" t="n">
        <v>0</v>
      </c>
      <c r="K821" t="n">
        <v>0</v>
      </c>
      <c r="L821" t="n">
        <v>0</v>
      </c>
      <c r="M821" t="n">
        <v>0</v>
      </c>
      <c r="N821" t="n">
        <v>0</v>
      </c>
      <c r="O821" t="n">
        <v>0</v>
      </c>
      <c r="P821" t="n">
        <v>0</v>
      </c>
      <c r="Q821" t="n">
        <v>0</v>
      </c>
      <c r="R821" s="2" t="inlineStr"/>
    </row>
    <row r="822" ht="15" customHeight="1">
      <c r="A822" t="inlineStr">
        <is>
          <t>A 13687-2024</t>
        </is>
      </c>
      <c r="B822" s="1" t="n">
        <v>45390.5662962963</v>
      </c>
      <c r="C822" s="1" t="n">
        <v>46075</v>
      </c>
      <c r="D822" t="inlineStr">
        <is>
          <t>UPPSALA LÄN</t>
        </is>
      </c>
      <c r="E822" t="inlineStr">
        <is>
          <t>TIERP</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16791-2023</t>
        </is>
      </c>
      <c r="B823" s="1" t="n">
        <v>45033</v>
      </c>
      <c r="C823" s="1" t="n">
        <v>46075</v>
      </c>
      <c r="D823" t="inlineStr">
        <is>
          <t>UPPSALA LÄN</t>
        </is>
      </c>
      <c r="E823" t="inlineStr">
        <is>
          <t>TIERP</t>
        </is>
      </c>
      <c r="G823" t="n">
        <v>1.3</v>
      </c>
      <c r="H823" t="n">
        <v>0</v>
      </c>
      <c r="I823" t="n">
        <v>0</v>
      </c>
      <c r="J823" t="n">
        <v>0</v>
      </c>
      <c r="K823" t="n">
        <v>0</v>
      </c>
      <c r="L823" t="n">
        <v>0</v>
      </c>
      <c r="M823" t="n">
        <v>0</v>
      </c>
      <c r="N823" t="n">
        <v>0</v>
      </c>
      <c r="O823" t="n">
        <v>0</v>
      </c>
      <c r="P823" t="n">
        <v>0</v>
      </c>
      <c r="Q823" t="n">
        <v>0</v>
      </c>
      <c r="R823" s="2" t="inlineStr"/>
    </row>
    <row r="824" ht="15" customHeight="1">
      <c r="A824" t="inlineStr">
        <is>
          <t>A 59597-2024</t>
        </is>
      </c>
      <c r="B824" s="1" t="n">
        <v>45638</v>
      </c>
      <c r="C824" s="1" t="n">
        <v>46075</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20641-2025</t>
        </is>
      </c>
      <c r="B825" s="1" t="n">
        <v>45776.37788194444</v>
      </c>
      <c r="C825" s="1" t="n">
        <v>46075</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20644-2025</t>
        </is>
      </c>
      <c r="B826" s="1" t="n">
        <v>45776.37835648148</v>
      </c>
      <c r="C826" s="1" t="n">
        <v>46075</v>
      </c>
      <c r="D826" t="inlineStr">
        <is>
          <t>UPPSALA LÄN</t>
        </is>
      </c>
      <c r="E826" t="inlineStr">
        <is>
          <t>TIERP</t>
        </is>
      </c>
      <c r="F826" t="inlineStr">
        <is>
          <t>Bergvik skog öst AB</t>
        </is>
      </c>
      <c r="G826" t="n">
        <v>2.7</v>
      </c>
      <c r="H826" t="n">
        <v>0</v>
      </c>
      <c r="I826" t="n">
        <v>0</v>
      </c>
      <c r="J826" t="n">
        <v>0</v>
      </c>
      <c r="K826" t="n">
        <v>0</v>
      </c>
      <c r="L826" t="n">
        <v>0</v>
      </c>
      <c r="M826" t="n">
        <v>0</v>
      </c>
      <c r="N826" t="n">
        <v>0</v>
      </c>
      <c r="O826" t="n">
        <v>0</v>
      </c>
      <c r="P826" t="n">
        <v>0</v>
      </c>
      <c r="Q826" t="n">
        <v>0</v>
      </c>
      <c r="R826" s="2" t="inlineStr"/>
    </row>
    <row r="827" ht="15" customHeight="1">
      <c r="A827" t="inlineStr">
        <is>
          <t>A 32871-2024</t>
        </is>
      </c>
      <c r="B827" s="1" t="n">
        <v>45516.66552083333</v>
      </c>
      <c r="C827" s="1" t="n">
        <v>46075</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20886-2025</t>
        </is>
      </c>
      <c r="B828" s="1" t="n">
        <v>45777.36902777778</v>
      </c>
      <c r="C828" s="1" t="n">
        <v>46075</v>
      </c>
      <c r="D828" t="inlineStr">
        <is>
          <t>UPPSALA LÄN</t>
        </is>
      </c>
      <c r="E828" t="inlineStr">
        <is>
          <t>TIERP</t>
        </is>
      </c>
      <c r="F828" t="inlineStr">
        <is>
          <t>Bergvik skog öst AB</t>
        </is>
      </c>
      <c r="G828" t="n">
        <v>6.6</v>
      </c>
      <c r="H828" t="n">
        <v>0</v>
      </c>
      <c r="I828" t="n">
        <v>0</v>
      </c>
      <c r="J828" t="n">
        <v>0</v>
      </c>
      <c r="K828" t="n">
        <v>0</v>
      </c>
      <c r="L828" t="n">
        <v>0</v>
      </c>
      <c r="M828" t="n">
        <v>0</v>
      </c>
      <c r="N828" t="n">
        <v>0</v>
      </c>
      <c r="O828" t="n">
        <v>0</v>
      </c>
      <c r="P828" t="n">
        <v>0</v>
      </c>
      <c r="Q828" t="n">
        <v>0</v>
      </c>
      <c r="R828" s="2" t="inlineStr"/>
    </row>
    <row r="829" ht="15" customHeight="1">
      <c r="A829" t="inlineStr">
        <is>
          <t>A 21047-2025</t>
        </is>
      </c>
      <c r="B829" s="1" t="n">
        <v>45777.55640046296</v>
      </c>
      <c r="C829" s="1" t="n">
        <v>46075</v>
      </c>
      <c r="D829" t="inlineStr">
        <is>
          <t>UPPSALA LÄN</t>
        </is>
      </c>
      <c r="E829" t="inlineStr">
        <is>
          <t>TIERP</t>
        </is>
      </c>
      <c r="G829" t="n">
        <v>2.1</v>
      </c>
      <c r="H829" t="n">
        <v>0</v>
      </c>
      <c r="I829" t="n">
        <v>0</v>
      </c>
      <c r="J829" t="n">
        <v>0</v>
      </c>
      <c r="K829" t="n">
        <v>0</v>
      </c>
      <c r="L829" t="n">
        <v>0</v>
      </c>
      <c r="M829" t="n">
        <v>0</v>
      </c>
      <c r="N829" t="n">
        <v>0</v>
      </c>
      <c r="O829" t="n">
        <v>0</v>
      </c>
      <c r="P829" t="n">
        <v>0</v>
      </c>
      <c r="Q829" t="n">
        <v>0</v>
      </c>
      <c r="R829" s="2" t="inlineStr"/>
    </row>
    <row r="830" ht="15" customHeight="1">
      <c r="A830" t="inlineStr">
        <is>
          <t>A 1951-2024</t>
        </is>
      </c>
      <c r="B830" s="1" t="n">
        <v>45308.49630787037</v>
      </c>
      <c r="C830" s="1" t="n">
        <v>46075</v>
      </c>
      <c r="D830" t="inlineStr">
        <is>
          <t>UPPSALA LÄN</t>
        </is>
      </c>
      <c r="E830" t="inlineStr">
        <is>
          <t>TIERP</t>
        </is>
      </c>
      <c r="G830" t="n">
        <v>1.2</v>
      </c>
      <c r="H830" t="n">
        <v>0</v>
      </c>
      <c r="I830" t="n">
        <v>0</v>
      </c>
      <c r="J830" t="n">
        <v>0</v>
      </c>
      <c r="K830" t="n">
        <v>0</v>
      </c>
      <c r="L830" t="n">
        <v>0</v>
      </c>
      <c r="M830" t="n">
        <v>0</v>
      </c>
      <c r="N830" t="n">
        <v>0</v>
      </c>
      <c r="O830" t="n">
        <v>0</v>
      </c>
      <c r="P830" t="n">
        <v>0</v>
      </c>
      <c r="Q830" t="n">
        <v>0</v>
      </c>
      <c r="R830" s="2" t="inlineStr"/>
    </row>
    <row r="831" ht="15" customHeight="1">
      <c r="A831" t="inlineStr">
        <is>
          <t>A 8958-2024</t>
        </is>
      </c>
      <c r="B831" s="1" t="n">
        <v>45357.45214120371</v>
      </c>
      <c r="C831" s="1" t="n">
        <v>46075</v>
      </c>
      <c r="D831" t="inlineStr">
        <is>
          <t>UPPSALA LÄN</t>
        </is>
      </c>
      <c r="E831" t="inlineStr">
        <is>
          <t>TIERP</t>
        </is>
      </c>
      <c r="G831" t="n">
        <v>3.8</v>
      </c>
      <c r="H831" t="n">
        <v>0</v>
      </c>
      <c r="I831" t="n">
        <v>0</v>
      </c>
      <c r="J831" t="n">
        <v>0</v>
      </c>
      <c r="K831" t="n">
        <v>0</v>
      </c>
      <c r="L831" t="n">
        <v>0</v>
      </c>
      <c r="M831" t="n">
        <v>0</v>
      </c>
      <c r="N831" t="n">
        <v>0</v>
      </c>
      <c r="O831" t="n">
        <v>0</v>
      </c>
      <c r="P831" t="n">
        <v>0</v>
      </c>
      <c r="Q831" t="n">
        <v>0</v>
      </c>
      <c r="R831" s="2" t="inlineStr"/>
    </row>
    <row r="832" ht="15" customHeight="1">
      <c r="A832" t="inlineStr">
        <is>
          <t>A 21325-2025</t>
        </is>
      </c>
      <c r="B832" s="1" t="n">
        <v>45782.3503587963</v>
      </c>
      <c r="C832" s="1" t="n">
        <v>46075</v>
      </c>
      <c r="D832" t="inlineStr">
        <is>
          <t>UPPSALA LÄN</t>
        </is>
      </c>
      <c r="E832" t="inlineStr">
        <is>
          <t>TIERP</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21398-2025</t>
        </is>
      </c>
      <c r="B833" s="1" t="n">
        <v>45782.483125</v>
      </c>
      <c r="C833" s="1" t="n">
        <v>46075</v>
      </c>
      <c r="D833" t="inlineStr">
        <is>
          <t>UPPSALA LÄN</t>
        </is>
      </c>
      <c r="E833" t="inlineStr">
        <is>
          <t>TIERP</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21635-2025</t>
        </is>
      </c>
      <c r="B834" s="1" t="n">
        <v>45783.4287962963</v>
      </c>
      <c r="C834" s="1" t="n">
        <v>46075</v>
      </c>
      <c r="D834" t="inlineStr">
        <is>
          <t>UPPSALA LÄN</t>
        </is>
      </c>
      <c r="E834" t="inlineStr">
        <is>
          <t>TIERP</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21473-2025</t>
        </is>
      </c>
      <c r="B835" s="1" t="n">
        <v>45782.59054398148</v>
      </c>
      <c r="C835" s="1" t="n">
        <v>46075</v>
      </c>
      <c r="D835" t="inlineStr">
        <is>
          <t>UPPSALA LÄN</t>
        </is>
      </c>
      <c r="E835" t="inlineStr">
        <is>
          <t>TIERP</t>
        </is>
      </c>
      <c r="G835" t="n">
        <v>3.2</v>
      </c>
      <c r="H835" t="n">
        <v>0</v>
      </c>
      <c r="I835" t="n">
        <v>0</v>
      </c>
      <c r="J835" t="n">
        <v>0</v>
      </c>
      <c r="K835" t="n">
        <v>0</v>
      </c>
      <c r="L835" t="n">
        <v>0</v>
      </c>
      <c r="M835" t="n">
        <v>0</v>
      </c>
      <c r="N835" t="n">
        <v>0</v>
      </c>
      <c r="O835" t="n">
        <v>0</v>
      </c>
      <c r="P835" t="n">
        <v>0</v>
      </c>
      <c r="Q835" t="n">
        <v>0</v>
      </c>
      <c r="R835" s="2" t="inlineStr"/>
    </row>
    <row r="836" ht="15" customHeight="1">
      <c r="A836" t="inlineStr">
        <is>
          <t>A 21636-2025</t>
        </is>
      </c>
      <c r="B836" s="1" t="n">
        <v>45783.42976851852</v>
      </c>
      <c r="C836" s="1" t="n">
        <v>46075</v>
      </c>
      <c r="D836" t="inlineStr">
        <is>
          <t>UPPSALA LÄN</t>
        </is>
      </c>
      <c r="E836" t="inlineStr">
        <is>
          <t>TIERP</t>
        </is>
      </c>
      <c r="F836" t="inlineStr">
        <is>
          <t>Bergvik skog öst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21889-2025</t>
        </is>
      </c>
      <c r="B837" s="1" t="n">
        <v>45784.43336805556</v>
      </c>
      <c r="C837" s="1" t="n">
        <v>46075</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22083-2025</t>
        </is>
      </c>
      <c r="B838" s="1" t="n">
        <v>45785</v>
      </c>
      <c r="C838" s="1" t="n">
        <v>46075</v>
      </c>
      <c r="D838" t="inlineStr">
        <is>
          <t>UPPSALA LÄN</t>
        </is>
      </c>
      <c r="E838" t="inlineStr">
        <is>
          <t>TIERP</t>
        </is>
      </c>
      <c r="G838" t="n">
        <v>8</v>
      </c>
      <c r="H838" t="n">
        <v>0</v>
      </c>
      <c r="I838" t="n">
        <v>0</v>
      </c>
      <c r="J838" t="n">
        <v>0</v>
      </c>
      <c r="K838" t="n">
        <v>0</v>
      </c>
      <c r="L838" t="n">
        <v>0</v>
      </c>
      <c r="M838" t="n">
        <v>0</v>
      </c>
      <c r="N838" t="n">
        <v>0</v>
      </c>
      <c r="O838" t="n">
        <v>0</v>
      </c>
      <c r="P838" t="n">
        <v>0</v>
      </c>
      <c r="Q838" t="n">
        <v>0</v>
      </c>
      <c r="R838" s="2" t="inlineStr"/>
    </row>
    <row r="839" ht="15" customHeight="1">
      <c r="A839" t="inlineStr">
        <is>
          <t>A 35001-2024</t>
        </is>
      </c>
      <c r="B839" s="1" t="n">
        <v>45527</v>
      </c>
      <c r="C839" s="1" t="n">
        <v>46075</v>
      </c>
      <c r="D839" t="inlineStr">
        <is>
          <t>UPPSALA LÄN</t>
        </is>
      </c>
      <c r="E839" t="inlineStr">
        <is>
          <t>TIERP</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22769-2025</t>
        </is>
      </c>
      <c r="B840" s="1" t="n">
        <v>45789.63409722222</v>
      </c>
      <c r="C840" s="1" t="n">
        <v>46075</v>
      </c>
      <c r="D840" t="inlineStr">
        <is>
          <t>UPPSALA LÄN</t>
        </is>
      </c>
      <c r="E840" t="inlineStr">
        <is>
          <t>TIERP</t>
        </is>
      </c>
      <c r="G840" t="n">
        <v>1.6</v>
      </c>
      <c r="H840" t="n">
        <v>0</v>
      </c>
      <c r="I840" t="n">
        <v>0</v>
      </c>
      <c r="J840" t="n">
        <v>0</v>
      </c>
      <c r="K840" t="n">
        <v>0</v>
      </c>
      <c r="L840" t="n">
        <v>0</v>
      </c>
      <c r="M840" t="n">
        <v>0</v>
      </c>
      <c r="N840" t="n">
        <v>0</v>
      </c>
      <c r="O840" t="n">
        <v>0</v>
      </c>
      <c r="P840" t="n">
        <v>0</v>
      </c>
      <c r="Q840" t="n">
        <v>0</v>
      </c>
      <c r="R840" s="2" t="inlineStr"/>
    </row>
    <row r="841" ht="15" customHeight="1">
      <c r="A841" t="inlineStr">
        <is>
          <t>A 23198-2025</t>
        </is>
      </c>
      <c r="B841" s="1" t="n">
        <v>45791.45799768518</v>
      </c>
      <c r="C841" s="1" t="n">
        <v>46075</v>
      </c>
      <c r="D841" t="inlineStr">
        <is>
          <t>UPPSALA LÄN</t>
        </is>
      </c>
      <c r="E841" t="inlineStr">
        <is>
          <t>TIERP</t>
        </is>
      </c>
      <c r="G841" t="n">
        <v>2.9</v>
      </c>
      <c r="H841" t="n">
        <v>0</v>
      </c>
      <c r="I841" t="n">
        <v>0</v>
      </c>
      <c r="J841" t="n">
        <v>0</v>
      </c>
      <c r="K841" t="n">
        <v>0</v>
      </c>
      <c r="L841" t="n">
        <v>0</v>
      </c>
      <c r="M841" t="n">
        <v>0</v>
      </c>
      <c r="N841" t="n">
        <v>0</v>
      </c>
      <c r="O841" t="n">
        <v>0</v>
      </c>
      <c r="P841" t="n">
        <v>0</v>
      </c>
      <c r="Q841" t="n">
        <v>0</v>
      </c>
      <c r="R841" s="2" t="inlineStr"/>
    </row>
    <row r="842" ht="15" customHeight="1">
      <c r="A842" t="inlineStr">
        <is>
          <t>A 23204-2025</t>
        </is>
      </c>
      <c r="B842" s="1" t="n">
        <v>45791.46357638889</v>
      </c>
      <c r="C842" s="1" t="n">
        <v>46075</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23201-2025</t>
        </is>
      </c>
      <c r="B843" s="1" t="n">
        <v>45791.4603587963</v>
      </c>
      <c r="C843" s="1" t="n">
        <v>46075</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23796-2025</t>
        </is>
      </c>
      <c r="B844" s="1" t="n">
        <v>45793.5515162037</v>
      </c>
      <c r="C844" s="1" t="n">
        <v>46075</v>
      </c>
      <c r="D844" t="inlineStr">
        <is>
          <t>UPPSALA LÄN</t>
        </is>
      </c>
      <c r="E844" t="inlineStr">
        <is>
          <t>TIERP</t>
        </is>
      </c>
      <c r="G844" t="n">
        <v>1.2</v>
      </c>
      <c r="H844" t="n">
        <v>0</v>
      </c>
      <c r="I844" t="n">
        <v>0</v>
      </c>
      <c r="J844" t="n">
        <v>0</v>
      </c>
      <c r="K844" t="n">
        <v>0</v>
      </c>
      <c r="L844" t="n">
        <v>0</v>
      </c>
      <c r="M844" t="n">
        <v>0</v>
      </c>
      <c r="N844" t="n">
        <v>0</v>
      </c>
      <c r="O844" t="n">
        <v>0</v>
      </c>
      <c r="P844" t="n">
        <v>0</v>
      </c>
      <c r="Q844" t="n">
        <v>0</v>
      </c>
      <c r="R844" s="2" t="inlineStr"/>
    </row>
    <row r="845" ht="15" customHeight="1">
      <c r="A845" t="inlineStr">
        <is>
          <t>A 8879-2025</t>
        </is>
      </c>
      <c r="B845" s="1" t="n">
        <v>45713</v>
      </c>
      <c r="C845" s="1" t="n">
        <v>46075</v>
      </c>
      <c r="D845" t="inlineStr">
        <is>
          <t>UPPSALA LÄN</t>
        </is>
      </c>
      <c r="E845" t="inlineStr">
        <is>
          <t>TIERP</t>
        </is>
      </c>
      <c r="F845" t="inlineStr">
        <is>
          <t>Bergvik skog öst AB</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33677-2023</t>
        </is>
      </c>
      <c r="B846" s="1" t="n">
        <v>45119</v>
      </c>
      <c r="C846" s="1" t="n">
        <v>46075</v>
      </c>
      <c r="D846" t="inlineStr">
        <is>
          <t>UPPSALA LÄN</t>
        </is>
      </c>
      <c r="E846" t="inlineStr">
        <is>
          <t>TIERP</t>
        </is>
      </c>
      <c r="F846" t="inlineStr">
        <is>
          <t>Bergvik skog väst AB</t>
        </is>
      </c>
      <c r="G846" t="n">
        <v>57.7</v>
      </c>
      <c r="H846" t="n">
        <v>0</v>
      </c>
      <c r="I846" t="n">
        <v>0</v>
      </c>
      <c r="J846" t="n">
        <v>0</v>
      </c>
      <c r="K846" t="n">
        <v>0</v>
      </c>
      <c r="L846" t="n">
        <v>0</v>
      </c>
      <c r="M846" t="n">
        <v>0</v>
      </c>
      <c r="N846" t="n">
        <v>0</v>
      </c>
      <c r="O846" t="n">
        <v>0</v>
      </c>
      <c r="P846" t="n">
        <v>0</v>
      </c>
      <c r="Q846" t="n">
        <v>0</v>
      </c>
      <c r="R846" s="2" t="inlineStr"/>
    </row>
    <row r="847" ht="15" customHeight="1">
      <c r="A847" t="inlineStr">
        <is>
          <t>A 48736-2023</t>
        </is>
      </c>
      <c r="B847" s="1" t="n">
        <v>45203</v>
      </c>
      <c r="C847" s="1" t="n">
        <v>46075</v>
      </c>
      <c r="D847" t="inlineStr">
        <is>
          <t>UPPSALA LÄN</t>
        </is>
      </c>
      <c r="E847" t="inlineStr">
        <is>
          <t>TIERP</t>
        </is>
      </c>
      <c r="F847" t="inlineStr">
        <is>
          <t>Bergvik skog väst AB</t>
        </is>
      </c>
      <c r="G847" t="n">
        <v>1.6</v>
      </c>
      <c r="H847" t="n">
        <v>0</v>
      </c>
      <c r="I847" t="n">
        <v>0</v>
      </c>
      <c r="J847" t="n">
        <v>0</v>
      </c>
      <c r="K847" t="n">
        <v>0</v>
      </c>
      <c r="L847" t="n">
        <v>0</v>
      </c>
      <c r="M847" t="n">
        <v>0</v>
      </c>
      <c r="N847" t="n">
        <v>0</v>
      </c>
      <c r="O847" t="n">
        <v>0</v>
      </c>
      <c r="P847" t="n">
        <v>0</v>
      </c>
      <c r="Q847" t="n">
        <v>0</v>
      </c>
      <c r="R847" s="2" t="inlineStr"/>
    </row>
    <row r="848" ht="15" customHeight="1">
      <c r="A848" t="inlineStr">
        <is>
          <t>A 32212-2024</t>
        </is>
      </c>
      <c r="B848" s="1" t="n">
        <v>45511</v>
      </c>
      <c r="C848" s="1" t="n">
        <v>46075</v>
      </c>
      <c r="D848" t="inlineStr">
        <is>
          <t>UPPSALA LÄN</t>
        </is>
      </c>
      <c r="E848" t="inlineStr">
        <is>
          <t>TIERP</t>
        </is>
      </c>
      <c r="G848" t="n">
        <v>3.5</v>
      </c>
      <c r="H848" t="n">
        <v>0</v>
      </c>
      <c r="I848" t="n">
        <v>0</v>
      </c>
      <c r="J848" t="n">
        <v>0</v>
      </c>
      <c r="K848" t="n">
        <v>0</v>
      </c>
      <c r="L848" t="n">
        <v>0</v>
      </c>
      <c r="M848" t="n">
        <v>0</v>
      </c>
      <c r="N848" t="n">
        <v>0</v>
      </c>
      <c r="O848" t="n">
        <v>0</v>
      </c>
      <c r="P848" t="n">
        <v>0</v>
      </c>
      <c r="Q848" t="n">
        <v>0</v>
      </c>
      <c r="R848" s="2" t="inlineStr"/>
    </row>
    <row r="849" ht="15" customHeight="1">
      <c r="A849" t="inlineStr">
        <is>
          <t>A 24150-2025</t>
        </is>
      </c>
      <c r="B849" s="1" t="n">
        <v>45796.65540509259</v>
      </c>
      <c r="C849" s="1" t="n">
        <v>46075</v>
      </c>
      <c r="D849" t="inlineStr">
        <is>
          <t>UPPSALA LÄN</t>
        </is>
      </c>
      <c r="E849" t="inlineStr">
        <is>
          <t>TIERP</t>
        </is>
      </c>
      <c r="F849" t="inlineStr">
        <is>
          <t>Bergvik skog öst AB</t>
        </is>
      </c>
      <c r="G849" t="n">
        <v>1.8</v>
      </c>
      <c r="H849" t="n">
        <v>0</v>
      </c>
      <c r="I849" t="n">
        <v>0</v>
      </c>
      <c r="J849" t="n">
        <v>0</v>
      </c>
      <c r="K849" t="n">
        <v>0</v>
      </c>
      <c r="L849" t="n">
        <v>0</v>
      </c>
      <c r="M849" t="n">
        <v>0</v>
      </c>
      <c r="N849" t="n">
        <v>0</v>
      </c>
      <c r="O849" t="n">
        <v>0</v>
      </c>
      <c r="P849" t="n">
        <v>0</v>
      </c>
      <c r="Q849" t="n">
        <v>0</v>
      </c>
      <c r="R849" s="2" t="inlineStr"/>
    </row>
    <row r="850" ht="15" customHeight="1">
      <c r="A850" t="inlineStr">
        <is>
          <t>A 44382-2024</t>
        </is>
      </c>
      <c r="B850" s="1" t="n">
        <v>45573.66729166666</v>
      </c>
      <c r="C850" s="1" t="n">
        <v>46075</v>
      </c>
      <c r="D850" t="inlineStr">
        <is>
          <t>UPPSALA LÄN</t>
        </is>
      </c>
      <c r="E850" t="inlineStr">
        <is>
          <t>TIERP</t>
        </is>
      </c>
      <c r="G850" t="n">
        <v>4.7</v>
      </c>
      <c r="H850" t="n">
        <v>0</v>
      </c>
      <c r="I850" t="n">
        <v>0</v>
      </c>
      <c r="J850" t="n">
        <v>0</v>
      </c>
      <c r="K850" t="n">
        <v>0</v>
      </c>
      <c r="L850" t="n">
        <v>0</v>
      </c>
      <c r="M850" t="n">
        <v>0</v>
      </c>
      <c r="N850" t="n">
        <v>0</v>
      </c>
      <c r="O850" t="n">
        <v>0</v>
      </c>
      <c r="P850" t="n">
        <v>0</v>
      </c>
      <c r="Q850" t="n">
        <v>0</v>
      </c>
      <c r="R850" s="2" t="inlineStr"/>
    </row>
    <row r="851" ht="15" customHeight="1">
      <c r="A851" t="inlineStr">
        <is>
          <t>A 24160-2025</t>
        </is>
      </c>
      <c r="B851" s="1" t="n">
        <v>45796.66336805555</v>
      </c>
      <c r="C851" s="1" t="n">
        <v>46075</v>
      </c>
      <c r="D851" t="inlineStr">
        <is>
          <t>UPPSALA LÄN</t>
        </is>
      </c>
      <c r="E851" t="inlineStr">
        <is>
          <t>TIERP</t>
        </is>
      </c>
      <c r="F851" t="inlineStr">
        <is>
          <t>Bergvik skog öst AB</t>
        </is>
      </c>
      <c r="G851" t="n">
        <v>6.4</v>
      </c>
      <c r="H851" t="n">
        <v>0</v>
      </c>
      <c r="I851" t="n">
        <v>0</v>
      </c>
      <c r="J851" t="n">
        <v>0</v>
      </c>
      <c r="K851" t="n">
        <v>0</v>
      </c>
      <c r="L851" t="n">
        <v>0</v>
      </c>
      <c r="M851" t="n">
        <v>0</v>
      </c>
      <c r="N851" t="n">
        <v>0</v>
      </c>
      <c r="O851" t="n">
        <v>0</v>
      </c>
      <c r="P851" t="n">
        <v>0</v>
      </c>
      <c r="Q851" t="n">
        <v>0</v>
      </c>
      <c r="R851" s="2" t="inlineStr"/>
    </row>
    <row r="852" ht="15" customHeight="1">
      <c r="A852" t="inlineStr">
        <is>
          <t>A 24124-2025</t>
        </is>
      </c>
      <c r="B852" s="1" t="n">
        <v>45796.6252662037</v>
      </c>
      <c r="C852" s="1" t="n">
        <v>46075</v>
      </c>
      <c r="D852" t="inlineStr">
        <is>
          <t>UPPSALA LÄN</t>
        </is>
      </c>
      <c r="E852" t="inlineStr">
        <is>
          <t>TIERP</t>
        </is>
      </c>
      <c r="F852" t="inlineStr">
        <is>
          <t>Bergvik skog öst AB</t>
        </is>
      </c>
      <c r="G852" t="n">
        <v>2.8</v>
      </c>
      <c r="H852" t="n">
        <v>0</v>
      </c>
      <c r="I852" t="n">
        <v>0</v>
      </c>
      <c r="J852" t="n">
        <v>0</v>
      </c>
      <c r="K852" t="n">
        <v>0</v>
      </c>
      <c r="L852" t="n">
        <v>0</v>
      </c>
      <c r="M852" t="n">
        <v>0</v>
      </c>
      <c r="N852" t="n">
        <v>0</v>
      </c>
      <c r="O852" t="n">
        <v>0</v>
      </c>
      <c r="P852" t="n">
        <v>0</v>
      </c>
      <c r="Q852" t="n">
        <v>0</v>
      </c>
      <c r="R852" s="2" t="inlineStr"/>
    </row>
    <row r="853" ht="15" customHeight="1">
      <c r="A853" t="inlineStr">
        <is>
          <t>A 61156-2024</t>
        </is>
      </c>
      <c r="B853" s="1" t="n">
        <v>45645.59362268518</v>
      </c>
      <c r="C853" s="1" t="n">
        <v>46075</v>
      </c>
      <c r="D853" t="inlineStr">
        <is>
          <t>UPPSALA LÄN</t>
        </is>
      </c>
      <c r="E853" t="inlineStr">
        <is>
          <t>TIERP</t>
        </is>
      </c>
      <c r="F853" t="inlineStr">
        <is>
          <t>Bergvik skog väst AB</t>
        </is>
      </c>
      <c r="G853" t="n">
        <v>10.6</v>
      </c>
      <c r="H853" t="n">
        <v>0</v>
      </c>
      <c r="I853" t="n">
        <v>0</v>
      </c>
      <c r="J853" t="n">
        <v>0</v>
      </c>
      <c r="K853" t="n">
        <v>0</v>
      </c>
      <c r="L853" t="n">
        <v>0</v>
      </c>
      <c r="M853" t="n">
        <v>0</v>
      </c>
      <c r="N853" t="n">
        <v>0</v>
      </c>
      <c r="O853" t="n">
        <v>0</v>
      </c>
      <c r="P853" t="n">
        <v>0</v>
      </c>
      <c r="Q853" t="n">
        <v>0</v>
      </c>
      <c r="R853" s="2" t="inlineStr"/>
    </row>
    <row r="854" ht="15" customHeight="1">
      <c r="A854" t="inlineStr">
        <is>
          <t>A 34835-2024</t>
        </is>
      </c>
      <c r="B854" s="1" t="n">
        <v>45526</v>
      </c>
      <c r="C854" s="1" t="n">
        <v>46075</v>
      </c>
      <c r="D854" t="inlineStr">
        <is>
          <t>UPPSALA LÄN</t>
        </is>
      </c>
      <c r="E854" t="inlineStr">
        <is>
          <t>TIERP</t>
        </is>
      </c>
      <c r="G854" t="n">
        <v>1.5</v>
      </c>
      <c r="H854" t="n">
        <v>0</v>
      </c>
      <c r="I854" t="n">
        <v>0</v>
      </c>
      <c r="J854" t="n">
        <v>0</v>
      </c>
      <c r="K854" t="n">
        <v>0</v>
      </c>
      <c r="L854" t="n">
        <v>0</v>
      </c>
      <c r="M854" t="n">
        <v>0</v>
      </c>
      <c r="N854" t="n">
        <v>0</v>
      </c>
      <c r="O854" t="n">
        <v>0</v>
      </c>
      <c r="P854" t="n">
        <v>0</v>
      </c>
      <c r="Q854" t="n">
        <v>0</v>
      </c>
      <c r="R854" s="2" t="inlineStr"/>
    </row>
    <row r="855" ht="15" customHeight="1">
      <c r="A855" t="inlineStr">
        <is>
          <t>A 24807-2025</t>
        </is>
      </c>
      <c r="B855" s="1" t="n">
        <v>45799.44140046297</v>
      </c>
      <c r="C855" s="1" t="n">
        <v>46075</v>
      </c>
      <c r="D855" t="inlineStr">
        <is>
          <t>UPPSALA LÄN</t>
        </is>
      </c>
      <c r="E855" t="inlineStr">
        <is>
          <t>TIERP</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24975-2025</t>
        </is>
      </c>
      <c r="B856" s="1" t="n">
        <v>45799.59126157407</v>
      </c>
      <c r="C856" s="1" t="n">
        <v>46075</v>
      </c>
      <c r="D856" t="inlineStr">
        <is>
          <t>UPPSALA LÄN</t>
        </is>
      </c>
      <c r="E856" t="inlineStr">
        <is>
          <t>TIERP</t>
        </is>
      </c>
      <c r="G856" t="n">
        <v>5.7</v>
      </c>
      <c r="H856" t="n">
        <v>0</v>
      </c>
      <c r="I856" t="n">
        <v>0</v>
      </c>
      <c r="J856" t="n">
        <v>0</v>
      </c>
      <c r="K856" t="n">
        <v>0</v>
      </c>
      <c r="L856" t="n">
        <v>0</v>
      </c>
      <c r="M856" t="n">
        <v>0</v>
      </c>
      <c r="N856" t="n">
        <v>0</v>
      </c>
      <c r="O856" t="n">
        <v>0</v>
      </c>
      <c r="P856" t="n">
        <v>0</v>
      </c>
      <c r="Q856" t="n">
        <v>0</v>
      </c>
      <c r="R856" s="2" t="inlineStr"/>
    </row>
    <row r="857" ht="15" customHeight="1">
      <c r="A857" t="inlineStr">
        <is>
          <t>A 13460-2024</t>
        </is>
      </c>
      <c r="B857" s="1" t="n">
        <v>45387.55097222222</v>
      </c>
      <c r="C857" s="1" t="n">
        <v>46075</v>
      </c>
      <c r="D857" t="inlineStr">
        <is>
          <t>UPPSALA LÄN</t>
        </is>
      </c>
      <c r="E857" t="inlineStr">
        <is>
          <t>TIERP</t>
        </is>
      </c>
      <c r="G857" t="n">
        <v>0.9</v>
      </c>
      <c r="H857" t="n">
        <v>0</v>
      </c>
      <c r="I857" t="n">
        <v>0</v>
      </c>
      <c r="J857" t="n">
        <v>0</v>
      </c>
      <c r="K857" t="n">
        <v>0</v>
      </c>
      <c r="L857" t="n">
        <v>0</v>
      </c>
      <c r="M857" t="n">
        <v>0</v>
      </c>
      <c r="N857" t="n">
        <v>0</v>
      </c>
      <c r="O857" t="n">
        <v>0</v>
      </c>
      <c r="P857" t="n">
        <v>0</v>
      </c>
      <c r="Q857" t="n">
        <v>0</v>
      </c>
      <c r="R857" s="2" t="inlineStr"/>
    </row>
    <row r="858" ht="15" customHeight="1">
      <c r="A858" t="inlineStr">
        <is>
          <t>A 25671-2025</t>
        </is>
      </c>
      <c r="B858" s="1" t="n">
        <v>45803.63006944444</v>
      </c>
      <c r="C858" s="1" t="n">
        <v>46075</v>
      </c>
      <c r="D858" t="inlineStr">
        <is>
          <t>UPPSALA LÄN</t>
        </is>
      </c>
      <c r="E858" t="inlineStr">
        <is>
          <t>TIERP</t>
        </is>
      </c>
      <c r="G858" t="n">
        <v>1.8</v>
      </c>
      <c r="H858" t="n">
        <v>0</v>
      </c>
      <c r="I858" t="n">
        <v>0</v>
      </c>
      <c r="J858" t="n">
        <v>0</v>
      </c>
      <c r="K858" t="n">
        <v>0</v>
      </c>
      <c r="L858" t="n">
        <v>0</v>
      </c>
      <c r="M858" t="n">
        <v>0</v>
      </c>
      <c r="N858" t="n">
        <v>0</v>
      </c>
      <c r="O858" t="n">
        <v>0</v>
      </c>
      <c r="P858" t="n">
        <v>0</v>
      </c>
      <c r="Q858" t="n">
        <v>0</v>
      </c>
      <c r="R858" s="2" t="inlineStr"/>
    </row>
    <row r="859" ht="15" customHeight="1">
      <c r="A859" t="inlineStr">
        <is>
          <t>A 10551-2024</t>
        </is>
      </c>
      <c r="B859" s="1" t="n">
        <v>45366.58351851852</v>
      </c>
      <c r="C859" s="1" t="n">
        <v>46075</v>
      </c>
      <c r="D859" t="inlineStr">
        <is>
          <t>UPPSALA LÄN</t>
        </is>
      </c>
      <c r="E859" t="inlineStr">
        <is>
          <t>TIERP</t>
        </is>
      </c>
      <c r="G859" t="n">
        <v>1.4</v>
      </c>
      <c r="H859" t="n">
        <v>0</v>
      </c>
      <c r="I859" t="n">
        <v>0</v>
      </c>
      <c r="J859" t="n">
        <v>0</v>
      </c>
      <c r="K859" t="n">
        <v>0</v>
      </c>
      <c r="L859" t="n">
        <v>0</v>
      </c>
      <c r="M859" t="n">
        <v>0</v>
      </c>
      <c r="N859" t="n">
        <v>0</v>
      </c>
      <c r="O859" t="n">
        <v>0</v>
      </c>
      <c r="P859" t="n">
        <v>0</v>
      </c>
      <c r="Q859" t="n">
        <v>0</v>
      </c>
      <c r="R859" s="2" t="inlineStr"/>
    </row>
    <row r="860" ht="15" customHeight="1">
      <c r="A860" t="inlineStr">
        <is>
          <t>A 22274-2025</t>
        </is>
      </c>
      <c r="B860" s="1" t="n">
        <v>45786</v>
      </c>
      <c r="C860" s="1" t="n">
        <v>46075</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61152-2024</t>
        </is>
      </c>
      <c r="B861" s="1" t="n">
        <v>45645</v>
      </c>
      <c r="C861" s="1" t="n">
        <v>46075</v>
      </c>
      <c r="D861" t="inlineStr">
        <is>
          <t>UPPSALA LÄN</t>
        </is>
      </c>
      <c r="E861" t="inlineStr">
        <is>
          <t>TIERP</t>
        </is>
      </c>
      <c r="F861" t="inlineStr">
        <is>
          <t>Bergvik skog väst AB</t>
        </is>
      </c>
      <c r="G861" t="n">
        <v>4.8</v>
      </c>
      <c r="H861" t="n">
        <v>0</v>
      </c>
      <c r="I861" t="n">
        <v>0</v>
      </c>
      <c r="J861" t="n">
        <v>0</v>
      </c>
      <c r="K861" t="n">
        <v>0</v>
      </c>
      <c r="L861" t="n">
        <v>0</v>
      </c>
      <c r="M861" t="n">
        <v>0</v>
      </c>
      <c r="N861" t="n">
        <v>0</v>
      </c>
      <c r="O861" t="n">
        <v>0</v>
      </c>
      <c r="P861" t="n">
        <v>0</v>
      </c>
      <c r="Q861" t="n">
        <v>0</v>
      </c>
      <c r="R861" s="2" t="inlineStr"/>
    </row>
    <row r="862" ht="15" customHeight="1">
      <c r="A862" t="inlineStr">
        <is>
          <t>A 25927-2025</t>
        </is>
      </c>
      <c r="B862" s="1" t="n">
        <v>45804.57641203704</v>
      </c>
      <c r="C862" s="1" t="n">
        <v>46075</v>
      </c>
      <c r="D862" t="inlineStr">
        <is>
          <t>UPPSALA LÄN</t>
        </is>
      </c>
      <c r="E862" t="inlineStr">
        <is>
          <t>TIERP</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26040-2025</t>
        </is>
      </c>
      <c r="B863" s="1" t="n">
        <v>45804.69550925926</v>
      </c>
      <c r="C863" s="1" t="n">
        <v>46075</v>
      </c>
      <c r="D863" t="inlineStr">
        <is>
          <t>UPPSALA LÄN</t>
        </is>
      </c>
      <c r="E863" t="inlineStr">
        <is>
          <t>TIERP</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26321-2025</t>
        </is>
      </c>
      <c r="B864" s="1" t="n">
        <v>45805</v>
      </c>
      <c r="C864" s="1" t="n">
        <v>46075</v>
      </c>
      <c r="D864" t="inlineStr">
        <is>
          <t>UPPSALA LÄN</t>
        </is>
      </c>
      <c r="E864" t="inlineStr">
        <is>
          <t>TIERP</t>
        </is>
      </c>
      <c r="G864" t="n">
        <v>3.8</v>
      </c>
      <c r="H864" t="n">
        <v>0</v>
      </c>
      <c r="I864" t="n">
        <v>0</v>
      </c>
      <c r="J864" t="n">
        <v>0</v>
      </c>
      <c r="K864" t="n">
        <v>0</v>
      </c>
      <c r="L864" t="n">
        <v>0</v>
      </c>
      <c r="M864" t="n">
        <v>0</v>
      </c>
      <c r="N864" t="n">
        <v>0</v>
      </c>
      <c r="O864" t="n">
        <v>0</v>
      </c>
      <c r="P864" t="n">
        <v>0</v>
      </c>
      <c r="Q864" t="n">
        <v>0</v>
      </c>
      <c r="R864" s="2" t="inlineStr"/>
    </row>
    <row r="865" ht="15" customHeight="1">
      <c r="A865" t="inlineStr">
        <is>
          <t>A 25953-2025</t>
        </is>
      </c>
      <c r="B865" s="1" t="n">
        <v>45804.60184027778</v>
      </c>
      <c r="C865" s="1" t="n">
        <v>46075</v>
      </c>
      <c r="D865" t="inlineStr">
        <is>
          <t>UPPSALA LÄN</t>
        </is>
      </c>
      <c r="E865" t="inlineStr">
        <is>
          <t>TIERP</t>
        </is>
      </c>
      <c r="F865" t="inlineStr">
        <is>
          <t>Bergvik skog öst AB</t>
        </is>
      </c>
      <c r="G865" t="n">
        <v>4.7</v>
      </c>
      <c r="H865" t="n">
        <v>0</v>
      </c>
      <c r="I865" t="n">
        <v>0</v>
      </c>
      <c r="J865" t="n">
        <v>0</v>
      </c>
      <c r="K865" t="n">
        <v>0</v>
      </c>
      <c r="L865" t="n">
        <v>0</v>
      </c>
      <c r="M865" t="n">
        <v>0</v>
      </c>
      <c r="N865" t="n">
        <v>0</v>
      </c>
      <c r="O865" t="n">
        <v>0</v>
      </c>
      <c r="P865" t="n">
        <v>0</v>
      </c>
      <c r="Q865" t="n">
        <v>0</v>
      </c>
      <c r="R865" s="2" t="inlineStr"/>
    </row>
    <row r="866" ht="15" customHeight="1">
      <c r="A866" t="inlineStr">
        <is>
          <t>A 25900-2025</t>
        </is>
      </c>
      <c r="B866" s="1" t="n">
        <v>45804.54819444445</v>
      </c>
      <c r="C866" s="1" t="n">
        <v>46075</v>
      </c>
      <c r="D866" t="inlineStr">
        <is>
          <t>UPPSALA LÄN</t>
        </is>
      </c>
      <c r="E866" t="inlineStr">
        <is>
          <t>TIERP</t>
        </is>
      </c>
      <c r="F866" t="inlineStr">
        <is>
          <t>Bergvik skog öst AB</t>
        </is>
      </c>
      <c r="G866" t="n">
        <v>1.4</v>
      </c>
      <c r="H866" t="n">
        <v>0</v>
      </c>
      <c r="I866" t="n">
        <v>0</v>
      </c>
      <c r="J866" t="n">
        <v>0</v>
      </c>
      <c r="K866" t="n">
        <v>0</v>
      </c>
      <c r="L866" t="n">
        <v>0</v>
      </c>
      <c r="M866" t="n">
        <v>0</v>
      </c>
      <c r="N866" t="n">
        <v>0</v>
      </c>
      <c r="O866" t="n">
        <v>0</v>
      </c>
      <c r="P866" t="n">
        <v>0</v>
      </c>
      <c r="Q866" t="n">
        <v>0</v>
      </c>
      <c r="R866" s="2" t="inlineStr"/>
    </row>
    <row r="867" ht="15" customHeight="1">
      <c r="A867" t="inlineStr">
        <is>
          <t>A 23312-2025</t>
        </is>
      </c>
      <c r="B867" s="1" t="n">
        <v>45791</v>
      </c>
      <c r="C867" s="1" t="n">
        <v>46075</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34980-2024</t>
        </is>
      </c>
      <c r="B868" s="1" t="n">
        <v>45527</v>
      </c>
      <c r="C868" s="1" t="n">
        <v>46075</v>
      </c>
      <c r="D868" t="inlineStr">
        <is>
          <t>UPPSALA LÄN</t>
        </is>
      </c>
      <c r="E868" t="inlineStr">
        <is>
          <t>TIERP</t>
        </is>
      </c>
      <c r="G868" t="n">
        <v>4.6</v>
      </c>
      <c r="H868" t="n">
        <v>0</v>
      </c>
      <c r="I868" t="n">
        <v>0</v>
      </c>
      <c r="J868" t="n">
        <v>0</v>
      </c>
      <c r="K868" t="n">
        <v>0</v>
      </c>
      <c r="L868" t="n">
        <v>0</v>
      </c>
      <c r="M868" t="n">
        <v>0</v>
      </c>
      <c r="N868" t="n">
        <v>0</v>
      </c>
      <c r="O868" t="n">
        <v>0</v>
      </c>
      <c r="P868" t="n">
        <v>0</v>
      </c>
      <c r="Q868" t="n">
        <v>0</v>
      </c>
      <c r="R868" s="2" t="inlineStr"/>
    </row>
    <row r="869" ht="15" customHeight="1">
      <c r="A869" t="inlineStr">
        <is>
          <t>A 26714-2025</t>
        </is>
      </c>
      <c r="B869" s="1" t="n">
        <v>45810.47152777778</v>
      </c>
      <c r="C869" s="1" t="n">
        <v>46075</v>
      </c>
      <c r="D869" t="inlineStr">
        <is>
          <t>UPPSALA LÄN</t>
        </is>
      </c>
      <c r="E869" t="inlineStr">
        <is>
          <t>TIERP</t>
        </is>
      </c>
      <c r="G869" t="n">
        <v>2.2</v>
      </c>
      <c r="H869" t="n">
        <v>0</v>
      </c>
      <c r="I869" t="n">
        <v>0</v>
      </c>
      <c r="J869" t="n">
        <v>0</v>
      </c>
      <c r="K869" t="n">
        <v>0</v>
      </c>
      <c r="L869" t="n">
        <v>0</v>
      </c>
      <c r="M869" t="n">
        <v>0</v>
      </c>
      <c r="N869" t="n">
        <v>0</v>
      </c>
      <c r="O869" t="n">
        <v>0</v>
      </c>
      <c r="P869" t="n">
        <v>0</v>
      </c>
      <c r="Q869" t="n">
        <v>0</v>
      </c>
      <c r="R869" s="2" t="inlineStr"/>
    </row>
    <row r="870" ht="15" customHeight="1">
      <c r="A870" t="inlineStr">
        <is>
          <t>A 7065-2024</t>
        </is>
      </c>
      <c r="B870" s="1" t="n">
        <v>45343.66717592593</v>
      </c>
      <c r="C870" s="1" t="n">
        <v>46075</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27382-2025</t>
        </is>
      </c>
      <c r="B871" s="1" t="n">
        <v>45812.66421296296</v>
      </c>
      <c r="C871" s="1" t="n">
        <v>46075</v>
      </c>
      <c r="D871" t="inlineStr">
        <is>
          <t>UPPSALA LÄN</t>
        </is>
      </c>
      <c r="E871" t="inlineStr">
        <is>
          <t>TIERP</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27360-2025</t>
        </is>
      </c>
      <c r="B872" s="1" t="n">
        <v>45812.63758101852</v>
      </c>
      <c r="C872" s="1" t="n">
        <v>46075</v>
      </c>
      <c r="D872" t="inlineStr">
        <is>
          <t>UPPSALA LÄN</t>
        </is>
      </c>
      <c r="E872" t="inlineStr">
        <is>
          <t>TIERP</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27270-2025</t>
        </is>
      </c>
      <c r="B873" s="1" t="n">
        <v>45812.4972337963</v>
      </c>
      <c r="C873" s="1" t="n">
        <v>46075</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27629-2025</t>
        </is>
      </c>
      <c r="B874" s="1" t="n">
        <v>45813.55859953703</v>
      </c>
      <c r="C874" s="1" t="n">
        <v>46075</v>
      </c>
      <c r="D874" t="inlineStr">
        <is>
          <t>UPPSALA LÄN</t>
        </is>
      </c>
      <c r="E874" t="inlineStr">
        <is>
          <t>TIERP</t>
        </is>
      </c>
      <c r="F874" t="inlineStr">
        <is>
          <t>Bergvik skog väst AB</t>
        </is>
      </c>
      <c r="G874" t="n">
        <v>24.6</v>
      </c>
      <c r="H874" t="n">
        <v>0</v>
      </c>
      <c r="I874" t="n">
        <v>0</v>
      </c>
      <c r="J874" t="n">
        <v>0</v>
      </c>
      <c r="K874" t="n">
        <v>0</v>
      </c>
      <c r="L874" t="n">
        <v>0</v>
      </c>
      <c r="M874" t="n">
        <v>0</v>
      </c>
      <c r="N874" t="n">
        <v>0</v>
      </c>
      <c r="O874" t="n">
        <v>0</v>
      </c>
      <c r="P874" t="n">
        <v>0</v>
      </c>
      <c r="Q874" t="n">
        <v>0</v>
      </c>
      <c r="R874" s="2" t="inlineStr"/>
    </row>
    <row r="875">
      <c r="A875" t="inlineStr">
        <is>
          <t>A 27252-2025</t>
        </is>
      </c>
      <c r="B875" s="1" t="n">
        <v>45812.47153935185</v>
      </c>
      <c r="C875" s="1" t="n">
        <v>46075</v>
      </c>
      <c r="D875" t="inlineStr">
        <is>
          <t>UPPSALA LÄN</t>
        </is>
      </c>
      <c r="E875" t="inlineStr">
        <is>
          <t>TIERP</t>
        </is>
      </c>
      <c r="F875" t="inlineStr">
        <is>
          <t>Bergvik skog öst AB</t>
        </is>
      </c>
      <c r="G875" t="n">
        <v>0.8</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2026-02-22T11:04:34Z</dcterms:created>
  <dcterms:modified xmlns:dcterms="http://purl.org/dc/terms/" xmlns:xsi="http://www.w3.org/2001/XMLSchema-instance" xsi:type="dcterms:W3CDTF">2026-02-22T11:04:35Z</dcterms:modified>
</cp:coreProperties>
</file>