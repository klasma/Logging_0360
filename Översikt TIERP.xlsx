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162-2025</t>
        </is>
      </c>
      <c r="B2" t="inlineStr">
        <is>
          <t>avverkningsanmälan</t>
        </is>
      </c>
      <c r="C2" t="inlineStr">
        <is>
          <t>Föryngringsavverkning</t>
        </is>
      </c>
      <c r="D2" s="1" t="n">
        <v>45659</v>
      </c>
      <c r="E2" s="1" t="n">
        <v>46216</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HYPERLINK("https://klasma.github.io/Logging_0360/knärot/A 162-2025 karta knärot.png", "A 162-2025")</f>
        <v/>
      </c>
      <c r="Y2">
        <f>HYPERLINK("https://klasma.github.io/Logging_0360/klagomål/A 162-2025 FSC-klagomål.docx", "A 162-2025")</f>
        <v/>
      </c>
      <c r="Z2">
        <f>HYPERLINK("https://klasma.github.io/Logging_0360/klagomålsmail/A 162-2025 FSC-klagomål mail.docx", "A 162-2025")</f>
        <v/>
      </c>
      <c r="AA2">
        <f>HYPERLINK("https://klasma.github.io/Logging_0360/tillsyn/A 162-2025 tillsynsbegäran.docx", "A 162-2025")</f>
        <v/>
      </c>
      <c r="AB2">
        <f>HYPERLINK("https://klasma.github.io/Logging_0360/tillsynsmail/A 162-2025 tillsynsbegäran mail.docx", "A 162-2025")</f>
        <v/>
      </c>
      <c r="AC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46216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HYPERLINK("https://klasma.github.io/Logging_0360/knärot/A 51096-2025 karta knärot.png", "A 51096-2025")</f>
        <v/>
      </c>
      <c r="Y3">
        <f>HYPERLINK("https://klasma.github.io/Logging_0360/klagomål/A 51096-2025 FSC-klagomål.docx", "A 51096-2025")</f>
        <v/>
      </c>
      <c r="Z3">
        <f>HYPERLINK("https://klasma.github.io/Logging_0360/klagomålsmail/A 51096-2025 FSC-klagomål mail.docx", "A 51096-2025")</f>
        <v/>
      </c>
      <c r="AA3">
        <f>HYPERLINK("https://klasma.github.io/Logging_0360/tillsyn/A 51096-2025 tillsynsbegäran.docx", "A 51096-2025")</f>
        <v/>
      </c>
      <c r="AB3">
        <f>HYPERLINK("https://klasma.github.io/Logging_0360/tillsynsmail/A 51096-2025 tillsynsbegäran mail.docx", "A 51096-2025")</f>
        <v/>
      </c>
      <c r="AC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46216</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46216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46216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46216</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46216</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46216</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46216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46216</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s="2" t="inlineStr">
        <is>
          <t>Knärot
Fjällig taggsvamp s.str.
Orange taggsvamp
Skarp dropptaggsvamp
Ullticka
Grönpyrola
Rödgul trumpetsvamp
Skogshakmossa
Stubbspretmossa
Svart trolldruva
Blåsippa
Järpe</t>
        </is>
      </c>
      <c r="V11">
        <f>HYPERLINK("https://klasma.github.io/Logging_0360/artfynd/A 21038-2023 artfynd.xlsx", "A 21038-2023")</f>
        <v/>
      </c>
      <c r="W11">
        <f>HYPERLINK("https://klasma.github.io/Logging_0360/kartor/A 21038-2023 karta.png", "A 21038-2023")</f>
        <v/>
      </c>
      <c r="X11">
        <f>HYPERLINK("https://klasma.github.io/Logging_0360/knärot/A 21038-2023 karta knärot.png", "A 21038-2023")</f>
        <v/>
      </c>
      <c r="Y11">
        <f>HYPERLINK("https://klasma.github.io/Logging_0360/klagomål/A 21038-2023 FSC-klagomål.docx", "A 21038-2023")</f>
        <v/>
      </c>
      <c r="Z11">
        <f>HYPERLINK("https://klasma.github.io/Logging_0360/klagomålsmail/A 21038-2023 FSC-klagomål mail.docx", "A 21038-2023")</f>
        <v/>
      </c>
      <c r="AA11">
        <f>HYPERLINK("https://klasma.github.io/Logging_0360/tillsyn/A 21038-2023 tillsynsbegäran.docx", "A 21038-2023")</f>
        <v/>
      </c>
      <c r="AB11">
        <f>HYPERLINK("https://klasma.github.io/Logging_0360/tillsynsmail/A 21038-2023 tillsynsbegäran mail.docx", "A 21038-2023")</f>
        <v/>
      </c>
      <c r="AC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46216</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s="2" t="inlineStr">
        <is>
          <t>Kopparspindling
Dropptaggsvamp
Fjällig taggsvamp s.str.
Kattfotslav
Orange taggsvamp
Puderspindling
Skarp dropptaggsvamp
Sparvuggla
Anisspindling
Olivspindling
Rödgul trumpetsvamp
Svavelriska</t>
        </is>
      </c>
      <c r="V12">
        <f>HYPERLINK("https://klasma.github.io/Logging_0360/artfynd/A 6086-2026 artfynd.xlsx", "A 6086-2026")</f>
        <v/>
      </c>
      <c r="W12">
        <f>HYPERLINK("https://klasma.github.io/Logging_0360/kartor/A 6086-2026 karta.png", "A 6086-2026")</f>
        <v/>
      </c>
      <c r="Y12">
        <f>HYPERLINK("https://klasma.github.io/Logging_0360/klagomål/A 6086-2026 FSC-klagomål.docx", "A 6086-2026")</f>
        <v/>
      </c>
      <c r="Z12">
        <f>HYPERLINK("https://klasma.github.io/Logging_0360/klagomålsmail/A 6086-2026 FSC-klagomål mail.docx", "A 6086-2026")</f>
        <v/>
      </c>
      <c r="AA12">
        <f>HYPERLINK("https://klasma.github.io/Logging_0360/tillsyn/A 6086-2026 tillsynsbegäran.docx", "A 6086-2026")</f>
        <v/>
      </c>
      <c r="AB12">
        <f>HYPERLINK("https://klasma.github.io/Logging_0360/tillsynsmail/A 6086-2026 tillsynsbegäran mail.docx", "A 6086-2026")</f>
        <v/>
      </c>
      <c r="AC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46216</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46216</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46216</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49888-2025</t>
        </is>
      </c>
      <c r="B16" t="inlineStr">
        <is>
          <t>avverkningsanmälan</t>
        </is>
      </c>
      <c r="C16" t="inlineStr">
        <is>
          <t>Föryngringsavverkning</t>
        </is>
      </c>
      <c r="D16" s="1" t="n">
        <v>45940</v>
      </c>
      <c r="E16" s="1" t="n">
        <v>46216</v>
      </c>
      <c r="F16" t="inlineStr">
        <is>
          <t>UPPSALA LÄN</t>
        </is>
      </c>
      <c r="G16" t="inlineStr">
        <is>
          <t>TIERP</t>
        </is>
      </c>
      <c r="H16" t="inlineStr">
        <is>
          <t>Bergvik skog öst AB</t>
        </is>
      </c>
      <c r="I16" t="n">
        <v>2.2</v>
      </c>
      <c r="J16" t="n">
        <v>5</v>
      </c>
      <c r="K16" t="n">
        <v>5</v>
      </c>
      <c r="L16" t="n">
        <v>3</v>
      </c>
      <c r="M16" t="n">
        <v>0</v>
      </c>
      <c r="N16" t="n">
        <v>1</v>
      </c>
      <c r="O16" t="n">
        <v>0</v>
      </c>
      <c r="P16" t="n">
        <v>0</v>
      </c>
      <c r="Q16" t="n">
        <v>4</v>
      </c>
      <c r="R16" t="n">
        <v>1</v>
      </c>
      <c r="S16" t="n">
        <v>11</v>
      </c>
      <c r="T16" t="n">
        <v>37</v>
      </c>
      <c r="U16" s="2" t="inlineStr">
        <is>
          <t>Ask
Rynkskinn
Talltita
Vedtrappmossa
Bronshjon
Grön sköldmossa
Skogsknipprot
Stubbspretmossa
Svavelriska
Blåsippa
Spillkråka</t>
        </is>
      </c>
      <c r="V16">
        <f>HYPERLINK("https://klasma.github.io/Logging_0360/artfynd/A 49888-2025 artfynd.xlsx", "A 49888-2025")</f>
        <v/>
      </c>
      <c r="W16">
        <f>HYPERLINK("https://klasma.github.io/Logging_0360/kartor/A 49888-2025 karta.png", "A 49888-2025")</f>
        <v/>
      </c>
      <c r="Y16">
        <f>HYPERLINK("https://klasma.github.io/Logging_0360/klagomål/A 49888-2025 FSC-klagomål.docx", "A 49888-2025")</f>
        <v/>
      </c>
      <c r="Z16">
        <f>HYPERLINK("https://klasma.github.io/Logging_0360/klagomålsmail/A 49888-2025 FSC-klagomål mail.docx", "A 49888-2025")</f>
        <v/>
      </c>
      <c r="AA16">
        <f>HYPERLINK("https://klasma.github.io/Logging_0360/tillsyn/A 49888-2025 tillsynsbegäran.docx", "A 49888-2025")</f>
        <v/>
      </c>
      <c r="AB16">
        <f>HYPERLINK("https://klasma.github.io/Logging_0360/tillsynsmail/A 49888-2025 tillsynsbegäran mail.docx", "A 49888-2025")</f>
        <v/>
      </c>
      <c r="AC16">
        <f>HYPERLINK("https://klasma.github.io/Logging_0360/fåglar/A 49888-2025 prioriterade fågelarter.docx", "A 49888-2025")</f>
        <v/>
      </c>
    </row>
    <row r="17" ht="15" customHeight="1">
      <c r="A17" t="inlineStr">
        <is>
          <t>A 3511-2023</t>
        </is>
      </c>
      <c r="B17" t="inlineStr">
        <is>
          <t>avverkningsanmälan</t>
        </is>
      </c>
      <c r="C17" t="inlineStr">
        <is>
          <t>Föryngringsavverkning</t>
        </is>
      </c>
      <c r="D17" s="1" t="n">
        <v>44950</v>
      </c>
      <c r="E17" s="1" t="n">
        <v>46216</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s="2" t="inlineStr">
        <is>
          <t>Ask
Motaggsvamp
Bronshjon
Rödgul trumpetsvamp
Tibast
Blåsippa
Spillkråka
Tjäder
Kungsfågel
Orre
Revlummer</t>
        </is>
      </c>
      <c r="V17">
        <f>HYPERLINK("https://klasma.github.io/Logging_0360/artfynd/A 3511-2023 artfynd.xlsx", "A 3511-2023")</f>
        <v/>
      </c>
      <c r="W17">
        <f>HYPERLINK("https://klasma.github.io/Logging_0360/kartor/A 3511-2023 karta.png", "A 3511-2023")</f>
        <v/>
      </c>
      <c r="Y17">
        <f>HYPERLINK("https://klasma.github.io/Logging_0360/klagomål/A 3511-2023 FSC-klagomål.docx", "A 3511-2023")</f>
        <v/>
      </c>
      <c r="Z17">
        <f>HYPERLINK("https://klasma.github.io/Logging_0360/klagomålsmail/A 3511-2023 FSC-klagomål mail.docx", "A 3511-2023")</f>
        <v/>
      </c>
      <c r="AA17">
        <f>HYPERLINK("https://klasma.github.io/Logging_0360/tillsyn/A 3511-2023 tillsynsbegäran.docx", "A 3511-2023")</f>
        <v/>
      </c>
      <c r="AB17">
        <f>HYPERLINK("https://klasma.github.io/Logging_0360/tillsynsmail/A 3511-2023 tillsynsbegäran mail.docx", "A 3511-2023")</f>
        <v/>
      </c>
      <c r="AC17">
        <f>HYPERLINK("https://klasma.github.io/Logging_0360/fåglar/A 3511-2023 prioriterade fågelarter.docx", "A 3511-2023")</f>
        <v/>
      </c>
    </row>
    <row r="18" ht="15" customHeight="1">
      <c r="A18" t="inlineStr">
        <is>
          <t>S 2843-2024</t>
        </is>
      </c>
      <c r="B18" t="inlineStr">
        <is>
          <t>samrådsanmälan</t>
        </is>
      </c>
      <c r="C18" t="inlineStr">
        <is>
          <t>Annan skogsbruksåtgärd</t>
        </is>
      </c>
      <c r="D18" s="1" t="n">
        <v>45492</v>
      </c>
      <c r="E18" s="1" t="n">
        <v>46216</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46216</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46216</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46216</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46216</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Y22">
        <f>HYPERLINK("https://klasma.github.io/Logging_0360/klagomål/A 1110-2026 FSC-klagomål.docx", "A 1110-2026")</f>
        <v/>
      </c>
      <c r="Z22">
        <f>HYPERLINK("https://klasma.github.io/Logging_0360/klagomålsmail/A 1110-2026 FSC-klagomål mail.docx", "A 1110-2026")</f>
        <v/>
      </c>
      <c r="AA22">
        <f>HYPERLINK("https://klasma.github.io/Logging_0360/tillsyn/A 1110-2026 tillsynsbegäran.docx", "A 1110-2026")</f>
        <v/>
      </c>
      <c r="AB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46216</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46216</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HYPERLINK("https://klasma.github.io/Logging_0360/knärot/A 7366-2023 karta knärot.png", "A 7366-2023")</f>
        <v/>
      </c>
      <c r="Y24">
        <f>HYPERLINK("https://klasma.github.io/Logging_0360/klagomål/A 7366-2023 FSC-klagomål.docx", "A 7366-2023")</f>
        <v/>
      </c>
      <c r="Z24">
        <f>HYPERLINK("https://klasma.github.io/Logging_0360/klagomålsmail/A 7366-2023 FSC-klagomål mail.docx", "A 7366-2023")</f>
        <v/>
      </c>
      <c r="AA24">
        <f>HYPERLINK("https://klasma.github.io/Logging_0360/tillsyn/A 7366-2023 tillsynsbegäran.docx", "A 7366-2023")</f>
        <v/>
      </c>
      <c r="AB24">
        <f>HYPERLINK("https://klasma.github.io/Logging_0360/tillsynsmail/A 7366-2023 tillsynsbegäran mail.docx", "A 7366-2023")</f>
        <v/>
      </c>
    </row>
    <row r="25" ht="15" customHeight="1">
      <c r="A25" t="inlineStr">
        <is>
          <t>A 20997-2022</t>
        </is>
      </c>
      <c r="B25" t="inlineStr">
        <is>
          <t>avverkningsanmälan</t>
        </is>
      </c>
      <c r="C25" t="inlineStr">
        <is>
          <t>Föryngringsavverkning</t>
        </is>
      </c>
      <c r="D25" s="1" t="n">
        <v>44701</v>
      </c>
      <c r="E25" s="1" t="n">
        <v>46216</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s="2" t="inlineStr">
        <is>
          <t>Knärot
Vedtrappmossa
Grön sköldmossa
Gulnål
Stubbspretmossa
Vågbandad barkbock
Blåsippa</t>
        </is>
      </c>
      <c r="V25">
        <f>HYPERLINK("https://klasma.github.io/Logging_0360/artfynd/A 20997-2022 artfynd.xlsx", "A 20997-2022")</f>
        <v/>
      </c>
      <c r="W25">
        <f>HYPERLINK("https://klasma.github.io/Logging_0360/kartor/A 20997-2022 karta.png", "A 20997-2022")</f>
        <v/>
      </c>
      <c r="X25">
        <f>HYPERLINK("https://klasma.github.io/Logging_0360/knärot/A 20997-2022 karta knärot.png", "A 20997-2022")</f>
        <v/>
      </c>
      <c r="Y25">
        <f>HYPERLINK("https://klasma.github.io/Logging_0360/klagomål/A 20997-2022 FSC-klagomål.docx", "A 20997-2022")</f>
        <v/>
      </c>
      <c r="Z25">
        <f>HYPERLINK("https://klasma.github.io/Logging_0360/klagomålsmail/A 20997-2022 FSC-klagomål mail.docx", "A 20997-2022")</f>
        <v/>
      </c>
      <c r="AA25">
        <f>HYPERLINK("https://klasma.github.io/Logging_0360/tillsyn/A 20997-2022 tillsynsbegäran.docx", "A 20997-2022")</f>
        <v/>
      </c>
      <c r="AB25">
        <f>HYPERLINK("https://klasma.github.io/Logging_0360/tillsynsmail/A 20997-2022 tillsynsbegäran mail.docx", "A 20997-2022")</f>
        <v/>
      </c>
    </row>
    <row r="26" ht="15" customHeight="1">
      <c r="A26" t="inlineStr">
        <is>
          <t>A 64002-2025</t>
        </is>
      </c>
      <c r="B26" t="inlineStr">
        <is>
          <t>avverkningsanmälan</t>
        </is>
      </c>
      <c r="C26" t="inlineStr">
        <is>
          <t>Föryngringsavverkning</t>
        </is>
      </c>
      <c r="D26" s="1" t="n">
        <v>46021</v>
      </c>
      <c r="E26" s="1" t="n">
        <v>46216</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s="2" t="inlineStr">
        <is>
          <t>Gullpudra
Loppstarr
Axag
Nästrot
Svart trolldruva
Tibast
Nattviol</t>
        </is>
      </c>
      <c r="V26">
        <f>HYPERLINK("https://klasma.github.io/Logging_0360/artfynd/A 64002-2025 artfynd.xlsx", "A 64002-2025")</f>
        <v/>
      </c>
      <c r="W26">
        <f>HYPERLINK("https://klasma.github.io/Logging_0360/kartor/A 64002-2025 karta.png", "A 64002-2025")</f>
        <v/>
      </c>
      <c r="Y26">
        <f>HYPERLINK("https://klasma.github.io/Logging_0360/klagomål/A 64002-2025 FSC-klagomål.docx", "A 64002-2025")</f>
        <v/>
      </c>
      <c r="Z26">
        <f>HYPERLINK("https://klasma.github.io/Logging_0360/klagomålsmail/A 64002-2025 FSC-klagomål mail.docx", "A 64002-2025")</f>
        <v/>
      </c>
      <c r="AA26">
        <f>HYPERLINK("https://klasma.github.io/Logging_0360/tillsyn/A 64002-2025 tillsynsbegäran.docx", "A 64002-2025")</f>
        <v/>
      </c>
      <c r="AB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46216</v>
      </c>
      <c r="F27" t="inlineStr">
        <is>
          <t>UPPSALA LÄN</t>
        </is>
      </c>
      <c r="G27" t="inlineStr">
        <is>
          <t>TIERP</t>
        </is>
      </c>
      <c r="I27" t="n">
        <v>2.1</v>
      </c>
      <c r="J27" t="n">
        <v>0</v>
      </c>
      <c r="K27" t="n">
        <v>3</v>
      </c>
      <c r="L27" t="n">
        <v>2</v>
      </c>
      <c r="M27" t="n">
        <v>0</v>
      </c>
      <c r="N27" t="n">
        <v>2</v>
      </c>
      <c r="O27" t="n">
        <v>0</v>
      </c>
      <c r="P27" t="n">
        <v>0</v>
      </c>
      <c r="Q27" t="n">
        <v>4</v>
      </c>
      <c r="R27" t="n">
        <v>2</v>
      </c>
      <c r="S27" t="n">
        <v>7</v>
      </c>
      <c r="T27" t="n">
        <v>7</v>
      </c>
      <c r="U27" s="2" t="inlineStr">
        <is>
          <t>Lilaköttig taggsvamp
Ruttaggsvamp
Dropptaggsvamp
Svartvit taggsvamp
Brandmusseron
Rödgul trumpetsvamp
Trådticka</t>
        </is>
      </c>
      <c r="V27">
        <f>HYPERLINK("https://klasma.github.io/Logging_0360/artfynd/A 5967-2023 artfynd.xlsx", "A 5967-2023")</f>
        <v/>
      </c>
      <c r="W27">
        <f>HYPERLINK("https://klasma.github.io/Logging_0360/kartor/A 5967-2023 karta.png", "A 5967-2023")</f>
        <v/>
      </c>
      <c r="Y27">
        <f>HYPERLINK("https://klasma.github.io/Logging_0360/klagomål/A 5967-2023 FSC-klagomål.docx", "A 5967-2023")</f>
        <v/>
      </c>
      <c r="Z27">
        <f>HYPERLINK("https://klasma.github.io/Logging_0360/klagomålsmail/A 5967-2023 FSC-klagomål mail.docx", "A 5967-2023")</f>
        <v/>
      </c>
      <c r="AA27">
        <f>HYPERLINK("https://klasma.github.io/Logging_0360/tillsyn/A 5967-2023 tillsynsbegäran.docx", "A 5967-2023")</f>
        <v/>
      </c>
      <c r="AB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46216</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46216</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46216</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46216</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s="2" t="inlineStr">
        <is>
          <t>Rödgul trumpetsvamp
Skogsknipprot
Tibast
Tvåblad
Blåsippa
Fläcknycklar</t>
        </is>
      </c>
      <c r="V31">
        <f>HYPERLINK("https://klasma.github.io/Logging_0360/artfynd/A 10853-2025 artfynd.xlsx", "A 10853-2025")</f>
        <v/>
      </c>
      <c r="W31">
        <f>HYPERLINK("https://klasma.github.io/Logging_0360/kartor/A 10853-2025 karta.png", "A 10853-2025")</f>
        <v/>
      </c>
      <c r="Y31">
        <f>HYPERLINK("https://klasma.github.io/Logging_0360/klagomål/A 10853-2025 FSC-klagomål.docx", "A 10853-2025")</f>
        <v/>
      </c>
      <c r="Z31">
        <f>HYPERLINK("https://klasma.github.io/Logging_0360/klagomålsmail/A 10853-2025 FSC-klagomål mail.docx", "A 10853-2025")</f>
        <v/>
      </c>
      <c r="AA31">
        <f>HYPERLINK("https://klasma.github.io/Logging_0360/tillsyn/A 10853-2025 tillsynsbegäran.docx", "A 10853-2025")</f>
        <v/>
      </c>
      <c r="AB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46216</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s="2" t="inlineStr">
        <is>
          <t>Violgubbe
Dofttaggsvamp
Dropptaggsvamp
Flattoppad klubbsvamp
Orange taggsvamp
Spillkråka</t>
        </is>
      </c>
      <c r="V32">
        <f>HYPERLINK("https://klasma.github.io/Logging_0360/artfynd/A 8507-2023 artfynd.xlsx", "A 8507-2023")</f>
        <v/>
      </c>
      <c r="W32">
        <f>HYPERLINK("https://klasma.github.io/Logging_0360/kartor/A 8507-2023 karta.png", "A 8507-2023")</f>
        <v/>
      </c>
      <c r="Y32">
        <f>HYPERLINK("https://klasma.github.io/Logging_0360/klagomål/A 8507-2023 FSC-klagomål.docx", "A 8507-2023")</f>
        <v/>
      </c>
      <c r="Z32">
        <f>HYPERLINK("https://klasma.github.io/Logging_0360/klagomålsmail/A 8507-2023 FSC-klagomål mail.docx", "A 8507-2023")</f>
        <v/>
      </c>
      <c r="AA32">
        <f>HYPERLINK("https://klasma.github.io/Logging_0360/tillsyn/A 8507-2023 tillsynsbegäran.docx", "A 8507-2023")</f>
        <v/>
      </c>
      <c r="AB32">
        <f>HYPERLINK("https://klasma.github.io/Logging_0360/tillsynsmail/A 8507-2023 tillsynsbegäran mail.docx", "A 8507-2023")</f>
        <v/>
      </c>
      <c r="AC32">
        <f>HYPERLINK("https://klasma.github.io/Logging_0360/fåglar/A 8507-2023 prioriterade fågelarter.docx", "A 8507-2023")</f>
        <v/>
      </c>
    </row>
    <row r="33" ht="15" customHeight="1">
      <c r="A33" t="inlineStr">
        <is>
          <t>A 33180-2025</t>
        </is>
      </c>
      <c r="B33" t="inlineStr">
        <is>
          <t>avverkningsanmälan</t>
        </is>
      </c>
      <c r="C33" t="inlineStr">
        <is>
          <t>Föryngringsavverkning</t>
        </is>
      </c>
      <c r="D33" s="1" t="n">
        <v>45840</v>
      </c>
      <c r="E33" s="1" t="n">
        <v>46216</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s="2" t="inlineStr">
        <is>
          <t>Månlåsbräken
Oxtungssvamp
Brun nållav
Gulpudrad spiklav
Sotlav</t>
        </is>
      </c>
      <c r="V33">
        <f>HYPERLINK("https://klasma.github.io/Logging_0360/artfynd/A 33180-2025 artfynd.xlsx", "A 33180-2025")</f>
        <v/>
      </c>
      <c r="W33">
        <f>HYPERLINK("https://klasma.github.io/Logging_0360/kartor/A 33180-2025 karta.png", "A 33180-2025")</f>
        <v/>
      </c>
      <c r="Y33">
        <f>HYPERLINK("https://klasma.github.io/Logging_0360/klagomål/A 33180-2025 FSC-klagomål.docx", "A 33180-2025")</f>
        <v/>
      </c>
      <c r="Z33">
        <f>HYPERLINK("https://klasma.github.io/Logging_0360/klagomålsmail/A 33180-2025 FSC-klagomål mail.docx", "A 33180-2025")</f>
        <v/>
      </c>
      <c r="AA33">
        <f>HYPERLINK("https://klasma.github.io/Logging_0360/tillsyn/A 33180-2025 tillsynsbegäran.docx", "A 33180-2025")</f>
        <v/>
      </c>
      <c r="AB33">
        <f>HYPERLINK("https://klasma.github.io/Logging_0360/tillsynsmail/A 33180-2025 tillsynsbegäran mail.docx", "A 33180-2025")</f>
        <v/>
      </c>
    </row>
    <row r="34" ht="15" customHeight="1">
      <c r="A34" t="inlineStr">
        <is>
          <t>A 45851-2022</t>
        </is>
      </c>
      <c r="B34" t="inlineStr">
        <is>
          <t>avverkningsanmälan</t>
        </is>
      </c>
      <c r="C34" t="inlineStr">
        <is>
          <t>Föryngringsavverkning</t>
        </is>
      </c>
      <c r="D34" s="1" t="n">
        <v>44846</v>
      </c>
      <c r="E34" s="1" t="n">
        <v>46216</v>
      </c>
      <c r="F34" t="inlineStr">
        <is>
          <t>UPPSALA LÄN</t>
        </is>
      </c>
      <c r="G34" t="inlineStr">
        <is>
          <t>TIERP</t>
        </is>
      </c>
      <c r="I34" t="n">
        <v>2.6</v>
      </c>
      <c r="J34" t="n">
        <v>0</v>
      </c>
      <c r="K34" t="n">
        <v>3</v>
      </c>
      <c r="L34" t="n">
        <v>1</v>
      </c>
      <c r="M34" t="n">
        <v>1</v>
      </c>
      <c r="N34" t="n">
        <v>0</v>
      </c>
      <c r="O34" t="n">
        <v>0</v>
      </c>
      <c r="P34" t="n">
        <v>0</v>
      </c>
      <c r="Q34" t="n">
        <v>2</v>
      </c>
      <c r="R34" t="n">
        <v>1</v>
      </c>
      <c r="S34" t="n">
        <v>5</v>
      </c>
      <c r="T34" t="n">
        <v>5</v>
      </c>
      <c r="U34" s="2" t="inlineStr">
        <is>
          <t>Duvspindling
Äggspindling
Olivspindling
Rödgul trumpetsvamp
Svavelriska</t>
        </is>
      </c>
      <c r="V34">
        <f>HYPERLINK("https://klasma.github.io/Logging_0360/artfynd/A 45851-2022 artfynd.xlsx", "A 45851-2022")</f>
        <v/>
      </c>
      <c r="W34">
        <f>HYPERLINK("https://klasma.github.io/Logging_0360/kartor/A 45851-2022 karta.png", "A 45851-2022")</f>
        <v/>
      </c>
      <c r="Y34">
        <f>HYPERLINK("https://klasma.github.io/Logging_0360/klagomål/A 45851-2022 FSC-klagomål.docx", "A 45851-2022")</f>
        <v/>
      </c>
      <c r="Z34">
        <f>HYPERLINK("https://klasma.github.io/Logging_0360/klagomålsmail/A 45851-2022 FSC-klagomål mail.docx", "A 45851-2022")</f>
        <v/>
      </c>
      <c r="AA34">
        <f>HYPERLINK("https://klasma.github.io/Logging_0360/tillsyn/A 45851-2022 tillsynsbegäran.docx", "A 45851-2022")</f>
        <v/>
      </c>
      <c r="AB34">
        <f>HYPERLINK("https://klasma.github.io/Logging_0360/tillsynsmail/A 45851-2022 tillsynsbegäran mail.docx", "A 45851-2022")</f>
        <v/>
      </c>
    </row>
    <row r="35" ht="15" customHeight="1">
      <c r="A35" t="inlineStr">
        <is>
          <t>A 16733-2025</t>
        </is>
      </c>
      <c r="B35" t="inlineStr">
        <is>
          <t>avverkningsanmälan</t>
        </is>
      </c>
      <c r="C35" t="inlineStr">
        <is>
          <t>Föryngringsavverkning</t>
        </is>
      </c>
      <c r="D35" s="1" t="n">
        <v>45754</v>
      </c>
      <c r="E35" s="1" t="n">
        <v>46216</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s="2" t="inlineStr">
        <is>
          <t>Ekticka
Rutskinn
Rödbrun blekspik
Gulpudrad spiklav
Hasselticka</t>
        </is>
      </c>
      <c r="V35">
        <f>HYPERLINK("https://klasma.github.io/Logging_0360/artfynd/A 16733-2025 artfynd.xlsx", "A 16733-2025")</f>
        <v/>
      </c>
      <c r="W35">
        <f>HYPERLINK("https://klasma.github.io/Logging_0360/kartor/A 16733-2025 karta.png", "A 16733-2025")</f>
        <v/>
      </c>
      <c r="Y35">
        <f>HYPERLINK("https://klasma.github.io/Logging_0360/klagomål/A 16733-2025 FSC-klagomål.docx", "A 16733-2025")</f>
        <v/>
      </c>
      <c r="Z35">
        <f>HYPERLINK("https://klasma.github.io/Logging_0360/klagomålsmail/A 16733-2025 FSC-klagomål mail.docx", "A 16733-2025")</f>
        <v/>
      </c>
      <c r="AA35">
        <f>HYPERLINK("https://klasma.github.io/Logging_0360/tillsyn/A 16733-2025 tillsynsbegäran.docx", "A 16733-2025")</f>
        <v/>
      </c>
      <c r="AB35">
        <f>HYPERLINK("https://klasma.github.io/Logging_0360/tillsynsmail/A 16733-2025 tillsynsbegäran mail.docx", "A 16733-2025")</f>
        <v/>
      </c>
    </row>
    <row r="36" ht="15" customHeight="1">
      <c r="A36" t="inlineStr">
        <is>
          <t>A 29320-2026</t>
        </is>
      </c>
      <c r="B36" t="inlineStr">
        <is>
          <t>avverkningsanmälan</t>
        </is>
      </c>
      <c r="C36" t="inlineStr">
        <is>
          <t>Föryngringsavverkning</t>
        </is>
      </c>
      <c r="D36" s="1" t="n">
        <v>46202</v>
      </c>
      <c r="E36" s="1" t="n">
        <v>46216</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s="2" t="inlineStr">
        <is>
          <t>Hornuggla
Huggorm
Skogsödla
Vanlig padda
Vanlig snok</t>
        </is>
      </c>
      <c r="V36">
        <f>HYPERLINK("https://klasma.github.io/Logging_0360/artfynd/A 29320-2026 artfynd.xlsx", "A 29320-2026")</f>
        <v/>
      </c>
      <c r="W36">
        <f>HYPERLINK("https://klasma.github.io/Logging_0360/kartor/A 29320-2026 karta.png", "A 29320-2026")</f>
        <v/>
      </c>
      <c r="Y36">
        <f>HYPERLINK("https://klasma.github.io/Logging_0360/klagomål/A 29320-2026 FSC-klagomål.docx", "A 29320-2026")</f>
        <v/>
      </c>
      <c r="Z36">
        <f>HYPERLINK("https://klasma.github.io/Logging_0360/klagomålsmail/A 29320-2026 FSC-klagomål mail.docx", "A 29320-2026")</f>
        <v/>
      </c>
      <c r="AA36">
        <f>HYPERLINK("https://klasma.github.io/Logging_0360/tillsyn/A 29320-2026 tillsynsbegäran.docx", "A 29320-2026")</f>
        <v/>
      </c>
      <c r="AB36">
        <f>HYPERLINK("https://klasma.github.io/Logging_0360/tillsynsmail/A 29320-2026 tillsynsbegäran mail.docx", "A 29320-2026")</f>
        <v/>
      </c>
      <c r="AC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46216</v>
      </c>
      <c r="F37" t="inlineStr">
        <is>
          <t>UPPSALA LÄN</t>
        </is>
      </c>
      <c r="G37" t="inlineStr">
        <is>
          <t>TIERP</t>
        </is>
      </c>
      <c r="I37" t="n">
        <v>3.7</v>
      </c>
      <c r="J37" t="n">
        <v>0</v>
      </c>
      <c r="K37" t="n">
        <v>1</v>
      </c>
      <c r="L37" t="n">
        <v>2</v>
      </c>
      <c r="M37" t="n">
        <v>1</v>
      </c>
      <c r="N37" t="n">
        <v>1</v>
      </c>
      <c r="O37" t="n">
        <v>0</v>
      </c>
      <c r="P37" t="n">
        <v>0</v>
      </c>
      <c r="Q37" t="n">
        <v>4</v>
      </c>
      <c r="R37" t="n">
        <v>2</v>
      </c>
      <c r="S37" t="n">
        <v>5</v>
      </c>
      <c r="T37" t="n">
        <v>5</v>
      </c>
      <c r="U37" s="2" t="inlineStr">
        <is>
          <t>Koppartaggsvamp
Taggfingersvamp
Kattfotslav
Äggspindling
Rödgul trumpetsvamp</t>
        </is>
      </c>
      <c r="V37">
        <f>HYPERLINK("https://klasma.github.io/Logging_0360/artfynd/A 73325-2021 artfynd.xlsx", "A 73325-2021")</f>
        <v/>
      </c>
      <c r="W37">
        <f>HYPERLINK("https://klasma.github.io/Logging_0360/kartor/A 73325-2021 karta.png", "A 73325-2021")</f>
        <v/>
      </c>
      <c r="Y37">
        <f>HYPERLINK("https://klasma.github.io/Logging_0360/klagomål/A 73325-2021 FSC-klagomål.docx", "A 73325-2021")</f>
        <v/>
      </c>
      <c r="Z37">
        <f>HYPERLINK("https://klasma.github.io/Logging_0360/klagomålsmail/A 73325-2021 FSC-klagomål mail.docx", "A 73325-2021")</f>
        <v/>
      </c>
      <c r="AA37">
        <f>HYPERLINK("https://klasma.github.io/Logging_0360/tillsyn/A 73325-2021 tillsynsbegäran.docx", "A 73325-2021")</f>
        <v/>
      </c>
      <c r="AB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46216</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46216</v>
      </c>
      <c r="F39" t="inlineStr">
        <is>
          <t>UPPSALA LÄN</t>
        </is>
      </c>
      <c r="G39" t="inlineStr">
        <is>
          <t>TIERP</t>
        </is>
      </c>
      <c r="I39" t="n">
        <v>4.6</v>
      </c>
      <c r="J39" t="n">
        <v>3</v>
      </c>
      <c r="K39" t="n">
        <v>0</v>
      </c>
      <c r="L39" t="n">
        <v>1</v>
      </c>
      <c r="M39" t="n">
        <v>0</v>
      </c>
      <c r="N39" t="n">
        <v>0</v>
      </c>
      <c r="O39" t="n">
        <v>0</v>
      </c>
      <c r="P39" t="n">
        <v>0</v>
      </c>
      <c r="Q39" t="n">
        <v>1</v>
      </c>
      <c r="R39" t="n">
        <v>0</v>
      </c>
      <c r="S39" t="n">
        <v>4</v>
      </c>
      <c r="T39" t="n">
        <v>4</v>
      </c>
      <c r="U39" s="2" t="inlineStr">
        <is>
          <t>Jungfrulin
Mattlummer
Fläcknycklar
Revlummer</t>
        </is>
      </c>
      <c r="V39">
        <f>HYPERLINK("https://klasma.github.io/Logging_0360/artfynd/A 36561-2022 artfynd.xlsx", "A 36561-2022")</f>
        <v/>
      </c>
      <c r="W39">
        <f>HYPERLINK("https://klasma.github.io/Logging_0360/kartor/A 36561-2022 karta.png", "A 36561-2022")</f>
        <v/>
      </c>
      <c r="Y39">
        <f>HYPERLINK("https://klasma.github.io/Logging_0360/klagomål/A 36561-2022 FSC-klagomål.docx", "A 36561-2022")</f>
        <v/>
      </c>
      <c r="Z39">
        <f>HYPERLINK("https://klasma.github.io/Logging_0360/klagomålsmail/A 36561-2022 FSC-klagomål mail.docx", "A 36561-2022")</f>
        <v/>
      </c>
      <c r="AA39">
        <f>HYPERLINK("https://klasma.github.io/Logging_0360/tillsyn/A 36561-2022 tillsynsbegäran.docx", "A 36561-2022")</f>
        <v/>
      </c>
      <c r="AB39">
        <f>HYPERLINK("https://klasma.github.io/Logging_0360/tillsynsmail/A 36561-2022 tillsynsbegäran mail.docx", "A 36561-2022")</f>
        <v/>
      </c>
    </row>
    <row r="40" ht="15" customHeight="1">
      <c r="A40" t="inlineStr">
        <is>
          <t>A 32296-2025</t>
        </is>
      </c>
      <c r="B40" t="inlineStr">
        <is>
          <t>avverkningsanmälan</t>
        </is>
      </c>
      <c r="C40" t="inlineStr">
        <is>
          <t>Föryngringsavverkning</t>
        </is>
      </c>
      <c r="D40" s="1" t="n">
        <v>45835</v>
      </c>
      <c r="E40" s="1" t="n">
        <v>46216</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s="2" t="inlineStr">
        <is>
          <t>Enkelbeckasin
Rödvingetrast
Kungsfågel
Orre</t>
        </is>
      </c>
      <c r="V40">
        <f>HYPERLINK("https://klasma.github.io/Logging_0360/artfynd/A 32296-2025 artfynd.xlsx", "A 32296-2025")</f>
        <v/>
      </c>
      <c r="W40">
        <f>HYPERLINK("https://klasma.github.io/Logging_0360/kartor/A 32296-2025 karta.png", "A 32296-2025")</f>
        <v/>
      </c>
      <c r="Y40">
        <f>HYPERLINK("https://klasma.github.io/Logging_0360/klagomål/A 32296-2025 FSC-klagomål.docx", "A 32296-2025")</f>
        <v/>
      </c>
      <c r="Z40">
        <f>HYPERLINK("https://klasma.github.io/Logging_0360/klagomålsmail/A 32296-2025 FSC-klagomål mail.docx", "A 32296-2025")</f>
        <v/>
      </c>
      <c r="AA40">
        <f>HYPERLINK("https://klasma.github.io/Logging_0360/tillsyn/A 32296-2025 tillsynsbegäran.docx", "A 32296-2025")</f>
        <v/>
      </c>
      <c r="AB40">
        <f>HYPERLINK("https://klasma.github.io/Logging_0360/tillsynsmail/A 32296-2025 tillsynsbegäran mail.docx", "A 32296-2025")</f>
        <v/>
      </c>
      <c r="AC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46216</v>
      </c>
      <c r="F41" t="inlineStr">
        <is>
          <t>UPPSALA LÄN</t>
        </is>
      </c>
      <c r="G41" t="inlineStr">
        <is>
          <t>TIERP</t>
        </is>
      </c>
      <c r="I41" t="n">
        <v>1.8</v>
      </c>
      <c r="J41" t="n">
        <v>3</v>
      </c>
      <c r="K41" t="n">
        <v>1</v>
      </c>
      <c r="L41" t="n">
        <v>1</v>
      </c>
      <c r="M41" t="n">
        <v>0</v>
      </c>
      <c r="N41" t="n">
        <v>0</v>
      </c>
      <c r="O41" t="n">
        <v>0</v>
      </c>
      <c r="P41" t="n">
        <v>0</v>
      </c>
      <c r="Q41" t="n">
        <v>1</v>
      </c>
      <c r="R41" t="n">
        <v>0</v>
      </c>
      <c r="S41" t="n">
        <v>4</v>
      </c>
      <c r="T41" t="n">
        <v>4</v>
      </c>
      <c r="U41" s="2" t="inlineStr">
        <is>
          <t>Klasefibbla
Skogsknipprot
Fläcknycklar
Gullviva</t>
        </is>
      </c>
      <c r="V41">
        <f>HYPERLINK("https://klasma.github.io/Logging_0360/artfynd/A 35188-2025 artfynd.xlsx", "A 35188-2025")</f>
        <v/>
      </c>
      <c r="W41">
        <f>HYPERLINK("https://klasma.github.io/Logging_0360/kartor/A 35188-2025 karta.png", "A 35188-2025")</f>
        <v/>
      </c>
      <c r="Y41">
        <f>HYPERLINK("https://klasma.github.io/Logging_0360/klagomål/A 35188-2025 FSC-klagomål.docx", "A 35188-2025")</f>
        <v/>
      </c>
      <c r="Z41">
        <f>HYPERLINK("https://klasma.github.io/Logging_0360/klagomålsmail/A 35188-2025 FSC-klagomål mail.docx", "A 35188-2025")</f>
        <v/>
      </c>
      <c r="AA41">
        <f>HYPERLINK("https://klasma.github.io/Logging_0360/tillsyn/A 35188-2025 tillsynsbegäran.docx", "A 35188-2025")</f>
        <v/>
      </c>
      <c r="AB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46216</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Y42">
        <f>HYPERLINK("https://klasma.github.io/Logging_0360/klagomål/A 17748-2025 FSC-klagomål.docx", "A 17748-2025")</f>
        <v/>
      </c>
      <c r="Z42">
        <f>HYPERLINK("https://klasma.github.io/Logging_0360/klagomålsmail/A 17748-2025 FSC-klagomål mail.docx", "A 17748-2025")</f>
        <v/>
      </c>
      <c r="AA42">
        <f>HYPERLINK("https://klasma.github.io/Logging_0360/tillsyn/A 17748-2025 tillsynsbegäran.docx", "A 17748-2025")</f>
        <v/>
      </c>
      <c r="AB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46216</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s="2" t="inlineStr">
        <is>
          <t>Ullticka
Blodticka
Spillkråka
Tjäder</t>
        </is>
      </c>
      <c r="V43">
        <f>HYPERLINK("https://klasma.github.io/Logging_0360/artfynd/A 54831-2025 artfynd.xlsx", "A 54831-2025")</f>
        <v/>
      </c>
      <c r="W43">
        <f>HYPERLINK("https://klasma.github.io/Logging_0360/kartor/A 54831-2025 karta.png", "A 54831-2025")</f>
        <v/>
      </c>
      <c r="Y43">
        <f>HYPERLINK("https://klasma.github.io/Logging_0360/klagomål/A 54831-2025 FSC-klagomål.docx", "A 54831-2025")</f>
        <v/>
      </c>
      <c r="Z43">
        <f>HYPERLINK("https://klasma.github.io/Logging_0360/klagomålsmail/A 54831-2025 FSC-klagomål mail.docx", "A 54831-2025")</f>
        <v/>
      </c>
      <c r="AA43">
        <f>HYPERLINK("https://klasma.github.io/Logging_0360/tillsyn/A 54831-2025 tillsynsbegäran.docx", "A 54831-2025")</f>
        <v/>
      </c>
      <c r="AB43">
        <f>HYPERLINK("https://klasma.github.io/Logging_0360/tillsynsmail/A 54831-2025 tillsynsbegäran mail.docx", "A 54831-2025")</f>
        <v/>
      </c>
      <c r="AC43">
        <f>HYPERLINK("https://klasma.github.io/Logging_0360/fåglar/A 54831-2025 prioriterade fågelarter.docx", "A 54831-2025")</f>
        <v/>
      </c>
    </row>
    <row r="44" ht="15" customHeight="1">
      <c r="A44" t="inlineStr">
        <is>
          <t>A 10848-2025</t>
        </is>
      </c>
      <c r="B44" t="inlineStr">
        <is>
          <t>avverkningsanmälan</t>
        </is>
      </c>
      <c r="C44" t="inlineStr">
        <is>
          <t>Föryngringsavverkning</t>
        </is>
      </c>
      <c r="D44" s="1" t="n">
        <v>45722</v>
      </c>
      <c r="E44" s="1" t="n">
        <v>46216</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s="2" t="inlineStr">
        <is>
          <t>Talltita
Blåsippa
Tjäder
Grönsiska</t>
        </is>
      </c>
      <c r="V44">
        <f>HYPERLINK("https://klasma.github.io/Logging_0360/artfynd/A 10848-2025 artfynd.xlsx", "A 10848-2025")</f>
        <v/>
      </c>
      <c r="W44">
        <f>HYPERLINK("https://klasma.github.io/Logging_0360/kartor/A 10848-2025 karta.png", "A 10848-2025")</f>
        <v/>
      </c>
      <c r="Y44">
        <f>HYPERLINK("https://klasma.github.io/Logging_0360/klagomål/A 10848-2025 FSC-klagomål.docx", "A 10848-2025")</f>
        <v/>
      </c>
      <c r="Z44">
        <f>HYPERLINK("https://klasma.github.io/Logging_0360/klagomålsmail/A 10848-2025 FSC-klagomål mail.docx", "A 10848-2025")</f>
        <v/>
      </c>
      <c r="AA44">
        <f>HYPERLINK("https://klasma.github.io/Logging_0360/tillsyn/A 10848-2025 tillsynsbegäran.docx", "A 10848-2025")</f>
        <v/>
      </c>
      <c r="AB44">
        <f>HYPERLINK("https://klasma.github.io/Logging_0360/tillsynsmail/A 10848-2025 tillsynsbegäran mail.docx", "A 10848-2025")</f>
        <v/>
      </c>
      <c r="AC44">
        <f>HYPERLINK("https://klasma.github.io/Logging_0360/fåglar/A 10848-2025 prioriterade fågelarter.docx", "A 10848-2025")</f>
        <v/>
      </c>
    </row>
    <row r="45" ht="15" customHeight="1">
      <c r="A45" t="inlineStr">
        <is>
          <t>A 17577-2026</t>
        </is>
      </c>
      <c r="B45" t="inlineStr">
        <is>
          <t>avverkningsanmälan</t>
        </is>
      </c>
      <c r="C45" t="inlineStr">
        <is>
          <t>Föryngringsavverkning</t>
        </is>
      </c>
      <c r="D45" s="1" t="n">
        <v>46121</v>
      </c>
      <c r="E45" s="1" t="n">
        <v>46216</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s="2" t="inlineStr">
        <is>
          <t>Väddnätfjäril
Gullgröppa
Tibast
Fläcknycklar</t>
        </is>
      </c>
      <c r="V45">
        <f>HYPERLINK("https://klasma.github.io/Logging_0360/artfynd/A 17577-2026 artfynd.xlsx", "A 17577-2026")</f>
        <v/>
      </c>
      <c r="W45">
        <f>HYPERLINK("https://klasma.github.io/Logging_0360/kartor/A 17577-2026 karta.png", "A 17577-2026")</f>
        <v/>
      </c>
      <c r="Y45">
        <f>HYPERLINK("https://klasma.github.io/Logging_0360/klagomål/A 17577-2026 FSC-klagomål.docx", "A 17577-2026")</f>
        <v/>
      </c>
      <c r="Z45">
        <f>HYPERLINK("https://klasma.github.io/Logging_0360/klagomålsmail/A 17577-2026 FSC-klagomål mail.docx", "A 17577-2026")</f>
        <v/>
      </c>
      <c r="AA45">
        <f>HYPERLINK("https://klasma.github.io/Logging_0360/tillsyn/A 17577-2026 tillsynsbegäran.docx", "A 17577-2026")</f>
        <v/>
      </c>
      <c r="AB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46216</v>
      </c>
      <c r="F46" t="inlineStr">
        <is>
          <t>UPPSALA LÄN</t>
        </is>
      </c>
      <c r="G46" t="inlineStr">
        <is>
          <t>TIERP</t>
        </is>
      </c>
      <c r="I46" t="n">
        <v>1.6</v>
      </c>
      <c r="J46" t="n">
        <v>2</v>
      </c>
      <c r="K46" t="n">
        <v>1</v>
      </c>
      <c r="L46" t="n">
        <v>2</v>
      </c>
      <c r="M46" t="n">
        <v>0</v>
      </c>
      <c r="N46" t="n">
        <v>0</v>
      </c>
      <c r="O46" t="n">
        <v>0</v>
      </c>
      <c r="P46" t="n">
        <v>0</v>
      </c>
      <c r="Q46" t="n">
        <v>2</v>
      </c>
      <c r="R46" t="n">
        <v>0</v>
      </c>
      <c r="S46" t="n">
        <v>4</v>
      </c>
      <c r="T46" t="n">
        <v>6</v>
      </c>
      <c r="U46" s="2" t="inlineStr">
        <is>
          <t>Vedtrappmossa
Vårärt
Skogsknipprot
Blåsippa</t>
        </is>
      </c>
      <c r="V46">
        <f>HYPERLINK("https://klasma.github.io/Logging_0360/artfynd/A 5700-2024 artfynd.xlsx", "A 5700-2024")</f>
        <v/>
      </c>
      <c r="W46">
        <f>HYPERLINK("https://klasma.github.io/Logging_0360/kartor/A 5700-2024 karta.png", "A 5700-2024")</f>
        <v/>
      </c>
      <c r="Y46">
        <f>HYPERLINK("https://klasma.github.io/Logging_0360/klagomål/A 5700-2024 FSC-klagomål.docx", "A 5700-2024")</f>
        <v/>
      </c>
      <c r="Z46">
        <f>HYPERLINK("https://klasma.github.io/Logging_0360/klagomålsmail/A 5700-2024 FSC-klagomål mail.docx", "A 5700-2024")</f>
        <v/>
      </c>
      <c r="AA46">
        <f>HYPERLINK("https://klasma.github.io/Logging_0360/tillsyn/A 5700-2024 tillsynsbegäran.docx", "A 5700-2024")</f>
        <v/>
      </c>
      <c r="AB46">
        <f>HYPERLINK("https://klasma.github.io/Logging_0360/tillsynsmail/A 5700-2024 tillsynsbegäran mail.docx", "A 5700-2024")</f>
        <v/>
      </c>
    </row>
    <row r="47" ht="15" customHeight="1">
      <c r="A47" t="inlineStr">
        <is>
          <t>A 12424-2024</t>
        </is>
      </c>
      <c r="B47" t="inlineStr">
        <is>
          <t>avverkningsanmälan</t>
        </is>
      </c>
      <c r="C47" t="inlineStr">
        <is>
          <t>Föryngringsavverkning</t>
        </is>
      </c>
      <c r="D47" s="1" t="n">
        <v>45379</v>
      </c>
      <c r="E47" s="1" t="n">
        <v>46216</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s="2" t="inlineStr">
        <is>
          <t>Violgubbe
Fyrflikig jordstjärna
Anisspindling
Olivspindling</t>
        </is>
      </c>
      <c r="V47">
        <f>HYPERLINK("https://klasma.github.io/Logging_0360/artfynd/A 12424-2024 artfynd.xlsx", "A 12424-2024")</f>
        <v/>
      </c>
      <c r="W47">
        <f>HYPERLINK("https://klasma.github.io/Logging_0360/kartor/A 12424-2024 karta.png", "A 12424-2024")</f>
        <v/>
      </c>
      <c r="Y47">
        <f>HYPERLINK("https://klasma.github.io/Logging_0360/klagomål/A 12424-2024 FSC-klagomål.docx", "A 12424-2024")</f>
        <v/>
      </c>
      <c r="Z47">
        <f>HYPERLINK("https://klasma.github.io/Logging_0360/klagomålsmail/A 12424-2024 FSC-klagomål mail.docx", "A 12424-2024")</f>
        <v/>
      </c>
      <c r="AA47">
        <f>HYPERLINK("https://klasma.github.io/Logging_0360/tillsyn/A 12424-2024 tillsynsbegäran.docx", "A 12424-2024")</f>
        <v/>
      </c>
      <c r="AB47">
        <f>HYPERLINK("https://klasma.github.io/Logging_0360/tillsynsmail/A 12424-2024 tillsynsbegäran mail.docx", "A 12424-2024")</f>
        <v/>
      </c>
    </row>
    <row r="48" ht="15" customHeight="1">
      <c r="A48" t="inlineStr">
        <is>
          <t>A 23133-2026</t>
        </is>
      </c>
      <c r="B48" t="inlineStr">
        <is>
          <t>avverkningsanmälan</t>
        </is>
      </c>
      <c r="C48" t="inlineStr">
        <is>
          <t>Föryngringsavverkning</t>
        </is>
      </c>
      <c r="D48" s="1" t="n">
        <v>46161</v>
      </c>
      <c r="E48" s="1" t="n">
        <v>46216</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s="2" t="inlineStr">
        <is>
          <t>Ask
Skogsalm
Brandticka
Blåsippa</t>
        </is>
      </c>
      <c r="V48">
        <f>HYPERLINK("https://klasma.github.io/Logging_0360/artfynd/A 23133-2026 artfynd.xlsx", "A 23133-2026")</f>
        <v/>
      </c>
      <c r="W48">
        <f>HYPERLINK("https://klasma.github.io/Logging_0360/kartor/A 23133-2026 karta.png", "A 23133-2026")</f>
        <v/>
      </c>
      <c r="Y48">
        <f>HYPERLINK("https://klasma.github.io/Logging_0360/klagomål/A 23133-2026 FSC-klagomål.docx", "A 23133-2026")</f>
        <v/>
      </c>
      <c r="Z48">
        <f>HYPERLINK("https://klasma.github.io/Logging_0360/klagomålsmail/A 23133-2026 FSC-klagomål mail.docx", "A 23133-2026")</f>
        <v/>
      </c>
      <c r="AA48">
        <f>HYPERLINK("https://klasma.github.io/Logging_0360/tillsyn/A 23133-2026 tillsynsbegäran.docx", "A 23133-2026")</f>
        <v/>
      </c>
      <c r="AB48">
        <f>HYPERLINK("https://klasma.github.io/Logging_0360/tillsynsmail/A 23133-2026 tillsynsbegäran mail.docx", "A 23133-2026")</f>
        <v/>
      </c>
    </row>
    <row r="49" ht="15" customHeight="1">
      <c r="A49" t="inlineStr">
        <is>
          <t>S 491-2022</t>
        </is>
      </c>
      <c r="B49" t="inlineStr">
        <is>
          <t>samrådsanmälan</t>
        </is>
      </c>
      <c r="C49" t="inlineStr">
        <is>
          <t>Skogsgödsling</t>
        </is>
      </c>
      <c r="D49" s="1" t="n">
        <v>44587</v>
      </c>
      <c r="E49" s="1" t="n">
        <v>46216</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46216</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s="2" t="inlineStr">
        <is>
          <t>Skogsknipprot
Tibast
Blåsippa</t>
        </is>
      </c>
      <c r="V50">
        <f>HYPERLINK("https://klasma.github.io/Logging_0360/artfynd/A 15592-2022 artfynd.xlsx", "A 15592-2022")</f>
        <v/>
      </c>
      <c r="W50">
        <f>HYPERLINK("https://klasma.github.io/Logging_0360/kartor/A 15592-2022 karta.png", "A 15592-2022")</f>
        <v/>
      </c>
      <c r="Y50">
        <f>HYPERLINK("https://klasma.github.io/Logging_0360/klagomål/A 15592-2022 FSC-klagomål.docx", "A 15592-2022")</f>
        <v/>
      </c>
      <c r="Z50">
        <f>HYPERLINK("https://klasma.github.io/Logging_0360/klagomålsmail/A 15592-2022 FSC-klagomål mail.docx", "A 15592-2022")</f>
        <v/>
      </c>
      <c r="AA50">
        <f>HYPERLINK("https://klasma.github.io/Logging_0360/tillsyn/A 15592-2022 tillsynsbegäran.docx", "A 15592-2022")</f>
        <v/>
      </c>
      <c r="AB50">
        <f>HYPERLINK("https://klasma.github.io/Logging_0360/tillsynsmail/A 15592-2022 tillsynsbegäran mail.docx", "A 15592-2022")</f>
        <v/>
      </c>
    </row>
    <row r="51" ht="15" customHeight="1">
      <c r="A51" t="inlineStr">
        <is>
          <t>A 42363-2025</t>
        </is>
      </c>
      <c r="B51" t="inlineStr">
        <is>
          <t>avverkningsanmälan</t>
        </is>
      </c>
      <c r="C51" t="inlineStr">
        <is>
          <t>Föryngringsavverkning</t>
        </is>
      </c>
      <c r="D51" s="1" t="n">
        <v>45905</v>
      </c>
      <c r="E51" s="1" t="n">
        <v>46216</v>
      </c>
      <c r="F51" t="inlineStr">
        <is>
          <t>UPPSALA LÄN</t>
        </is>
      </c>
      <c r="G51" t="inlineStr">
        <is>
          <t>TIERP</t>
        </is>
      </c>
      <c r="I51" t="n">
        <v>8.4</v>
      </c>
      <c r="J51" t="n">
        <v>1</v>
      </c>
      <c r="K51" t="n">
        <v>0</v>
      </c>
      <c r="L51" t="n">
        <v>2</v>
      </c>
      <c r="M51" t="n">
        <v>0</v>
      </c>
      <c r="N51" t="n">
        <v>0</v>
      </c>
      <c r="O51" t="n">
        <v>0</v>
      </c>
      <c r="P51" t="n">
        <v>0</v>
      </c>
      <c r="Q51" t="n">
        <v>2</v>
      </c>
      <c r="R51" t="n">
        <v>0</v>
      </c>
      <c r="S51" t="n">
        <v>3</v>
      </c>
      <c r="T51" t="n">
        <v>4</v>
      </c>
      <c r="U51" s="2" t="inlineStr">
        <is>
          <t>Rynkskinn
Ullticka
Spillkråka</t>
        </is>
      </c>
      <c r="V51">
        <f>HYPERLINK("https://klasma.github.io/Logging_0360/artfynd/A 42363-2025 artfynd.xlsx", "A 42363-2025")</f>
        <v/>
      </c>
      <c r="W51">
        <f>HYPERLINK("https://klasma.github.io/Logging_0360/kartor/A 42363-2025 karta.png", "A 42363-2025")</f>
        <v/>
      </c>
      <c r="Y51">
        <f>HYPERLINK("https://klasma.github.io/Logging_0360/klagomål/A 42363-2025 FSC-klagomål.docx", "A 42363-2025")</f>
        <v/>
      </c>
      <c r="Z51">
        <f>HYPERLINK("https://klasma.github.io/Logging_0360/klagomålsmail/A 42363-2025 FSC-klagomål mail.docx", "A 42363-2025")</f>
        <v/>
      </c>
      <c r="AA51">
        <f>HYPERLINK("https://klasma.github.io/Logging_0360/tillsyn/A 42363-2025 tillsynsbegäran.docx", "A 42363-2025")</f>
        <v/>
      </c>
      <c r="AB51">
        <f>HYPERLINK("https://klasma.github.io/Logging_0360/tillsynsmail/A 42363-2025 tillsynsbegäran mail.docx", "A 42363-2025")</f>
        <v/>
      </c>
      <c r="AC51">
        <f>HYPERLINK("https://klasma.github.io/Logging_0360/fåglar/A 42363-2025 prioriterade fågelarter.docx", "A 42363-2025")</f>
        <v/>
      </c>
    </row>
    <row r="52" ht="15" customHeight="1">
      <c r="A52" t="inlineStr">
        <is>
          <t>A 1117-2026</t>
        </is>
      </c>
      <c r="B52" t="inlineStr">
        <is>
          <t>avverkningsanmälan</t>
        </is>
      </c>
      <c r="C52" t="inlineStr">
        <is>
          <t>Föryngringsavverkning</t>
        </is>
      </c>
      <c r="D52" s="1" t="n">
        <v>46029</v>
      </c>
      <c r="E52" s="1" t="n">
        <v>46216</v>
      </c>
      <c r="F52" t="inlineStr">
        <is>
          <t>UPPSALA LÄN</t>
        </is>
      </c>
      <c r="G52" t="inlineStr">
        <is>
          <t>TIERP</t>
        </is>
      </c>
      <c r="H52" t="inlineStr">
        <is>
          <t>Naturvårdsverket</t>
        </is>
      </c>
      <c r="I52" t="n">
        <v>2.8</v>
      </c>
      <c r="J52" t="n">
        <v>1</v>
      </c>
      <c r="K52" t="n">
        <v>1</v>
      </c>
      <c r="L52" t="n">
        <v>0</v>
      </c>
      <c r="M52" t="n">
        <v>1</v>
      </c>
      <c r="N52" t="n">
        <v>0</v>
      </c>
      <c r="O52" t="n">
        <v>0</v>
      </c>
      <c r="P52" t="n">
        <v>0</v>
      </c>
      <c r="Q52" t="n">
        <v>1</v>
      </c>
      <c r="R52" t="n">
        <v>1</v>
      </c>
      <c r="S52" t="n">
        <v>3</v>
      </c>
      <c r="T52" t="n">
        <v>3</v>
      </c>
      <c r="U52" s="2" t="inlineStr">
        <is>
          <t>Garnlav
Stor aspticka
Blåsippa</t>
        </is>
      </c>
      <c r="V52">
        <f>HYPERLINK("https://klasma.github.io/Logging_0360/artfynd/A 1117-2026 artfynd.xlsx", "A 1117-2026")</f>
        <v/>
      </c>
      <c r="W52">
        <f>HYPERLINK("https://klasma.github.io/Logging_0360/kartor/A 1117-2026 karta.png", "A 1117-2026")</f>
        <v/>
      </c>
      <c r="Y52">
        <f>HYPERLINK("https://klasma.github.io/Logging_0360/klagomål/A 1117-2026 FSC-klagomål.docx", "A 1117-2026")</f>
        <v/>
      </c>
      <c r="Z52">
        <f>HYPERLINK("https://klasma.github.io/Logging_0360/klagomålsmail/A 1117-2026 FSC-klagomål mail.docx", "A 1117-2026")</f>
        <v/>
      </c>
      <c r="AA52">
        <f>HYPERLINK("https://klasma.github.io/Logging_0360/tillsyn/A 1117-2026 tillsynsbegäran.docx", "A 1117-2026")</f>
        <v/>
      </c>
      <c r="AB52">
        <f>HYPERLINK("https://klasma.github.io/Logging_0360/tillsynsmail/A 1117-2026 tillsynsbegäran mail.docx", "A 1117-2026")</f>
        <v/>
      </c>
    </row>
    <row r="53" ht="15" customHeight="1">
      <c r="A53" t="inlineStr">
        <is>
          <t>A 1105-2026</t>
        </is>
      </c>
      <c r="B53" t="inlineStr">
        <is>
          <t>avverkningsanmälan</t>
        </is>
      </c>
      <c r="C53" t="inlineStr">
        <is>
          <t>Föryngringsavverkning</t>
        </is>
      </c>
      <c r="D53" s="1" t="n">
        <v>46029</v>
      </c>
      <c r="E53" s="1" t="n">
        <v>46216</v>
      </c>
      <c r="F53" t="inlineStr">
        <is>
          <t>UPPSALA LÄN</t>
        </is>
      </c>
      <c r="G53" t="inlineStr">
        <is>
          <t>TIERP</t>
        </is>
      </c>
      <c r="H53" t="inlineStr">
        <is>
          <t>Naturvårdsverket</t>
        </is>
      </c>
      <c r="I53" t="n">
        <v>2</v>
      </c>
      <c r="J53" t="n">
        <v>0</v>
      </c>
      <c r="K53" t="n">
        <v>2</v>
      </c>
      <c r="L53" t="n">
        <v>1</v>
      </c>
      <c r="M53" t="n">
        <v>0</v>
      </c>
      <c r="N53" t="n">
        <v>0</v>
      </c>
      <c r="O53" t="n">
        <v>0</v>
      </c>
      <c r="P53" t="n">
        <v>0</v>
      </c>
      <c r="Q53" t="n">
        <v>1</v>
      </c>
      <c r="R53" t="n">
        <v>0</v>
      </c>
      <c r="S53" t="n">
        <v>3</v>
      </c>
      <c r="T53" t="n">
        <v>4</v>
      </c>
      <c r="U53" s="2" t="inlineStr">
        <is>
          <t>Vedtrappmossa
Granbräken
Tibast</t>
        </is>
      </c>
      <c r="V53">
        <f>HYPERLINK("https://klasma.github.io/Logging_0360/artfynd/A 1105-2026 artfynd.xlsx", "A 1105-2026")</f>
        <v/>
      </c>
      <c r="W53">
        <f>HYPERLINK("https://klasma.github.io/Logging_0360/kartor/A 1105-2026 karta.png", "A 1105-2026")</f>
        <v/>
      </c>
      <c r="Y53">
        <f>HYPERLINK("https://klasma.github.io/Logging_0360/klagomål/A 1105-2026 FSC-klagomål.docx", "A 1105-2026")</f>
        <v/>
      </c>
      <c r="Z53">
        <f>HYPERLINK("https://klasma.github.io/Logging_0360/klagomålsmail/A 1105-2026 FSC-klagomål mail.docx", "A 1105-2026")</f>
        <v/>
      </c>
      <c r="AA53">
        <f>HYPERLINK("https://klasma.github.io/Logging_0360/tillsyn/A 1105-2026 tillsynsbegäran.docx", "A 1105-2026")</f>
        <v/>
      </c>
      <c r="AB53">
        <f>HYPERLINK("https://klasma.github.io/Logging_0360/tillsynsmail/A 1105-2026 tillsynsbegäran mail.docx", "A 1105-2026")</f>
        <v/>
      </c>
    </row>
    <row r="54" ht="15" customHeight="1">
      <c r="A54" t="inlineStr">
        <is>
          <t>A 9493-2026</t>
        </is>
      </c>
      <c r="B54" t="inlineStr">
        <is>
          <t>avverkningsanmälan</t>
        </is>
      </c>
      <c r="C54" t="inlineStr">
        <is>
          <t>Föryngringsavverkning</t>
        </is>
      </c>
      <c r="D54" s="1" t="n">
        <v>46071</v>
      </c>
      <c r="E54" s="1" t="n">
        <v>46216</v>
      </c>
      <c r="F54" t="inlineStr">
        <is>
          <t>UPPSALA LÄN</t>
        </is>
      </c>
      <c r="G54" t="inlineStr">
        <is>
          <t>TIERP</t>
        </is>
      </c>
      <c r="I54" t="n">
        <v>4.5</v>
      </c>
      <c r="J54" t="n">
        <v>2</v>
      </c>
      <c r="K54" t="n">
        <v>0</v>
      </c>
      <c r="L54" t="n">
        <v>1</v>
      </c>
      <c r="M54" t="n">
        <v>0</v>
      </c>
      <c r="N54" t="n">
        <v>0</v>
      </c>
      <c r="O54" t="n">
        <v>0</v>
      </c>
      <c r="P54" t="n">
        <v>0</v>
      </c>
      <c r="Q54" t="n">
        <v>1</v>
      </c>
      <c r="R54" t="n">
        <v>0</v>
      </c>
      <c r="S54" t="n">
        <v>3</v>
      </c>
      <c r="T54" t="n">
        <v>7</v>
      </c>
      <c r="U54" s="2" t="inlineStr">
        <is>
          <t>Klasefibbla
Fläcknycklar
Ängsnycklar</t>
        </is>
      </c>
      <c r="V54">
        <f>HYPERLINK("https://klasma.github.io/Logging_0360/artfynd/A 9493-2026 artfynd.xlsx", "A 9493-2026")</f>
        <v/>
      </c>
      <c r="W54">
        <f>HYPERLINK("https://klasma.github.io/Logging_0360/kartor/A 9493-2026 karta.png", "A 9493-2026")</f>
        <v/>
      </c>
      <c r="Y54">
        <f>HYPERLINK("https://klasma.github.io/Logging_0360/klagomål/A 9493-2026 FSC-klagomål.docx", "A 9493-2026")</f>
        <v/>
      </c>
      <c r="Z54">
        <f>HYPERLINK("https://klasma.github.io/Logging_0360/klagomålsmail/A 9493-2026 FSC-klagomål mail.docx", "A 9493-2026")</f>
        <v/>
      </c>
      <c r="AA54">
        <f>HYPERLINK("https://klasma.github.io/Logging_0360/tillsyn/A 9493-2026 tillsynsbegäran.docx", "A 9493-2026")</f>
        <v/>
      </c>
      <c r="AB54">
        <f>HYPERLINK("https://klasma.github.io/Logging_0360/tillsynsmail/A 9493-2026 tillsynsbegäran mail.docx", "A 9493-2026")</f>
        <v/>
      </c>
    </row>
    <row r="55" ht="15" customHeight="1">
      <c r="A55" t="inlineStr">
        <is>
          <t>A 54835-2025</t>
        </is>
      </c>
      <c r="B55" t="inlineStr">
        <is>
          <t>avverkningsanmälan</t>
        </is>
      </c>
      <c r="C55" t="inlineStr">
        <is>
          <t>Föryngringsavverkning</t>
        </is>
      </c>
      <c r="D55" s="1" t="n">
        <v>45966</v>
      </c>
      <c r="E55" s="1" t="n">
        <v>46216</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s="2" t="inlineStr">
        <is>
          <t>Knärot
Spillkråka
Tjäder</t>
        </is>
      </c>
      <c r="V55">
        <f>HYPERLINK("https://klasma.github.io/Logging_0360/artfynd/A 54835-2025 artfynd.xlsx", "A 54835-2025")</f>
        <v/>
      </c>
      <c r="W55">
        <f>HYPERLINK("https://klasma.github.io/Logging_0360/kartor/A 54835-2025 karta.png", "A 54835-2025")</f>
        <v/>
      </c>
      <c r="X55">
        <f>HYPERLINK("https://klasma.github.io/Logging_0360/knärot/A 54835-2025 karta knärot.png", "A 54835-2025")</f>
        <v/>
      </c>
      <c r="Y55">
        <f>HYPERLINK("https://klasma.github.io/Logging_0360/klagomål/A 54835-2025 FSC-klagomål.docx", "A 54835-2025")</f>
        <v/>
      </c>
      <c r="Z55">
        <f>HYPERLINK("https://klasma.github.io/Logging_0360/klagomålsmail/A 54835-2025 FSC-klagomål mail.docx", "A 54835-2025")</f>
        <v/>
      </c>
      <c r="AA55">
        <f>HYPERLINK("https://klasma.github.io/Logging_0360/tillsyn/A 54835-2025 tillsynsbegäran.docx", "A 54835-2025")</f>
        <v/>
      </c>
      <c r="AB55">
        <f>HYPERLINK("https://klasma.github.io/Logging_0360/tillsynsmail/A 54835-2025 tillsynsbegäran mail.docx", "A 54835-2025")</f>
        <v/>
      </c>
      <c r="AC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46216</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s="2" t="inlineStr">
        <is>
          <t>Garnlav
Flagellkvastmossa
Vågbandad barkbock</t>
        </is>
      </c>
      <c r="V56">
        <f>HYPERLINK("https://klasma.github.io/Logging_0360/artfynd/A 54537-2025 artfynd.xlsx", "A 54537-2025")</f>
        <v/>
      </c>
      <c r="W56">
        <f>HYPERLINK("https://klasma.github.io/Logging_0360/kartor/A 54537-2025 karta.png", "A 54537-2025")</f>
        <v/>
      </c>
      <c r="Y56">
        <f>HYPERLINK("https://klasma.github.io/Logging_0360/klagomål/A 54537-2025 FSC-klagomål.docx", "A 54537-2025")</f>
        <v/>
      </c>
      <c r="Z56">
        <f>HYPERLINK("https://klasma.github.io/Logging_0360/klagomålsmail/A 54537-2025 FSC-klagomål mail.docx", "A 54537-2025")</f>
        <v/>
      </c>
      <c r="AA56">
        <f>HYPERLINK("https://klasma.github.io/Logging_0360/tillsyn/A 54537-2025 tillsynsbegäran.docx", "A 54537-2025")</f>
        <v/>
      </c>
      <c r="AB56">
        <f>HYPERLINK("https://klasma.github.io/Logging_0360/tillsynsmail/A 54537-2025 tillsynsbegäran mail.docx", "A 54537-2025")</f>
        <v/>
      </c>
    </row>
    <row r="57" ht="15" customHeight="1">
      <c r="A57" t="inlineStr">
        <is>
          <t>A 140-2024</t>
        </is>
      </c>
      <c r="B57" t="inlineStr">
        <is>
          <t>avverkningsanmälan</t>
        </is>
      </c>
      <c r="C57" t="inlineStr">
        <is>
          <t>Föryngringsavverkning</t>
        </is>
      </c>
      <c r="D57" s="1" t="n">
        <v>45294</v>
      </c>
      <c r="E57" s="1" t="n">
        <v>46216</v>
      </c>
      <c r="F57" t="inlineStr">
        <is>
          <t>UPPSALA LÄN</t>
        </is>
      </c>
      <c r="G57" t="inlineStr">
        <is>
          <t>TIERP</t>
        </is>
      </c>
      <c r="I57" t="n">
        <v>2.9</v>
      </c>
      <c r="J57" t="n">
        <v>3</v>
      </c>
      <c r="K57" t="n">
        <v>0</v>
      </c>
      <c r="L57" t="n">
        <v>1</v>
      </c>
      <c r="M57" t="n">
        <v>0</v>
      </c>
      <c r="N57" t="n">
        <v>0</v>
      </c>
      <c r="O57" t="n">
        <v>0</v>
      </c>
      <c r="P57" t="n">
        <v>0</v>
      </c>
      <c r="Q57" t="n">
        <v>1</v>
      </c>
      <c r="R57" t="n">
        <v>0</v>
      </c>
      <c r="S57" t="n">
        <v>3</v>
      </c>
      <c r="T57" t="n">
        <v>4</v>
      </c>
      <c r="U57" s="2" t="inlineStr">
        <is>
          <t>Gulsparv
Kungsfågel
Ärtsångare</t>
        </is>
      </c>
      <c r="V57">
        <f>HYPERLINK("https://klasma.github.io/Logging_0360/artfynd/A 140-2024 artfynd.xlsx", "A 140-2024")</f>
        <v/>
      </c>
      <c r="W57">
        <f>HYPERLINK("https://klasma.github.io/Logging_0360/kartor/A 140-2024 karta.png", "A 140-2024")</f>
        <v/>
      </c>
      <c r="Y57">
        <f>HYPERLINK("https://klasma.github.io/Logging_0360/klagomål/A 140-2024 FSC-klagomål.docx", "A 140-2024")</f>
        <v/>
      </c>
      <c r="Z57">
        <f>HYPERLINK("https://klasma.github.io/Logging_0360/klagomålsmail/A 140-2024 FSC-klagomål mail.docx", "A 140-2024")</f>
        <v/>
      </c>
      <c r="AA57">
        <f>HYPERLINK("https://klasma.github.io/Logging_0360/tillsyn/A 140-2024 tillsynsbegäran.docx", "A 140-2024")</f>
        <v/>
      </c>
      <c r="AB57">
        <f>HYPERLINK("https://klasma.github.io/Logging_0360/tillsynsmail/A 140-2024 tillsynsbegäran mail.docx", "A 140-2024")</f>
        <v/>
      </c>
      <c r="AC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46216</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s="2" t="inlineStr">
        <is>
          <t>Fjällig taggsvamp s.str.
Vedticka
Kungsfågel</t>
        </is>
      </c>
      <c r="V58">
        <f>HYPERLINK("https://klasma.github.io/Logging_0360/artfynd/A 34979-2023 artfynd.xlsx", "A 34979-2023")</f>
        <v/>
      </c>
      <c r="W58">
        <f>HYPERLINK("https://klasma.github.io/Logging_0360/kartor/A 34979-2023 karta.png", "A 34979-2023")</f>
        <v/>
      </c>
      <c r="Y58">
        <f>HYPERLINK("https://klasma.github.io/Logging_0360/klagomål/A 34979-2023 FSC-klagomål.docx", "A 34979-2023")</f>
        <v/>
      </c>
      <c r="Z58">
        <f>HYPERLINK("https://klasma.github.io/Logging_0360/klagomålsmail/A 34979-2023 FSC-klagomål mail.docx", "A 34979-2023")</f>
        <v/>
      </c>
      <c r="AA58">
        <f>HYPERLINK("https://klasma.github.io/Logging_0360/tillsyn/A 34979-2023 tillsynsbegäran.docx", "A 34979-2023")</f>
        <v/>
      </c>
      <c r="AB58">
        <f>HYPERLINK("https://klasma.github.io/Logging_0360/tillsynsmail/A 34979-2023 tillsynsbegäran mail.docx", "A 34979-2023")</f>
        <v/>
      </c>
    </row>
    <row r="59" ht="15" customHeight="1">
      <c r="A59" t="inlineStr">
        <is>
          <t>A 14635-2026</t>
        </is>
      </c>
      <c r="B59" t="inlineStr">
        <is>
          <t>avverkningsanmälan</t>
        </is>
      </c>
      <c r="C59" t="inlineStr">
        <is>
          <t>Föryngringsavverkning</t>
        </is>
      </c>
      <c r="D59" s="1" t="n">
        <v>46101</v>
      </c>
      <c r="E59" s="1" t="n">
        <v>46216</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s="2" t="inlineStr">
        <is>
          <t>Gulsparv
Tvåblad
Ängsnycklar</t>
        </is>
      </c>
      <c r="V59">
        <f>HYPERLINK("https://klasma.github.io/Logging_0360/artfynd/A 14635-2026 artfynd.xlsx", "A 14635-2026")</f>
        <v/>
      </c>
      <c r="W59">
        <f>HYPERLINK("https://klasma.github.io/Logging_0360/kartor/A 14635-2026 karta.png", "A 14635-2026")</f>
        <v/>
      </c>
      <c r="Y59">
        <f>HYPERLINK("https://klasma.github.io/Logging_0360/klagomål/A 14635-2026 FSC-klagomål.docx", "A 14635-2026")</f>
        <v/>
      </c>
      <c r="Z59">
        <f>HYPERLINK("https://klasma.github.io/Logging_0360/klagomålsmail/A 14635-2026 FSC-klagomål mail.docx", "A 14635-2026")</f>
        <v/>
      </c>
      <c r="AA59">
        <f>HYPERLINK("https://klasma.github.io/Logging_0360/tillsyn/A 14635-2026 tillsynsbegäran.docx", "A 14635-2026")</f>
        <v/>
      </c>
      <c r="AB59">
        <f>HYPERLINK("https://klasma.github.io/Logging_0360/tillsynsmail/A 14635-2026 tillsynsbegäran mail.docx", "A 14635-2026")</f>
        <v/>
      </c>
      <c r="AC59">
        <f>HYPERLINK("https://klasma.github.io/Logging_0360/fåglar/A 14635-2026 prioriterade fågelarter.docx", "A 14635-2026")</f>
        <v/>
      </c>
    </row>
    <row r="60" ht="15" customHeight="1">
      <c r="A60" t="inlineStr">
        <is>
          <t>A 38151-2023</t>
        </is>
      </c>
      <c r="B60" t="inlineStr">
        <is>
          <t>avverkningsanmälan</t>
        </is>
      </c>
      <c r="C60" t="inlineStr">
        <is>
          <t>Föryngringsavverkning</t>
        </is>
      </c>
      <c r="D60" s="1" t="n">
        <v>45160</v>
      </c>
      <c r="E60" s="1" t="n">
        <v>46216</v>
      </c>
      <c r="F60" t="inlineStr">
        <is>
          <t>UPPSALA LÄN</t>
        </is>
      </c>
      <c r="G60" t="inlineStr">
        <is>
          <t>TIERP</t>
        </is>
      </c>
      <c r="I60" t="n">
        <v>1.4</v>
      </c>
      <c r="J60" t="n">
        <v>3</v>
      </c>
      <c r="K60" t="n">
        <v>0</v>
      </c>
      <c r="L60" t="n">
        <v>1</v>
      </c>
      <c r="M60" t="n">
        <v>1</v>
      </c>
      <c r="N60" t="n">
        <v>0</v>
      </c>
      <c r="O60" t="n">
        <v>0</v>
      </c>
      <c r="P60" t="n">
        <v>0</v>
      </c>
      <c r="Q60" t="n">
        <v>2</v>
      </c>
      <c r="R60" t="n">
        <v>1</v>
      </c>
      <c r="S60" t="n">
        <v>3</v>
      </c>
      <c r="T60" t="n">
        <v>3</v>
      </c>
      <c r="U60" s="2" t="inlineStr">
        <is>
          <t>Tornseglare
Nötkråka
Grönsiska</t>
        </is>
      </c>
      <c r="V60">
        <f>HYPERLINK("https://klasma.github.io/Logging_0360/artfynd/A 38151-2023 artfynd.xlsx", "A 38151-2023")</f>
        <v/>
      </c>
      <c r="W60">
        <f>HYPERLINK("https://klasma.github.io/Logging_0360/kartor/A 38151-2023 karta.png", "A 38151-2023")</f>
        <v/>
      </c>
      <c r="Y60">
        <f>HYPERLINK("https://klasma.github.io/Logging_0360/klagomål/A 38151-2023 FSC-klagomål.docx", "A 38151-2023")</f>
        <v/>
      </c>
      <c r="Z60">
        <f>HYPERLINK("https://klasma.github.io/Logging_0360/klagomålsmail/A 38151-2023 FSC-klagomål mail.docx", "A 38151-2023")</f>
        <v/>
      </c>
      <c r="AA60">
        <f>HYPERLINK("https://klasma.github.io/Logging_0360/tillsyn/A 38151-2023 tillsynsbegäran.docx", "A 38151-2023")</f>
        <v/>
      </c>
      <c r="AB60">
        <f>HYPERLINK("https://klasma.github.io/Logging_0360/tillsynsmail/A 38151-2023 tillsynsbegäran mail.docx", "A 38151-2023")</f>
        <v/>
      </c>
      <c r="AC60">
        <f>HYPERLINK("https://klasma.github.io/Logging_0360/fåglar/A 38151-2023 prioriterade fågelarter.docx", "A 38151-2023")</f>
        <v/>
      </c>
    </row>
    <row r="61" ht="15" customHeight="1">
      <c r="A61" t="inlineStr">
        <is>
          <t>A 2332-2024</t>
        </is>
      </c>
      <c r="B61" t="inlineStr">
        <is>
          <t>avverkningsanmälan</t>
        </is>
      </c>
      <c r="C61" t="inlineStr">
        <is>
          <t>Föryngringsavverkning</t>
        </is>
      </c>
      <c r="D61" s="1" t="n">
        <v>45310</v>
      </c>
      <c r="E61" s="1" t="n">
        <v>46216</v>
      </c>
      <c r="F61" t="inlineStr">
        <is>
          <t>UPPSALA LÄN</t>
        </is>
      </c>
      <c r="G61" t="inlineStr">
        <is>
          <t>TIERP</t>
        </is>
      </c>
      <c r="I61" t="n">
        <v>3.7</v>
      </c>
      <c r="J61" t="n">
        <v>3</v>
      </c>
      <c r="K61" t="n">
        <v>0</v>
      </c>
      <c r="L61" t="n">
        <v>1</v>
      </c>
      <c r="M61" t="n">
        <v>0</v>
      </c>
      <c r="N61" t="n">
        <v>0</v>
      </c>
      <c r="O61" t="n">
        <v>0</v>
      </c>
      <c r="P61" t="n">
        <v>0</v>
      </c>
      <c r="Q61" t="n">
        <v>1</v>
      </c>
      <c r="R61" t="n">
        <v>0</v>
      </c>
      <c r="S61" t="n">
        <v>3</v>
      </c>
      <c r="T61" t="n">
        <v>3</v>
      </c>
      <c r="U61" s="2" t="inlineStr">
        <is>
          <t>Talltita
Grönsiska
Kungsfågel</t>
        </is>
      </c>
      <c r="V61">
        <f>HYPERLINK("https://klasma.github.io/Logging_0360/artfynd/A 2332-2024 artfynd.xlsx", "A 2332-2024")</f>
        <v/>
      </c>
      <c r="W61">
        <f>HYPERLINK("https://klasma.github.io/Logging_0360/kartor/A 2332-2024 karta.png", "A 2332-2024")</f>
        <v/>
      </c>
      <c r="Y61">
        <f>HYPERLINK("https://klasma.github.io/Logging_0360/klagomål/A 2332-2024 FSC-klagomål.docx", "A 2332-2024")</f>
        <v/>
      </c>
      <c r="Z61">
        <f>HYPERLINK("https://klasma.github.io/Logging_0360/klagomålsmail/A 2332-2024 FSC-klagomål mail.docx", "A 2332-2024")</f>
        <v/>
      </c>
      <c r="AA61">
        <f>HYPERLINK("https://klasma.github.io/Logging_0360/tillsyn/A 2332-2024 tillsynsbegäran.docx", "A 2332-2024")</f>
        <v/>
      </c>
      <c r="AB61">
        <f>HYPERLINK("https://klasma.github.io/Logging_0360/tillsynsmail/A 2332-2024 tillsynsbegäran mail.docx", "A 2332-2024")</f>
        <v/>
      </c>
      <c r="AC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46216</v>
      </c>
      <c r="F62" t="inlineStr">
        <is>
          <t>UPPSALA LÄN</t>
        </is>
      </c>
      <c r="G62" t="inlineStr">
        <is>
          <t>TIERP</t>
        </is>
      </c>
      <c r="I62" t="n">
        <v>0.5</v>
      </c>
      <c r="J62" t="n">
        <v>0</v>
      </c>
      <c r="K62" t="n">
        <v>1</v>
      </c>
      <c r="L62" t="n">
        <v>0</v>
      </c>
      <c r="M62" t="n">
        <v>1</v>
      </c>
      <c r="N62" t="n">
        <v>1</v>
      </c>
      <c r="O62" t="n">
        <v>0</v>
      </c>
      <c r="P62" t="n">
        <v>0</v>
      </c>
      <c r="Q62" t="n">
        <v>2</v>
      </c>
      <c r="R62" t="n">
        <v>2</v>
      </c>
      <c r="S62" t="n">
        <v>3</v>
      </c>
      <c r="T62" t="n">
        <v>4</v>
      </c>
      <c r="U62" s="2" t="inlineStr">
        <is>
          <t>Violgubbe
Gul taggsvamp
Rödgul trumpetsvamp</t>
        </is>
      </c>
      <c r="V62">
        <f>HYPERLINK("https://klasma.github.io/Logging_0360/artfynd/A 25013-2025 artfynd.xlsx", "A 25013-2025")</f>
        <v/>
      </c>
      <c r="W62">
        <f>HYPERLINK("https://klasma.github.io/Logging_0360/kartor/A 25013-2025 karta.png", "A 25013-2025")</f>
        <v/>
      </c>
      <c r="Y62">
        <f>HYPERLINK("https://klasma.github.io/Logging_0360/klagomål/A 25013-2025 FSC-klagomål.docx", "A 25013-2025")</f>
        <v/>
      </c>
      <c r="Z62">
        <f>HYPERLINK("https://klasma.github.io/Logging_0360/klagomålsmail/A 25013-2025 FSC-klagomål mail.docx", "A 25013-2025")</f>
        <v/>
      </c>
      <c r="AA62">
        <f>HYPERLINK("https://klasma.github.io/Logging_0360/tillsyn/A 25013-2025 tillsynsbegäran.docx", "A 25013-2025")</f>
        <v/>
      </c>
      <c r="AB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46216</v>
      </c>
      <c r="F63" t="inlineStr">
        <is>
          <t>UPPSALA LÄN</t>
        </is>
      </c>
      <c r="G63" t="inlineStr">
        <is>
          <t>TIERP</t>
        </is>
      </c>
      <c r="I63" t="n">
        <v>7.2</v>
      </c>
      <c r="J63" t="n">
        <v>1</v>
      </c>
      <c r="K63" t="n">
        <v>2</v>
      </c>
      <c r="L63" t="n">
        <v>0</v>
      </c>
      <c r="M63" t="n">
        <v>0</v>
      </c>
      <c r="N63" t="n">
        <v>0</v>
      </c>
      <c r="O63" t="n">
        <v>0</v>
      </c>
      <c r="P63" t="n">
        <v>0</v>
      </c>
      <c r="Q63" t="n">
        <v>0</v>
      </c>
      <c r="R63" t="n">
        <v>0</v>
      </c>
      <c r="S63" t="n">
        <v>2</v>
      </c>
      <c r="T63" t="n">
        <v>2</v>
      </c>
      <c r="U63" s="2" t="inlineStr">
        <is>
          <t>Granbräken
Grönkulla</t>
        </is>
      </c>
      <c r="V63">
        <f>HYPERLINK("https://klasma.github.io/Logging_0360/artfynd/A 15040-2024 artfynd.xlsx", "A 15040-2024")</f>
        <v/>
      </c>
      <c r="W63">
        <f>HYPERLINK("https://klasma.github.io/Logging_0360/kartor/A 15040-2024 karta.png", "A 15040-2024")</f>
        <v/>
      </c>
      <c r="Y63">
        <f>HYPERLINK("https://klasma.github.io/Logging_0360/klagomål/A 15040-2024 FSC-klagomål.docx", "A 15040-2024")</f>
        <v/>
      </c>
      <c r="Z63">
        <f>HYPERLINK("https://klasma.github.io/Logging_0360/klagomålsmail/A 15040-2024 FSC-klagomål mail.docx", "A 15040-2024")</f>
        <v/>
      </c>
      <c r="AA63">
        <f>HYPERLINK("https://klasma.github.io/Logging_0360/tillsyn/A 15040-2024 tillsynsbegäran.docx", "A 15040-2024")</f>
        <v/>
      </c>
      <c r="AB63">
        <f>HYPERLINK("https://klasma.github.io/Logging_0360/tillsynsmail/A 15040-2024 tillsynsbegäran mail.docx", "A 15040-2024")</f>
        <v/>
      </c>
    </row>
    <row r="64" ht="15" customHeight="1">
      <c r="A64" t="inlineStr">
        <is>
          <t>A 28223-2025</t>
        </is>
      </c>
      <c r="B64" t="inlineStr">
        <is>
          <t>avverkningsanmälan</t>
        </is>
      </c>
      <c r="C64" t="inlineStr">
        <is>
          <t>Föryngringsavverkning</t>
        </is>
      </c>
      <c r="D64" s="1" t="n">
        <v>45818</v>
      </c>
      <c r="E64" s="1" t="n">
        <v>46216</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s="2" t="inlineStr">
        <is>
          <t>Rödvingetrast
Vårärt</t>
        </is>
      </c>
      <c r="V64">
        <f>HYPERLINK("https://klasma.github.io/Logging_0360/artfynd/A 28223-2025 artfynd.xlsx", "A 28223-2025")</f>
        <v/>
      </c>
      <c r="W64">
        <f>HYPERLINK("https://klasma.github.io/Logging_0360/kartor/A 28223-2025 karta.png", "A 28223-2025")</f>
        <v/>
      </c>
      <c r="Y64">
        <f>HYPERLINK("https://klasma.github.io/Logging_0360/klagomål/A 28223-2025 FSC-klagomål.docx", "A 28223-2025")</f>
        <v/>
      </c>
      <c r="Z64">
        <f>HYPERLINK("https://klasma.github.io/Logging_0360/klagomålsmail/A 28223-2025 FSC-klagomål mail.docx", "A 28223-2025")</f>
        <v/>
      </c>
      <c r="AA64">
        <f>HYPERLINK("https://klasma.github.io/Logging_0360/tillsyn/A 28223-2025 tillsynsbegäran.docx", "A 28223-2025")</f>
        <v/>
      </c>
      <c r="AB64">
        <f>HYPERLINK("https://klasma.github.io/Logging_0360/tillsynsmail/A 28223-2025 tillsynsbegäran mail.docx", "A 28223-2025")</f>
        <v/>
      </c>
      <c r="AC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46216</v>
      </c>
      <c r="F65" t="inlineStr">
        <is>
          <t>UPPSALA LÄN</t>
        </is>
      </c>
      <c r="G65" t="inlineStr">
        <is>
          <t>TIERP</t>
        </is>
      </c>
      <c r="I65" t="n">
        <v>1</v>
      </c>
      <c r="J65" t="n">
        <v>0</v>
      </c>
      <c r="K65" t="n">
        <v>1</v>
      </c>
      <c r="L65" t="n">
        <v>0</v>
      </c>
      <c r="M65" t="n">
        <v>1</v>
      </c>
      <c r="N65" t="n">
        <v>0</v>
      </c>
      <c r="O65" t="n">
        <v>0</v>
      </c>
      <c r="P65" t="n">
        <v>0</v>
      </c>
      <c r="Q65" t="n">
        <v>1</v>
      </c>
      <c r="R65" t="n">
        <v>1</v>
      </c>
      <c r="S65" t="n">
        <v>2</v>
      </c>
      <c r="T65" t="n">
        <v>2</v>
      </c>
      <c r="U65" s="2" t="inlineStr">
        <is>
          <t>Duvspindling
Olivspindling</t>
        </is>
      </c>
      <c r="V65">
        <f>HYPERLINK("https://klasma.github.io/Logging_0360/artfynd/A 41699-2025 artfynd.xlsx", "A 41699-2025")</f>
        <v/>
      </c>
      <c r="W65">
        <f>HYPERLINK("https://klasma.github.io/Logging_0360/kartor/A 41699-2025 karta.png", "A 41699-2025")</f>
        <v/>
      </c>
      <c r="Y65">
        <f>HYPERLINK("https://klasma.github.io/Logging_0360/klagomål/A 41699-2025 FSC-klagomål.docx", "A 41699-2025")</f>
        <v/>
      </c>
      <c r="Z65">
        <f>HYPERLINK("https://klasma.github.io/Logging_0360/klagomålsmail/A 41699-2025 FSC-klagomål mail.docx", "A 41699-2025")</f>
        <v/>
      </c>
      <c r="AA65">
        <f>HYPERLINK("https://klasma.github.io/Logging_0360/tillsyn/A 41699-2025 tillsynsbegäran.docx", "A 41699-2025")</f>
        <v/>
      </c>
      <c r="AB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46216</v>
      </c>
      <c r="F66" t="inlineStr">
        <is>
          <t>UPPSALA LÄN</t>
        </is>
      </c>
      <c r="G66" t="inlineStr">
        <is>
          <t>TIERP</t>
        </is>
      </c>
      <c r="I66" t="n">
        <v>0.6</v>
      </c>
      <c r="J66" t="n">
        <v>2</v>
      </c>
      <c r="K66" t="n">
        <v>1</v>
      </c>
      <c r="L66" t="n">
        <v>0</v>
      </c>
      <c r="M66" t="n">
        <v>1</v>
      </c>
      <c r="N66" t="n">
        <v>0</v>
      </c>
      <c r="O66" t="n">
        <v>0</v>
      </c>
      <c r="P66" t="n">
        <v>0</v>
      </c>
      <c r="Q66" t="n">
        <v>1</v>
      </c>
      <c r="R66" t="n">
        <v>1</v>
      </c>
      <c r="S66" t="n">
        <v>2</v>
      </c>
      <c r="T66" t="n">
        <v>2</v>
      </c>
      <c r="U66" s="2" t="inlineStr">
        <is>
          <t>Gulyxne
Skogsknipprot</t>
        </is>
      </c>
      <c r="V66">
        <f>HYPERLINK("https://klasma.github.io/Logging_0360/artfynd/A 58107-2024 artfynd.xlsx", "A 58107-2024")</f>
        <v/>
      </c>
      <c r="W66">
        <f>HYPERLINK("https://klasma.github.io/Logging_0360/kartor/A 58107-2024 karta.png", "A 58107-2024")</f>
        <v/>
      </c>
      <c r="Y66">
        <f>HYPERLINK("https://klasma.github.io/Logging_0360/klagomål/A 58107-2024 FSC-klagomål.docx", "A 58107-2024")</f>
        <v/>
      </c>
      <c r="Z66">
        <f>HYPERLINK("https://klasma.github.io/Logging_0360/klagomålsmail/A 58107-2024 FSC-klagomål mail.docx", "A 58107-2024")</f>
        <v/>
      </c>
      <c r="AA66">
        <f>HYPERLINK("https://klasma.github.io/Logging_0360/tillsyn/A 58107-2024 tillsynsbegäran.docx", "A 58107-2024")</f>
        <v/>
      </c>
      <c r="AB66">
        <f>HYPERLINK("https://klasma.github.io/Logging_0360/tillsynsmail/A 58107-2024 tillsynsbegäran mail.docx", "A 58107-2024")</f>
        <v/>
      </c>
    </row>
    <row r="67" ht="15" customHeight="1">
      <c r="A67" t="inlineStr">
        <is>
          <t>A 34922-2025</t>
        </is>
      </c>
      <c r="B67" t="inlineStr">
        <is>
          <t>avverkningsanmälan</t>
        </is>
      </c>
      <c r="C67" t="inlineStr">
        <is>
          <t>Föryngringsavverkning</t>
        </is>
      </c>
      <c r="D67" s="1" t="n">
        <v>45849</v>
      </c>
      <c r="E67" s="1" t="n">
        <v>46216</v>
      </c>
      <c r="F67" t="inlineStr">
        <is>
          <t>UPPSALA LÄN</t>
        </is>
      </c>
      <c r="G67" t="inlineStr">
        <is>
          <t>TIERP</t>
        </is>
      </c>
      <c r="I67" t="n">
        <v>4.7</v>
      </c>
      <c r="J67" t="n">
        <v>1</v>
      </c>
      <c r="K67" t="n">
        <v>0</v>
      </c>
      <c r="L67" t="n">
        <v>1</v>
      </c>
      <c r="M67" t="n">
        <v>0</v>
      </c>
      <c r="N67" t="n">
        <v>0</v>
      </c>
      <c r="O67" t="n">
        <v>0</v>
      </c>
      <c r="P67" t="n">
        <v>0</v>
      </c>
      <c r="Q67" t="n">
        <v>1</v>
      </c>
      <c r="R67" t="n">
        <v>0</v>
      </c>
      <c r="S67" t="n">
        <v>2</v>
      </c>
      <c r="T67" t="n">
        <v>2</v>
      </c>
      <c r="U67" s="2" t="inlineStr">
        <is>
          <t>Blanksvart spiklav
Orre</t>
        </is>
      </c>
      <c r="V67">
        <f>HYPERLINK("https://klasma.github.io/Logging_0360/artfynd/A 34922-2025 artfynd.xlsx", "A 34922-2025")</f>
        <v/>
      </c>
      <c r="W67">
        <f>HYPERLINK("https://klasma.github.io/Logging_0360/kartor/A 34922-2025 karta.png", "A 34922-2025")</f>
        <v/>
      </c>
      <c r="Y67">
        <f>HYPERLINK("https://klasma.github.io/Logging_0360/klagomål/A 34922-2025 FSC-klagomål.docx", "A 34922-2025")</f>
        <v/>
      </c>
      <c r="Z67">
        <f>HYPERLINK("https://klasma.github.io/Logging_0360/klagomålsmail/A 34922-2025 FSC-klagomål mail.docx", "A 34922-2025")</f>
        <v/>
      </c>
      <c r="AA67">
        <f>HYPERLINK("https://klasma.github.io/Logging_0360/tillsyn/A 34922-2025 tillsynsbegäran.docx", "A 34922-2025")</f>
        <v/>
      </c>
      <c r="AB67">
        <f>HYPERLINK("https://klasma.github.io/Logging_0360/tillsynsmail/A 34922-2025 tillsynsbegäran mail.docx", "A 34922-2025")</f>
        <v/>
      </c>
      <c r="AC67">
        <f>HYPERLINK("https://klasma.github.io/Logging_0360/fåglar/A 34922-2025 prioriterade fågelarter.docx", "A 34922-2025")</f>
        <v/>
      </c>
    </row>
    <row r="68" ht="15" customHeight="1">
      <c r="A68" t="inlineStr">
        <is>
          <t>A 64540-2023</t>
        </is>
      </c>
      <c r="B68" t="inlineStr">
        <is>
          <t>avverkningsanmälan</t>
        </is>
      </c>
      <c r="C68" t="inlineStr">
        <is>
          <t>Föryngringsavverkning</t>
        </is>
      </c>
      <c r="D68" s="1" t="n">
        <v>45281</v>
      </c>
      <c r="E68" s="1" t="n">
        <v>46216</v>
      </c>
      <c r="F68" t="inlineStr">
        <is>
          <t>UPPSALA LÄN</t>
        </is>
      </c>
      <c r="G68" t="inlineStr">
        <is>
          <t>TIERP</t>
        </is>
      </c>
      <c r="I68" t="n">
        <v>2.3</v>
      </c>
      <c r="J68" t="n">
        <v>0</v>
      </c>
      <c r="K68" t="n">
        <v>1</v>
      </c>
      <c r="L68" t="n">
        <v>1</v>
      </c>
      <c r="M68" t="n">
        <v>0</v>
      </c>
      <c r="N68" t="n">
        <v>0</v>
      </c>
      <c r="O68" t="n">
        <v>0</v>
      </c>
      <c r="P68" t="n">
        <v>0</v>
      </c>
      <c r="Q68" t="n">
        <v>1</v>
      </c>
      <c r="R68" t="n">
        <v>0</v>
      </c>
      <c r="S68" t="n">
        <v>2</v>
      </c>
      <c r="T68" t="n">
        <v>2</v>
      </c>
      <c r="U68" s="2" t="inlineStr">
        <is>
          <t>Flattoppad klubbsvamp
Brandticka</t>
        </is>
      </c>
      <c r="V68">
        <f>HYPERLINK("https://klasma.github.io/Logging_0360/artfynd/A 64540-2023 artfynd.xlsx", "A 64540-2023")</f>
        <v/>
      </c>
      <c r="W68">
        <f>HYPERLINK("https://klasma.github.io/Logging_0360/kartor/A 64540-2023 karta.png", "A 64540-2023")</f>
        <v/>
      </c>
      <c r="Y68">
        <f>HYPERLINK("https://klasma.github.io/Logging_0360/klagomål/A 64540-2023 FSC-klagomål.docx", "A 64540-2023")</f>
        <v/>
      </c>
      <c r="Z68">
        <f>HYPERLINK("https://klasma.github.io/Logging_0360/klagomålsmail/A 64540-2023 FSC-klagomål mail.docx", "A 64540-2023")</f>
        <v/>
      </c>
      <c r="AA68">
        <f>HYPERLINK("https://klasma.github.io/Logging_0360/tillsyn/A 64540-2023 tillsynsbegäran.docx", "A 64540-2023")</f>
        <v/>
      </c>
      <c r="AB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46216</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s="2" t="inlineStr">
        <is>
          <t>Tjäder
Havsörn</t>
        </is>
      </c>
      <c r="V69">
        <f>HYPERLINK("https://klasma.github.io/Logging_0360/artfynd/A 52211-2025 artfynd.xlsx", "A 52211-2025")</f>
        <v/>
      </c>
      <c r="W69">
        <f>HYPERLINK("https://klasma.github.io/Logging_0360/kartor/A 52211-2025 karta.png", "A 52211-2025")</f>
        <v/>
      </c>
      <c r="Y69">
        <f>HYPERLINK("https://klasma.github.io/Logging_0360/klagomål/A 52211-2025 FSC-klagomål.docx", "A 52211-2025")</f>
        <v/>
      </c>
      <c r="Z69">
        <f>HYPERLINK("https://klasma.github.io/Logging_0360/klagomålsmail/A 52211-2025 FSC-klagomål mail.docx", "A 52211-2025")</f>
        <v/>
      </c>
      <c r="AA69">
        <f>HYPERLINK("https://klasma.github.io/Logging_0360/tillsyn/A 52211-2025 tillsynsbegäran.docx", "A 52211-2025")</f>
        <v/>
      </c>
      <c r="AB69">
        <f>HYPERLINK("https://klasma.github.io/Logging_0360/tillsynsmail/A 52211-2025 tillsynsbegäran mail.docx", "A 52211-2025")</f>
        <v/>
      </c>
      <c r="AC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46216</v>
      </c>
      <c r="F70" t="inlineStr">
        <is>
          <t>UPPSALA LÄN</t>
        </is>
      </c>
      <c r="G70" t="inlineStr">
        <is>
          <t>TIERP</t>
        </is>
      </c>
      <c r="I70" t="n">
        <v>11</v>
      </c>
      <c r="J70" t="n">
        <v>1</v>
      </c>
      <c r="K70" t="n">
        <v>0</v>
      </c>
      <c r="L70" t="n">
        <v>0</v>
      </c>
      <c r="M70" t="n">
        <v>0</v>
      </c>
      <c r="N70" t="n">
        <v>1</v>
      </c>
      <c r="O70" t="n">
        <v>0</v>
      </c>
      <c r="P70" t="n">
        <v>0</v>
      </c>
      <c r="Q70" t="n">
        <v>1</v>
      </c>
      <c r="R70" t="n">
        <v>1</v>
      </c>
      <c r="S70" t="n">
        <v>2</v>
      </c>
      <c r="T70" t="n">
        <v>2</v>
      </c>
      <c r="U70" s="2" t="inlineStr">
        <is>
          <t>Violgubbe
Tjäder</t>
        </is>
      </c>
      <c r="V70">
        <f>HYPERLINK("https://klasma.github.io/Logging_0360/artfynd/A 56972-2022 artfynd.xlsx", "A 56972-2022")</f>
        <v/>
      </c>
      <c r="W70">
        <f>HYPERLINK("https://klasma.github.io/Logging_0360/kartor/A 56972-2022 karta.png", "A 56972-2022")</f>
        <v/>
      </c>
      <c r="Y70">
        <f>HYPERLINK("https://klasma.github.io/Logging_0360/klagomål/A 56972-2022 FSC-klagomål.docx", "A 56972-2022")</f>
        <v/>
      </c>
      <c r="Z70">
        <f>HYPERLINK("https://klasma.github.io/Logging_0360/klagomålsmail/A 56972-2022 FSC-klagomål mail.docx", "A 56972-2022")</f>
        <v/>
      </c>
      <c r="AA70">
        <f>HYPERLINK("https://klasma.github.io/Logging_0360/tillsyn/A 56972-2022 tillsynsbegäran.docx", "A 56972-2022")</f>
        <v/>
      </c>
      <c r="AB70">
        <f>HYPERLINK("https://klasma.github.io/Logging_0360/tillsynsmail/A 56972-2022 tillsynsbegäran mail.docx", "A 56972-2022")</f>
        <v/>
      </c>
      <c r="AC70">
        <f>HYPERLINK("https://klasma.github.io/Logging_0360/fåglar/A 56972-2022 prioriterade fågelarter.docx", "A 56972-2022")</f>
        <v/>
      </c>
    </row>
    <row r="71" ht="15" customHeight="1">
      <c r="A71" t="inlineStr">
        <is>
          <t>A 54141-2025</t>
        </is>
      </c>
      <c r="B71" t="inlineStr">
        <is>
          <t>avverkningsanmälan</t>
        </is>
      </c>
      <c r="C71" t="inlineStr">
        <is>
          <t>Föryngringsavverkning</t>
        </is>
      </c>
      <c r="D71" s="1" t="n">
        <v>45964</v>
      </c>
      <c r="E71" s="1" t="n">
        <v>46216</v>
      </c>
      <c r="F71" t="inlineStr">
        <is>
          <t>UPPSALA LÄN</t>
        </is>
      </c>
      <c r="G71" t="inlineStr">
        <is>
          <t>TIERP</t>
        </is>
      </c>
      <c r="I71" t="n">
        <v>1.7</v>
      </c>
      <c r="J71" t="n">
        <v>0</v>
      </c>
      <c r="K71" t="n">
        <v>1</v>
      </c>
      <c r="L71" t="n">
        <v>0</v>
      </c>
      <c r="M71" t="n">
        <v>0</v>
      </c>
      <c r="N71" t="n">
        <v>1</v>
      </c>
      <c r="O71" t="n">
        <v>0</v>
      </c>
      <c r="P71" t="n">
        <v>0</v>
      </c>
      <c r="Q71" t="n">
        <v>1</v>
      </c>
      <c r="R71" t="n">
        <v>1</v>
      </c>
      <c r="S71" t="n">
        <v>2</v>
      </c>
      <c r="T71" t="n">
        <v>2</v>
      </c>
      <c r="U71" s="2" t="inlineStr">
        <is>
          <t>Violgubbe
Svart trolldruva</t>
        </is>
      </c>
      <c r="V71">
        <f>HYPERLINK("https://klasma.github.io/Logging_0360/artfynd/A 54141-2025 artfynd.xlsx", "A 54141-2025")</f>
        <v/>
      </c>
      <c r="W71">
        <f>HYPERLINK("https://klasma.github.io/Logging_0360/kartor/A 54141-2025 karta.png", "A 54141-2025")</f>
        <v/>
      </c>
      <c r="Y71">
        <f>HYPERLINK("https://klasma.github.io/Logging_0360/klagomål/A 54141-2025 FSC-klagomål.docx", "A 54141-2025")</f>
        <v/>
      </c>
      <c r="Z71">
        <f>HYPERLINK("https://klasma.github.io/Logging_0360/klagomålsmail/A 54141-2025 FSC-klagomål mail.docx", "A 54141-2025")</f>
        <v/>
      </c>
      <c r="AA71">
        <f>HYPERLINK("https://klasma.github.io/Logging_0360/tillsyn/A 54141-2025 tillsynsbegäran.docx", "A 54141-2025")</f>
        <v/>
      </c>
      <c r="AB71">
        <f>HYPERLINK("https://klasma.github.io/Logging_0360/tillsynsmail/A 54141-2025 tillsynsbegäran mail.docx", "A 54141-2025")</f>
        <v/>
      </c>
    </row>
    <row r="72" ht="15" customHeight="1">
      <c r="A72" t="inlineStr">
        <is>
          <t>A 53324-2021</t>
        </is>
      </c>
      <c r="B72" t="inlineStr">
        <is>
          <t>avverkningsanmälan</t>
        </is>
      </c>
      <c r="C72" t="inlineStr">
        <is>
          <t>Föryngringsavverkning</t>
        </is>
      </c>
      <c r="D72" s="1" t="n">
        <v>44468</v>
      </c>
      <c r="E72" s="1" t="n">
        <v>46216</v>
      </c>
      <c r="F72" t="inlineStr">
        <is>
          <t>UPPSALA LÄN</t>
        </is>
      </c>
      <c r="G72" t="inlineStr">
        <is>
          <t>TIERP</t>
        </is>
      </c>
      <c r="I72" t="n">
        <v>0.8</v>
      </c>
      <c r="J72" t="n">
        <v>0</v>
      </c>
      <c r="K72" t="n">
        <v>2</v>
      </c>
      <c r="L72" t="n">
        <v>0</v>
      </c>
      <c r="M72" t="n">
        <v>0</v>
      </c>
      <c r="N72" t="n">
        <v>0</v>
      </c>
      <c r="O72" t="n">
        <v>0</v>
      </c>
      <c r="P72" t="n">
        <v>0</v>
      </c>
      <c r="Q72" t="n">
        <v>0</v>
      </c>
      <c r="R72" t="n">
        <v>0</v>
      </c>
      <c r="S72" t="n">
        <v>2</v>
      </c>
      <c r="T72" t="n">
        <v>2</v>
      </c>
      <c r="U72" s="2" t="inlineStr">
        <is>
          <t>Jättesvampmal
Stor aspticka</t>
        </is>
      </c>
      <c r="V72">
        <f>HYPERLINK("https://klasma.github.io/Logging_0360/artfynd/A 53324-2021 artfynd.xlsx", "A 53324-2021")</f>
        <v/>
      </c>
      <c r="W72">
        <f>HYPERLINK("https://klasma.github.io/Logging_0360/kartor/A 53324-2021 karta.png", "A 53324-2021")</f>
        <v/>
      </c>
      <c r="Y72">
        <f>HYPERLINK("https://klasma.github.io/Logging_0360/klagomål/A 53324-2021 FSC-klagomål.docx", "A 53324-2021")</f>
        <v/>
      </c>
      <c r="Z72">
        <f>HYPERLINK("https://klasma.github.io/Logging_0360/klagomålsmail/A 53324-2021 FSC-klagomål mail.docx", "A 53324-2021")</f>
        <v/>
      </c>
      <c r="AA72">
        <f>HYPERLINK("https://klasma.github.io/Logging_0360/tillsyn/A 53324-2021 tillsynsbegäran.docx", "A 53324-2021")</f>
        <v/>
      </c>
      <c r="AB72">
        <f>HYPERLINK("https://klasma.github.io/Logging_0360/tillsynsmail/A 53324-2021 tillsynsbegäran mail.docx", "A 53324-2021")</f>
        <v/>
      </c>
    </row>
    <row r="73" ht="15" customHeight="1">
      <c r="A73" t="inlineStr">
        <is>
          <t>A 27345-2026</t>
        </is>
      </c>
      <c r="B73" t="inlineStr">
        <is>
          <t>avverkningsanmälan</t>
        </is>
      </c>
      <c r="C73" t="inlineStr">
        <is>
          <t>Föryngringsavverkning</t>
        </is>
      </c>
      <c r="D73" s="1" t="n">
        <v>46188</v>
      </c>
      <c r="E73" s="1" t="n">
        <v>46216</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s="2" t="inlineStr">
        <is>
          <t>Gulsparv
Kungsfågel</t>
        </is>
      </c>
      <c r="V73">
        <f>HYPERLINK("https://klasma.github.io/Logging_0360/artfynd/A 27345-2026 artfynd.xlsx", "A 27345-2026")</f>
        <v/>
      </c>
      <c r="W73">
        <f>HYPERLINK("https://klasma.github.io/Logging_0360/kartor/A 27345-2026 karta.png", "A 27345-2026")</f>
        <v/>
      </c>
      <c r="Y73">
        <f>HYPERLINK("https://klasma.github.io/Logging_0360/klagomål/A 27345-2026 FSC-klagomål.docx", "A 27345-2026")</f>
        <v/>
      </c>
      <c r="Z73">
        <f>HYPERLINK("https://klasma.github.io/Logging_0360/klagomålsmail/A 27345-2026 FSC-klagomål mail.docx", "A 27345-2026")</f>
        <v/>
      </c>
      <c r="AA73">
        <f>HYPERLINK("https://klasma.github.io/Logging_0360/tillsyn/A 27345-2026 tillsynsbegäran.docx", "A 27345-2026")</f>
        <v/>
      </c>
      <c r="AB73">
        <f>HYPERLINK("https://klasma.github.io/Logging_0360/tillsynsmail/A 27345-2026 tillsynsbegäran mail.docx", "A 27345-2026")</f>
        <v/>
      </c>
      <c r="AC73">
        <f>HYPERLINK("https://klasma.github.io/Logging_0360/fåglar/A 27345-2026 prioriterade fågelarter.docx", "A 27345-2026")</f>
        <v/>
      </c>
    </row>
    <row r="74" ht="15" customHeight="1">
      <c r="A74" t="inlineStr">
        <is>
          <t>A 27342-2026</t>
        </is>
      </c>
      <c r="B74" t="inlineStr">
        <is>
          <t>avverkningsanmälan</t>
        </is>
      </c>
      <c r="C74" t="inlineStr">
        <is>
          <t>Föryngringsavverkning</t>
        </is>
      </c>
      <c r="D74" s="1" t="n">
        <v>46188</v>
      </c>
      <c r="E74" s="1" t="n">
        <v>46216</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s="2" t="inlineStr">
        <is>
          <t>Gulsparv
Kungsfågel</t>
        </is>
      </c>
      <c r="V74">
        <f>HYPERLINK("https://klasma.github.io/Logging_0360/artfynd/A 27342-2026 artfynd.xlsx", "A 27342-2026")</f>
        <v/>
      </c>
      <c r="W74">
        <f>HYPERLINK("https://klasma.github.io/Logging_0360/kartor/A 27342-2026 karta.png", "A 27342-2026")</f>
        <v/>
      </c>
      <c r="Y74">
        <f>HYPERLINK("https://klasma.github.io/Logging_0360/klagomål/A 27342-2026 FSC-klagomål.docx", "A 27342-2026")</f>
        <v/>
      </c>
      <c r="Z74">
        <f>HYPERLINK("https://klasma.github.io/Logging_0360/klagomålsmail/A 27342-2026 FSC-klagomål mail.docx", "A 27342-2026")</f>
        <v/>
      </c>
      <c r="AA74">
        <f>HYPERLINK("https://klasma.github.io/Logging_0360/tillsyn/A 27342-2026 tillsynsbegäran.docx", "A 27342-2026")</f>
        <v/>
      </c>
      <c r="AB74">
        <f>HYPERLINK("https://klasma.github.io/Logging_0360/tillsynsmail/A 27342-2026 tillsynsbegäran mail.docx", "A 27342-2026")</f>
        <v/>
      </c>
      <c r="AC74">
        <f>HYPERLINK("https://klasma.github.io/Logging_0360/fåglar/A 27342-2026 prioriterade fågelarter.docx", "A 27342-2026")</f>
        <v/>
      </c>
    </row>
    <row r="75" ht="15" customHeight="1">
      <c r="A75" t="inlineStr">
        <is>
          <t>A 27835-2026</t>
        </is>
      </c>
      <c r="B75" t="inlineStr">
        <is>
          <t>avverkningsanmälan</t>
        </is>
      </c>
      <c r="C75" t="inlineStr">
        <is>
          <t>Föryngringsavverkning</t>
        </is>
      </c>
      <c r="D75" s="1" t="n">
        <v>46191</v>
      </c>
      <c r="E75" s="1" t="n">
        <v>46216</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s="2" t="inlineStr">
        <is>
          <t>Tvåblad
Nattviol</t>
        </is>
      </c>
      <c r="V75">
        <f>HYPERLINK("https://klasma.github.io/Logging_0360/artfynd/A 27835-2026 artfynd.xlsx", "A 27835-2026")</f>
        <v/>
      </c>
      <c r="W75">
        <f>HYPERLINK("https://klasma.github.io/Logging_0360/kartor/A 27835-2026 karta.png", "A 27835-2026")</f>
        <v/>
      </c>
      <c r="Y75">
        <f>HYPERLINK("https://klasma.github.io/Logging_0360/klagomål/A 27835-2026 FSC-klagomål.docx", "A 27835-2026")</f>
        <v/>
      </c>
      <c r="Z75">
        <f>HYPERLINK("https://klasma.github.io/Logging_0360/klagomålsmail/A 27835-2026 FSC-klagomål mail.docx", "A 27835-2026")</f>
        <v/>
      </c>
      <c r="AA75">
        <f>HYPERLINK("https://klasma.github.io/Logging_0360/tillsyn/A 27835-2026 tillsynsbegäran.docx", "A 27835-2026")</f>
        <v/>
      </c>
      <c r="AB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46216</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s="2" t="inlineStr">
        <is>
          <t>Järnsparv
Kungsfågel</t>
        </is>
      </c>
      <c r="V76">
        <f>HYPERLINK("https://klasma.github.io/Logging_0360/artfynd/A 49647-2022 artfynd.xlsx", "A 49647-2022")</f>
        <v/>
      </c>
      <c r="W76">
        <f>HYPERLINK("https://klasma.github.io/Logging_0360/kartor/A 49647-2022 karta.png", "A 49647-2022")</f>
        <v/>
      </c>
      <c r="Y76">
        <f>HYPERLINK("https://klasma.github.io/Logging_0360/klagomål/A 49647-2022 FSC-klagomål.docx", "A 49647-2022")</f>
        <v/>
      </c>
      <c r="Z76">
        <f>HYPERLINK("https://klasma.github.io/Logging_0360/klagomålsmail/A 49647-2022 FSC-klagomål mail.docx", "A 49647-2022")</f>
        <v/>
      </c>
      <c r="AA76">
        <f>HYPERLINK("https://klasma.github.io/Logging_0360/tillsyn/A 49647-2022 tillsynsbegäran.docx", "A 49647-2022")</f>
        <v/>
      </c>
      <c r="AB76">
        <f>HYPERLINK("https://klasma.github.io/Logging_0360/tillsynsmail/A 49647-2022 tillsynsbegäran mail.docx", "A 49647-2022")</f>
        <v/>
      </c>
      <c r="AC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46216</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s="2" t="inlineStr">
        <is>
          <t>Silverblåvinge
Skogsklocka</t>
        </is>
      </c>
      <c r="V77">
        <f>HYPERLINK("https://klasma.github.io/Logging_0360/artfynd/A 13066-2024 artfynd.xlsx", "A 13066-2024")</f>
        <v/>
      </c>
      <c r="W77">
        <f>HYPERLINK("https://klasma.github.io/Logging_0360/kartor/A 13066-2024 karta.png", "A 13066-2024")</f>
        <v/>
      </c>
      <c r="Y77">
        <f>HYPERLINK("https://klasma.github.io/Logging_0360/klagomål/A 13066-2024 FSC-klagomål.docx", "A 13066-2024")</f>
        <v/>
      </c>
      <c r="Z77">
        <f>HYPERLINK("https://klasma.github.io/Logging_0360/klagomålsmail/A 13066-2024 FSC-klagomål mail.docx", "A 13066-2024")</f>
        <v/>
      </c>
      <c r="AA77">
        <f>HYPERLINK("https://klasma.github.io/Logging_0360/tillsyn/A 13066-2024 tillsynsbegäran.docx", "A 13066-2024")</f>
        <v/>
      </c>
      <c r="AB77">
        <f>HYPERLINK("https://klasma.github.io/Logging_0360/tillsynsmail/A 13066-2024 tillsynsbegäran mail.docx", "A 13066-2024")</f>
        <v/>
      </c>
    </row>
    <row r="78" ht="15" customHeight="1">
      <c r="A78" t="inlineStr">
        <is>
          <t>A 30696-2026</t>
        </is>
      </c>
      <c r="B78" t="inlineStr">
        <is>
          <t>avverkningsanmälan</t>
        </is>
      </c>
      <c r="C78" t="inlineStr">
        <is>
          <t>Föryngringsavverkning</t>
        </is>
      </c>
      <c r="D78" s="1" t="n">
        <v>46211</v>
      </c>
      <c r="E78" s="1" t="n">
        <v>46216</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s="2" t="inlineStr">
        <is>
          <t>Fältgentiana
Slåtterfibbla</t>
        </is>
      </c>
      <c r="V78">
        <f>HYPERLINK("https://klasma.github.io/Logging_0360/artfynd/A 30696-2026 artfynd.xlsx", "A 30696-2026")</f>
        <v/>
      </c>
      <c r="W78">
        <f>HYPERLINK("https://klasma.github.io/Logging_0360/kartor/A 30696-2026 karta.png", "A 30696-2026")</f>
        <v/>
      </c>
      <c r="Y78">
        <f>HYPERLINK("https://klasma.github.io/Logging_0360/klagomål/A 30696-2026 FSC-klagomål.docx", "A 30696-2026")</f>
        <v/>
      </c>
      <c r="Z78">
        <f>HYPERLINK("https://klasma.github.io/Logging_0360/klagomålsmail/A 30696-2026 FSC-klagomål mail.docx", "A 30696-2026")</f>
        <v/>
      </c>
      <c r="AA78">
        <f>HYPERLINK("https://klasma.github.io/Logging_0360/tillsyn/A 30696-2026 tillsynsbegäran.docx", "A 30696-2026")</f>
        <v/>
      </c>
      <c r="AB78">
        <f>HYPERLINK("https://klasma.github.io/Logging_0360/tillsynsmail/A 30696-2026 tillsynsbegäran mail.docx", "A 30696-2026")</f>
        <v/>
      </c>
    </row>
    <row r="79" ht="15" customHeight="1">
      <c r="A79" t="inlineStr">
        <is>
          <t>A 39018-2024</t>
        </is>
      </c>
      <c r="B79" t="inlineStr">
        <is>
          <t>avverkningsanmälan</t>
        </is>
      </c>
      <c r="C79" t="inlineStr">
        <is>
          <t>Föryngringsavverkning</t>
        </is>
      </c>
      <c r="D79" s="1" t="n">
        <v>45548</v>
      </c>
      <c r="E79" s="1" t="n">
        <v>46216</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s="2" t="inlineStr">
        <is>
          <t>Rödvingetrast
Talltita</t>
        </is>
      </c>
      <c r="V79">
        <f>HYPERLINK("https://klasma.github.io/Logging_0360/artfynd/A 39018-2024 artfynd.xlsx", "A 39018-2024")</f>
        <v/>
      </c>
      <c r="W79">
        <f>HYPERLINK("https://klasma.github.io/Logging_0360/kartor/A 39018-2024 karta.png", "A 39018-2024")</f>
        <v/>
      </c>
      <c r="Y79">
        <f>HYPERLINK("https://klasma.github.io/Logging_0360/klagomål/A 39018-2024 FSC-klagomål.docx", "A 39018-2024")</f>
        <v/>
      </c>
      <c r="Z79">
        <f>HYPERLINK("https://klasma.github.io/Logging_0360/klagomålsmail/A 39018-2024 FSC-klagomål mail.docx", "A 39018-2024")</f>
        <v/>
      </c>
      <c r="AA79">
        <f>HYPERLINK("https://klasma.github.io/Logging_0360/tillsyn/A 39018-2024 tillsynsbegäran.docx", "A 39018-2024")</f>
        <v/>
      </c>
      <c r="AB79">
        <f>HYPERLINK("https://klasma.github.io/Logging_0360/tillsynsmail/A 39018-2024 tillsynsbegäran mail.docx", "A 39018-2024")</f>
        <v/>
      </c>
      <c r="AC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46216</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46216</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46216</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46216</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46216</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46216</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46216</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46216</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46216</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Y88">
        <f>HYPERLINK("https://klasma.github.io/Logging_0360/klagomål/A 18097-2022 FSC-klagomål.docx", "A 18097-2022")</f>
        <v/>
      </c>
      <c r="Z88">
        <f>HYPERLINK("https://klasma.github.io/Logging_0360/klagomålsmail/A 18097-2022 FSC-klagomål mail.docx", "A 18097-2022")</f>
        <v/>
      </c>
      <c r="AA88">
        <f>HYPERLINK("https://klasma.github.io/Logging_0360/tillsyn/A 18097-2022 tillsynsbegäran.docx", "A 18097-2022")</f>
        <v/>
      </c>
      <c r="AB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46216</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Y89">
        <f>HYPERLINK("https://klasma.github.io/Logging_0360/klagomål/A 29737-2022 FSC-klagomål.docx", "A 29737-2022")</f>
        <v/>
      </c>
      <c r="Z89">
        <f>HYPERLINK("https://klasma.github.io/Logging_0360/klagomålsmail/A 29737-2022 FSC-klagomål mail.docx", "A 29737-2022")</f>
        <v/>
      </c>
      <c r="AA89">
        <f>HYPERLINK("https://klasma.github.io/Logging_0360/tillsyn/A 29737-2022 tillsynsbegäran.docx", "A 29737-2022")</f>
        <v/>
      </c>
      <c r="AB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46216</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s="2" t="inlineStr">
        <is>
          <t>Kungsfågel</t>
        </is>
      </c>
      <c r="V90">
        <f>HYPERLINK("https://klasma.github.io/Logging_0360/artfynd/A 14860-2022 artfynd.xlsx", "A 14860-2022")</f>
        <v/>
      </c>
      <c r="W90">
        <f>HYPERLINK("https://klasma.github.io/Logging_0360/kartor/A 14860-2022 karta.png", "A 14860-2022")</f>
        <v/>
      </c>
      <c r="Y90">
        <f>HYPERLINK("https://klasma.github.io/Logging_0360/klagomål/A 14860-2022 FSC-klagomål.docx", "A 14860-2022")</f>
        <v/>
      </c>
      <c r="Z90">
        <f>HYPERLINK("https://klasma.github.io/Logging_0360/klagomålsmail/A 14860-2022 FSC-klagomål mail.docx", "A 14860-2022")</f>
        <v/>
      </c>
      <c r="AA90">
        <f>HYPERLINK("https://klasma.github.io/Logging_0360/tillsyn/A 14860-2022 tillsynsbegäran.docx", "A 14860-2022")</f>
        <v/>
      </c>
      <c r="AB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46216</v>
      </c>
      <c r="F91" t="inlineStr">
        <is>
          <t>UPPSALA LÄN</t>
        </is>
      </c>
      <c r="G91" t="inlineStr">
        <is>
          <t>TIERP</t>
        </is>
      </c>
      <c r="I91" t="n">
        <v>4</v>
      </c>
      <c r="J91" t="n">
        <v>0</v>
      </c>
      <c r="K91" t="n">
        <v>1</v>
      </c>
      <c r="L91" t="n">
        <v>0</v>
      </c>
      <c r="M91" t="n">
        <v>0</v>
      </c>
      <c r="N91" t="n">
        <v>0</v>
      </c>
      <c r="O91" t="n">
        <v>0</v>
      </c>
      <c r="P91" t="n">
        <v>0</v>
      </c>
      <c r="Q91" t="n">
        <v>0</v>
      </c>
      <c r="R91" t="n">
        <v>0</v>
      </c>
      <c r="S91" t="n">
        <v>1</v>
      </c>
      <c r="T91" t="n">
        <v>1</v>
      </c>
      <c r="U91" s="2" t="inlineStr">
        <is>
          <t>Brun nållav</t>
        </is>
      </c>
      <c r="V91">
        <f>HYPERLINK("https://klasma.github.io/Logging_0360/artfynd/A 2549-2025 artfynd.xlsx", "A 2549-2025")</f>
        <v/>
      </c>
      <c r="W91">
        <f>HYPERLINK("https://klasma.github.io/Logging_0360/kartor/A 2549-2025 karta.png", "A 2549-2025")</f>
        <v/>
      </c>
      <c r="Y91">
        <f>HYPERLINK("https://klasma.github.io/Logging_0360/klagomål/A 2549-2025 FSC-klagomål.docx", "A 2549-2025")</f>
        <v/>
      </c>
      <c r="Z91">
        <f>HYPERLINK("https://klasma.github.io/Logging_0360/klagomålsmail/A 2549-2025 FSC-klagomål mail.docx", "A 2549-2025")</f>
        <v/>
      </c>
      <c r="AA91">
        <f>HYPERLINK("https://klasma.github.io/Logging_0360/tillsyn/A 2549-2025 tillsynsbegäran.docx", "A 2549-2025")</f>
        <v/>
      </c>
      <c r="AB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46216</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s="2" t="inlineStr">
        <is>
          <t>Mattlummer</t>
        </is>
      </c>
      <c r="V92">
        <f>HYPERLINK("https://klasma.github.io/Logging_0360/artfynd/A 15680-2025 artfynd.xlsx", "A 15680-2025")</f>
        <v/>
      </c>
      <c r="W92">
        <f>HYPERLINK("https://klasma.github.io/Logging_0360/kartor/A 15680-2025 karta.png", "A 15680-2025")</f>
        <v/>
      </c>
      <c r="Y92">
        <f>HYPERLINK("https://klasma.github.io/Logging_0360/klagomål/A 15680-2025 FSC-klagomål.docx", "A 15680-2025")</f>
        <v/>
      </c>
      <c r="Z92">
        <f>HYPERLINK("https://klasma.github.io/Logging_0360/klagomålsmail/A 15680-2025 FSC-klagomål mail.docx", "A 15680-2025")</f>
        <v/>
      </c>
      <c r="AA92">
        <f>HYPERLINK("https://klasma.github.io/Logging_0360/tillsyn/A 15680-2025 tillsynsbegäran.docx", "A 15680-2025")</f>
        <v/>
      </c>
      <c r="AB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46216</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s="2" t="inlineStr">
        <is>
          <t>Revlummer</t>
        </is>
      </c>
      <c r="V93">
        <f>HYPERLINK("https://klasma.github.io/Logging_0360/artfynd/A 38821-2023 artfynd.xlsx", "A 38821-2023")</f>
        <v/>
      </c>
      <c r="W93">
        <f>HYPERLINK("https://klasma.github.io/Logging_0360/kartor/A 38821-2023 karta.png", "A 38821-2023")</f>
        <v/>
      </c>
      <c r="Y93">
        <f>HYPERLINK("https://klasma.github.io/Logging_0360/klagomål/A 38821-2023 FSC-klagomål.docx", "A 38821-2023")</f>
        <v/>
      </c>
      <c r="Z93">
        <f>HYPERLINK("https://klasma.github.io/Logging_0360/klagomålsmail/A 38821-2023 FSC-klagomål mail.docx", "A 38821-2023")</f>
        <v/>
      </c>
      <c r="AA93">
        <f>HYPERLINK("https://klasma.github.io/Logging_0360/tillsyn/A 38821-2023 tillsynsbegäran.docx", "A 38821-2023")</f>
        <v/>
      </c>
      <c r="AB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46216</v>
      </c>
      <c r="F94" t="inlineStr">
        <is>
          <t>UPPSALA LÄN</t>
        </is>
      </c>
      <c r="G94" t="inlineStr">
        <is>
          <t>TIERP</t>
        </is>
      </c>
      <c r="I94" t="n">
        <v>1.1</v>
      </c>
      <c r="J94" t="n">
        <v>0</v>
      </c>
      <c r="K94" t="n">
        <v>0</v>
      </c>
      <c r="L94" t="n">
        <v>1</v>
      </c>
      <c r="M94" t="n">
        <v>0</v>
      </c>
      <c r="N94" t="n">
        <v>0</v>
      </c>
      <c r="O94" t="n">
        <v>0</v>
      </c>
      <c r="P94" t="n">
        <v>0</v>
      </c>
      <c r="Q94" t="n">
        <v>1</v>
      </c>
      <c r="R94" t="n">
        <v>0</v>
      </c>
      <c r="S94" t="n">
        <v>1</v>
      </c>
      <c r="T94" t="n">
        <v>1</v>
      </c>
      <c r="U94" s="2" t="inlineStr">
        <is>
          <t>Äggspindling</t>
        </is>
      </c>
      <c r="V94">
        <f>HYPERLINK("https://klasma.github.io/Logging_0360/artfynd/A 51716-2023 artfynd.xlsx", "A 51716-2023")</f>
        <v/>
      </c>
      <c r="W94">
        <f>HYPERLINK("https://klasma.github.io/Logging_0360/kartor/A 51716-2023 karta.png", "A 51716-2023")</f>
        <v/>
      </c>
      <c r="Y94">
        <f>HYPERLINK("https://klasma.github.io/Logging_0360/klagomål/A 51716-2023 FSC-klagomål.docx", "A 51716-2023")</f>
        <v/>
      </c>
      <c r="Z94">
        <f>HYPERLINK("https://klasma.github.io/Logging_0360/klagomålsmail/A 51716-2023 FSC-klagomål mail.docx", "A 51716-2023")</f>
        <v/>
      </c>
      <c r="AA94">
        <f>HYPERLINK("https://klasma.github.io/Logging_0360/tillsyn/A 51716-2023 tillsynsbegäran.docx", "A 51716-2023")</f>
        <v/>
      </c>
      <c r="AB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46216</v>
      </c>
      <c r="F95" t="inlineStr">
        <is>
          <t>UPPSALA LÄN</t>
        </is>
      </c>
      <c r="G95" t="inlineStr">
        <is>
          <t>TIERP</t>
        </is>
      </c>
      <c r="I95" t="n">
        <v>2</v>
      </c>
      <c r="J95" t="n">
        <v>1</v>
      </c>
      <c r="K95" t="n">
        <v>0</v>
      </c>
      <c r="L95" t="n">
        <v>0</v>
      </c>
      <c r="M95" t="n">
        <v>0</v>
      </c>
      <c r="N95" t="n">
        <v>0</v>
      </c>
      <c r="O95" t="n">
        <v>0</v>
      </c>
      <c r="P95" t="n">
        <v>0</v>
      </c>
      <c r="Q95" t="n">
        <v>0</v>
      </c>
      <c r="R95" t="n">
        <v>0</v>
      </c>
      <c r="S95" t="n">
        <v>1</v>
      </c>
      <c r="T95" t="n">
        <v>1</v>
      </c>
      <c r="U95" s="2" t="inlineStr">
        <is>
          <t>Slaguggla</t>
        </is>
      </c>
      <c r="V95">
        <f>HYPERLINK("https://klasma.github.io/Logging_0360/artfynd/A 3561-2023 artfynd.xlsx", "A 3561-2023")</f>
        <v/>
      </c>
      <c r="W95">
        <f>HYPERLINK("https://klasma.github.io/Logging_0360/kartor/A 3561-2023 karta.png", "A 3561-2023")</f>
        <v/>
      </c>
      <c r="Y95">
        <f>HYPERLINK("https://klasma.github.io/Logging_0360/klagomål/A 3561-2023 FSC-klagomål.docx", "A 3561-2023")</f>
        <v/>
      </c>
      <c r="Z95">
        <f>HYPERLINK("https://klasma.github.io/Logging_0360/klagomålsmail/A 3561-2023 FSC-klagomål mail.docx", "A 3561-2023")</f>
        <v/>
      </c>
      <c r="AA95">
        <f>HYPERLINK("https://klasma.github.io/Logging_0360/tillsyn/A 3561-2023 tillsynsbegäran.docx", "A 3561-2023")</f>
        <v/>
      </c>
      <c r="AB95">
        <f>HYPERLINK("https://klasma.github.io/Logging_0360/tillsynsmail/A 3561-2023 tillsynsbegäran mail.docx", "A 3561-2023")</f>
        <v/>
      </c>
      <c r="AC95">
        <f>HYPERLINK("https://klasma.github.io/Logging_0360/fåglar/A 3561-2023 prioriterade fågelarter.docx", "A 3561-2023")</f>
        <v/>
      </c>
    </row>
    <row r="96" ht="15" customHeight="1">
      <c r="A96" t="inlineStr">
        <is>
          <t>A 28252-2025</t>
        </is>
      </c>
      <c r="B96" t="inlineStr">
        <is>
          <t>avverkningsanmälan</t>
        </is>
      </c>
      <c r="C96" t="inlineStr">
        <is>
          <t>Föryngringsavverkning</t>
        </is>
      </c>
      <c r="D96" s="1" t="n">
        <v>45818</v>
      </c>
      <c r="E96" s="1" t="n">
        <v>46216</v>
      </c>
      <c r="F96" t="inlineStr">
        <is>
          <t>UPPSALA LÄN</t>
        </is>
      </c>
      <c r="G96" t="inlineStr">
        <is>
          <t>TIERP</t>
        </is>
      </c>
      <c r="H96" t="inlineStr">
        <is>
          <t>Bergvik skog öst AB</t>
        </is>
      </c>
      <c r="I96" t="n">
        <v>0.9</v>
      </c>
      <c r="J96" t="n">
        <v>1</v>
      </c>
      <c r="K96" t="n">
        <v>0</v>
      </c>
      <c r="L96" t="n">
        <v>1</v>
      </c>
      <c r="M96" t="n">
        <v>0</v>
      </c>
      <c r="N96" t="n">
        <v>0</v>
      </c>
      <c r="O96" t="n">
        <v>0</v>
      </c>
      <c r="P96" t="n">
        <v>0</v>
      </c>
      <c r="Q96" t="n">
        <v>1</v>
      </c>
      <c r="R96" t="n">
        <v>0</v>
      </c>
      <c r="S96" t="n">
        <v>1</v>
      </c>
      <c r="T96" t="n">
        <v>1</v>
      </c>
      <c r="U96" s="2" t="inlineStr">
        <is>
          <t>Sädesärla</t>
        </is>
      </c>
      <c r="V96">
        <f>HYPERLINK("https://klasma.github.io/Logging_0360/artfynd/A 28252-2025 artfynd.xlsx", "A 28252-2025")</f>
        <v/>
      </c>
      <c r="W96">
        <f>HYPERLINK("https://klasma.github.io/Logging_0360/kartor/A 28252-2025 karta.png", "A 28252-2025")</f>
        <v/>
      </c>
      <c r="Y96">
        <f>HYPERLINK("https://klasma.github.io/Logging_0360/klagomål/A 28252-2025 FSC-klagomål.docx", "A 28252-2025")</f>
        <v/>
      </c>
      <c r="Z96">
        <f>HYPERLINK("https://klasma.github.io/Logging_0360/klagomålsmail/A 28252-2025 FSC-klagomål mail.docx", "A 28252-2025")</f>
        <v/>
      </c>
      <c r="AA96">
        <f>HYPERLINK("https://klasma.github.io/Logging_0360/tillsyn/A 28252-2025 tillsynsbegäran.docx", "A 28252-2025")</f>
        <v/>
      </c>
      <c r="AB96">
        <f>HYPERLINK("https://klasma.github.io/Logging_0360/tillsynsmail/A 28252-2025 tillsynsbegäran mail.docx", "A 28252-2025")</f>
        <v/>
      </c>
      <c r="AC96">
        <f>HYPERLINK("https://klasma.github.io/Logging_0360/fåglar/A 28252-2025 prioriterade fågelarter.docx", "A 28252-2025")</f>
        <v/>
      </c>
    </row>
    <row r="97" ht="15" customHeight="1">
      <c r="A97" t="inlineStr">
        <is>
          <t>A 44680-2025</t>
        </is>
      </c>
      <c r="B97" t="inlineStr">
        <is>
          <t>avverkningsanmälan</t>
        </is>
      </c>
      <c r="C97" t="inlineStr">
        <is>
          <t>Föryngringsavverkning</t>
        </is>
      </c>
      <c r="D97" s="1" t="n">
        <v>45917</v>
      </c>
      <c r="E97" s="1" t="n">
        <v>46216</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s="2" t="inlineStr">
        <is>
          <t>Spillkråka</t>
        </is>
      </c>
      <c r="V97">
        <f>HYPERLINK("https://klasma.github.io/Logging_0360/artfynd/A 44680-2025 artfynd.xlsx", "A 44680-2025")</f>
        <v/>
      </c>
      <c r="W97">
        <f>HYPERLINK("https://klasma.github.io/Logging_0360/kartor/A 44680-2025 karta.png", "A 44680-2025")</f>
        <v/>
      </c>
      <c r="Y97">
        <f>HYPERLINK("https://klasma.github.io/Logging_0360/klagomål/A 44680-2025 FSC-klagomål.docx", "A 44680-2025")</f>
        <v/>
      </c>
      <c r="Z97">
        <f>HYPERLINK("https://klasma.github.io/Logging_0360/klagomålsmail/A 44680-2025 FSC-klagomål mail.docx", "A 44680-2025")</f>
        <v/>
      </c>
      <c r="AA97">
        <f>HYPERLINK("https://klasma.github.io/Logging_0360/tillsyn/A 44680-2025 tillsynsbegäran.docx", "A 44680-2025")</f>
        <v/>
      </c>
      <c r="AB97">
        <f>HYPERLINK("https://klasma.github.io/Logging_0360/tillsynsmail/A 44680-2025 tillsynsbegäran mail.docx", "A 44680-2025")</f>
        <v/>
      </c>
      <c r="AC97">
        <f>HYPERLINK("https://klasma.github.io/Logging_0360/fåglar/A 44680-2025 prioriterade fågelarter.docx", "A 44680-2025")</f>
        <v/>
      </c>
    </row>
    <row r="98" ht="15" customHeight="1">
      <c r="A98" t="inlineStr">
        <is>
          <t>A 45769-2022</t>
        </is>
      </c>
      <c r="B98" t="inlineStr">
        <is>
          <t>avverkningsanmälan</t>
        </is>
      </c>
      <c r="C98" t="inlineStr">
        <is>
          <t>Föryngringsavverkning</t>
        </is>
      </c>
      <c r="D98" s="1" t="n">
        <v>44846</v>
      </c>
      <c r="E98" s="1" t="n">
        <v>46216</v>
      </c>
      <c r="F98" t="inlineStr">
        <is>
          <t>UPPSALA LÄN</t>
        </is>
      </c>
      <c r="G98" t="inlineStr">
        <is>
          <t>TIERP</t>
        </is>
      </c>
      <c r="I98" t="n">
        <v>1.2</v>
      </c>
      <c r="J98" t="n">
        <v>1</v>
      </c>
      <c r="K98" t="n">
        <v>0</v>
      </c>
      <c r="L98" t="n">
        <v>0</v>
      </c>
      <c r="M98" t="n">
        <v>0</v>
      </c>
      <c r="N98" t="n">
        <v>0</v>
      </c>
      <c r="O98" t="n">
        <v>0</v>
      </c>
      <c r="P98" t="n">
        <v>0</v>
      </c>
      <c r="Q98" t="n">
        <v>0</v>
      </c>
      <c r="R98" t="n">
        <v>0</v>
      </c>
      <c r="S98" t="n">
        <v>1</v>
      </c>
      <c r="T98" t="n">
        <v>1</v>
      </c>
      <c r="U98" s="2" t="inlineStr">
        <is>
          <t>Kungsfågel</t>
        </is>
      </c>
      <c r="V98">
        <f>HYPERLINK("https://klasma.github.io/Logging_0360/artfynd/A 45769-2022 artfynd.xlsx", "A 45769-2022")</f>
        <v/>
      </c>
      <c r="W98">
        <f>HYPERLINK("https://klasma.github.io/Logging_0360/kartor/A 45769-2022 karta.png", "A 45769-2022")</f>
        <v/>
      </c>
      <c r="Y98">
        <f>HYPERLINK("https://klasma.github.io/Logging_0360/klagomål/A 45769-2022 FSC-klagomål.docx", "A 45769-2022")</f>
        <v/>
      </c>
      <c r="Z98">
        <f>HYPERLINK("https://klasma.github.io/Logging_0360/klagomålsmail/A 45769-2022 FSC-klagomål mail.docx", "A 45769-2022")</f>
        <v/>
      </c>
      <c r="AA98">
        <f>HYPERLINK("https://klasma.github.io/Logging_0360/tillsyn/A 45769-2022 tillsynsbegäran.docx", "A 45769-2022")</f>
        <v/>
      </c>
      <c r="AB98">
        <f>HYPERLINK("https://klasma.github.io/Logging_0360/tillsynsmail/A 45769-2022 tillsynsbegäran mail.docx", "A 45769-2022")</f>
        <v/>
      </c>
    </row>
    <row r="99" ht="15" customHeight="1">
      <c r="A99" t="inlineStr">
        <is>
          <t>A 61280-2024</t>
        </is>
      </c>
      <c r="B99" t="inlineStr">
        <is>
          <t>avverkningsanmälan</t>
        </is>
      </c>
      <c r="C99" t="inlineStr">
        <is>
          <t>Föryngringsavverkning</t>
        </is>
      </c>
      <c r="D99" s="1" t="n">
        <v>45645</v>
      </c>
      <c r="E99" s="1" t="n">
        <v>46216</v>
      </c>
      <c r="F99" t="inlineStr">
        <is>
          <t>UPPSALA LÄN</t>
        </is>
      </c>
      <c r="G99" t="inlineStr">
        <is>
          <t>TIERP</t>
        </is>
      </c>
      <c r="I99" t="n">
        <v>5.4</v>
      </c>
      <c r="J99" t="n">
        <v>0</v>
      </c>
      <c r="K99" t="n">
        <v>0</v>
      </c>
      <c r="L99" t="n">
        <v>0</v>
      </c>
      <c r="M99" t="n">
        <v>1</v>
      </c>
      <c r="N99" t="n">
        <v>0</v>
      </c>
      <c r="O99" t="n">
        <v>0</v>
      </c>
      <c r="P99" t="n">
        <v>0</v>
      </c>
      <c r="Q99" t="n">
        <v>1</v>
      </c>
      <c r="R99" t="n">
        <v>1</v>
      </c>
      <c r="S99" t="n">
        <v>1</v>
      </c>
      <c r="T99" t="n">
        <v>1</v>
      </c>
      <c r="U99" s="2" t="inlineStr">
        <is>
          <t>Fältgentiana</t>
        </is>
      </c>
      <c r="V99">
        <f>HYPERLINK("https://klasma.github.io/Logging_0360/artfynd/A 61280-2024 artfynd.xlsx", "A 61280-2024")</f>
        <v/>
      </c>
      <c r="W99">
        <f>HYPERLINK("https://klasma.github.io/Logging_0360/kartor/A 61280-2024 karta.png", "A 61280-2024")</f>
        <v/>
      </c>
      <c r="Y99">
        <f>HYPERLINK("https://klasma.github.io/Logging_0360/klagomål/A 61280-2024 FSC-klagomål.docx", "A 61280-2024")</f>
        <v/>
      </c>
      <c r="Z99">
        <f>HYPERLINK("https://klasma.github.io/Logging_0360/klagomålsmail/A 61280-2024 FSC-klagomål mail.docx", "A 61280-2024")</f>
        <v/>
      </c>
      <c r="AA99">
        <f>HYPERLINK("https://klasma.github.io/Logging_0360/tillsyn/A 61280-2024 tillsynsbegäran.docx", "A 61280-2024")</f>
        <v/>
      </c>
      <c r="AB99">
        <f>HYPERLINK("https://klasma.github.io/Logging_0360/tillsynsmail/A 61280-2024 tillsynsbegäran mail.docx", "A 61280-2024")</f>
        <v/>
      </c>
    </row>
    <row r="100" ht="15" customHeight="1">
      <c r="A100" t="inlineStr">
        <is>
          <t>A 54534-2025</t>
        </is>
      </c>
      <c r="B100" t="inlineStr">
        <is>
          <t>avverkningsanmälan</t>
        </is>
      </c>
      <c r="C100" t="inlineStr">
        <is>
          <t>Föryngringsavverkning</t>
        </is>
      </c>
      <c r="D100" s="1" t="n">
        <v>45965</v>
      </c>
      <c r="E100" s="1" t="n">
        <v>46216</v>
      </c>
      <c r="F100" t="inlineStr">
        <is>
          <t>UPPSALA LÄN</t>
        </is>
      </c>
      <c r="G100" t="inlineStr">
        <is>
          <t>TIERP</t>
        </is>
      </c>
      <c r="H100" t="inlineStr">
        <is>
          <t>Bergvik skog väst AB</t>
        </is>
      </c>
      <c r="I100" t="n">
        <v>7.7</v>
      </c>
      <c r="J100" t="n">
        <v>0</v>
      </c>
      <c r="K100" t="n">
        <v>0</v>
      </c>
      <c r="L100" t="n">
        <v>1</v>
      </c>
      <c r="M100" t="n">
        <v>0</v>
      </c>
      <c r="N100" t="n">
        <v>0</v>
      </c>
      <c r="O100" t="n">
        <v>0</v>
      </c>
      <c r="P100" t="n">
        <v>0</v>
      </c>
      <c r="Q100" t="n">
        <v>1</v>
      </c>
      <c r="R100" t="n">
        <v>0</v>
      </c>
      <c r="S100" t="n">
        <v>1</v>
      </c>
      <c r="T100" t="n">
        <v>1</v>
      </c>
      <c r="U100" s="2" t="inlineStr">
        <is>
          <t>Skogsklocka</t>
        </is>
      </c>
      <c r="V100">
        <f>HYPERLINK("https://klasma.github.io/Logging_0360/artfynd/A 54534-2025 artfynd.xlsx", "A 54534-2025")</f>
        <v/>
      </c>
      <c r="W100">
        <f>HYPERLINK("https://klasma.github.io/Logging_0360/kartor/A 54534-2025 karta.png", "A 54534-2025")</f>
        <v/>
      </c>
      <c r="Y100">
        <f>HYPERLINK("https://klasma.github.io/Logging_0360/klagomål/A 54534-2025 FSC-klagomål.docx", "A 54534-2025")</f>
        <v/>
      </c>
      <c r="Z100">
        <f>HYPERLINK("https://klasma.github.io/Logging_0360/klagomålsmail/A 54534-2025 FSC-klagomål mail.docx", "A 54534-2025")</f>
        <v/>
      </c>
      <c r="AA100">
        <f>HYPERLINK("https://klasma.github.io/Logging_0360/tillsyn/A 54534-2025 tillsynsbegäran.docx", "A 54534-2025")</f>
        <v/>
      </c>
      <c r="AB100">
        <f>HYPERLINK("https://klasma.github.io/Logging_0360/tillsynsmail/A 54534-2025 tillsynsbegäran mail.docx", "A 54534-2025")</f>
        <v/>
      </c>
    </row>
    <row r="101" ht="15" customHeight="1">
      <c r="A101" t="inlineStr">
        <is>
          <t>A 5730-2026</t>
        </is>
      </c>
      <c r="B101" t="inlineStr">
        <is>
          <t>avverkningsanmälan</t>
        </is>
      </c>
      <c r="C101" t="inlineStr">
        <is>
          <t>Föryngringsavverkning</t>
        </is>
      </c>
      <c r="D101" s="1" t="n">
        <v>46051</v>
      </c>
      <c r="E101" s="1" t="n">
        <v>46216</v>
      </c>
      <c r="F101" t="inlineStr">
        <is>
          <t>UPPSALA LÄN</t>
        </is>
      </c>
      <c r="G101" t="inlineStr">
        <is>
          <t>TIERP</t>
        </is>
      </c>
      <c r="I101" t="n">
        <v>5.4</v>
      </c>
      <c r="J101" t="n">
        <v>0</v>
      </c>
      <c r="K101" t="n">
        <v>0</v>
      </c>
      <c r="L101" t="n">
        <v>1</v>
      </c>
      <c r="M101" t="n">
        <v>0</v>
      </c>
      <c r="N101" t="n">
        <v>0</v>
      </c>
      <c r="O101" t="n">
        <v>0</v>
      </c>
      <c r="P101" t="n">
        <v>0</v>
      </c>
      <c r="Q101" t="n">
        <v>1</v>
      </c>
      <c r="R101" t="n">
        <v>0</v>
      </c>
      <c r="S101" t="n">
        <v>1</v>
      </c>
      <c r="T101" t="n">
        <v>1</v>
      </c>
      <c r="U101" s="2" t="inlineStr">
        <is>
          <t>Odörspindling</t>
        </is>
      </c>
      <c r="V101">
        <f>HYPERLINK("https://klasma.github.io/Logging_0360/artfynd/A 5730-2026 artfynd.xlsx", "A 5730-2026")</f>
        <v/>
      </c>
      <c r="W101">
        <f>HYPERLINK("https://klasma.github.io/Logging_0360/kartor/A 5730-2026 karta.png", "A 5730-2026")</f>
        <v/>
      </c>
      <c r="Y101">
        <f>HYPERLINK("https://klasma.github.io/Logging_0360/klagomål/A 5730-2026 FSC-klagomål.docx", "A 5730-2026")</f>
        <v/>
      </c>
      <c r="Z101">
        <f>HYPERLINK("https://klasma.github.io/Logging_0360/klagomålsmail/A 5730-2026 FSC-klagomål mail.docx", "A 5730-2026")</f>
        <v/>
      </c>
      <c r="AA101">
        <f>HYPERLINK("https://klasma.github.io/Logging_0360/tillsyn/A 5730-2026 tillsynsbegäran.docx", "A 5730-2026")</f>
        <v/>
      </c>
      <c r="AB101">
        <f>HYPERLINK("https://klasma.github.io/Logging_0360/tillsynsmail/A 5730-2026 tillsynsbegäran mail.docx", "A 5730-2026")</f>
        <v/>
      </c>
    </row>
    <row r="102" ht="15" customHeight="1">
      <c r="A102" t="inlineStr">
        <is>
          <t>A 56046-2025</t>
        </is>
      </c>
      <c r="B102" t="inlineStr">
        <is>
          <t>avverkningsanmälan</t>
        </is>
      </c>
      <c r="C102" t="inlineStr">
        <is>
          <t>Föryngringsavverkning</t>
        </is>
      </c>
      <c r="D102" s="1" t="n">
        <v>45973</v>
      </c>
      <c r="E102" s="1" t="n">
        <v>46216</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Y102">
        <f>HYPERLINK("https://klasma.github.io/Logging_0360/klagomål/A 56046-2025 FSC-klagomål.docx", "A 56046-2025")</f>
        <v/>
      </c>
      <c r="Z102">
        <f>HYPERLINK("https://klasma.github.io/Logging_0360/klagomålsmail/A 56046-2025 FSC-klagomål mail.docx", "A 56046-2025")</f>
        <v/>
      </c>
      <c r="AA102">
        <f>HYPERLINK("https://klasma.github.io/Logging_0360/tillsyn/A 56046-2025 tillsynsbegäran.docx", "A 56046-2025")</f>
        <v/>
      </c>
      <c r="AB102">
        <f>HYPERLINK("https://klasma.github.io/Logging_0360/tillsynsmail/A 56046-2025 tillsynsbegäran mail.docx", "A 56046-2025")</f>
        <v/>
      </c>
    </row>
    <row r="103" ht="15" customHeight="1">
      <c r="A103" t="inlineStr">
        <is>
          <t>A 6139-2026</t>
        </is>
      </c>
      <c r="B103" t="inlineStr">
        <is>
          <t>avverkningsanmälan</t>
        </is>
      </c>
      <c r="C103" t="inlineStr">
        <is>
          <t>Föryngringsavverkning</t>
        </is>
      </c>
      <c r="D103" s="1" t="n">
        <v>46054</v>
      </c>
      <c r="E103" s="1" t="n">
        <v>46216</v>
      </c>
      <c r="F103" t="inlineStr">
        <is>
          <t>UPPSALA LÄN</t>
        </is>
      </c>
      <c r="G103" t="inlineStr">
        <is>
          <t>TIERP</t>
        </is>
      </c>
      <c r="I103" t="n">
        <v>1</v>
      </c>
      <c r="J103" t="n">
        <v>0</v>
      </c>
      <c r="K103" t="n">
        <v>0</v>
      </c>
      <c r="L103" t="n">
        <v>0</v>
      </c>
      <c r="M103" t="n">
        <v>0</v>
      </c>
      <c r="N103" t="n">
        <v>1</v>
      </c>
      <c r="O103" t="n">
        <v>0</v>
      </c>
      <c r="P103" t="n">
        <v>0</v>
      </c>
      <c r="Q103" t="n">
        <v>1</v>
      </c>
      <c r="R103" t="n">
        <v>1</v>
      </c>
      <c r="S103" t="n">
        <v>1</v>
      </c>
      <c r="T103" t="n">
        <v>1</v>
      </c>
      <c r="U103" s="2" t="inlineStr">
        <is>
          <t>Koppartaggsvamp</t>
        </is>
      </c>
      <c r="V103">
        <f>HYPERLINK("https://klasma.github.io/Logging_0360/artfynd/A 6139-2026 artfynd.xlsx", "A 6139-2026")</f>
        <v/>
      </c>
      <c r="W103">
        <f>HYPERLINK("https://klasma.github.io/Logging_0360/kartor/A 6139-2026 karta.png", "A 6139-2026")</f>
        <v/>
      </c>
      <c r="Y103">
        <f>HYPERLINK("https://klasma.github.io/Logging_0360/klagomål/A 6139-2026 FSC-klagomål.docx", "A 6139-2026")</f>
        <v/>
      </c>
      <c r="Z103">
        <f>HYPERLINK("https://klasma.github.io/Logging_0360/klagomålsmail/A 6139-2026 FSC-klagomål mail.docx", "A 6139-2026")</f>
        <v/>
      </c>
      <c r="AA103">
        <f>HYPERLINK("https://klasma.github.io/Logging_0360/tillsyn/A 6139-2026 tillsynsbegäran.docx", "A 6139-2026")</f>
        <v/>
      </c>
      <c r="AB103">
        <f>HYPERLINK("https://klasma.github.io/Logging_0360/tillsynsmail/A 6139-2026 tillsynsbegäran mail.docx", "A 6139-2026")</f>
        <v/>
      </c>
    </row>
    <row r="104" ht="15" customHeight="1">
      <c r="A104" t="inlineStr">
        <is>
          <t>A 33797-2023</t>
        </is>
      </c>
      <c r="B104" t="inlineStr">
        <is>
          <t>avverkningsanmälan</t>
        </is>
      </c>
      <c r="C104" t="inlineStr">
        <is>
          <t>Föryngringsavverkning</t>
        </is>
      </c>
      <c r="D104" s="1" t="n">
        <v>45133</v>
      </c>
      <c r="E104" s="1" t="n">
        <v>46216</v>
      </c>
      <c r="F104" t="inlineStr">
        <is>
          <t>UPPSALA LÄN</t>
        </is>
      </c>
      <c r="G104" t="inlineStr">
        <is>
          <t>TIERP</t>
        </is>
      </c>
      <c r="H104" t="inlineStr">
        <is>
          <t>Bergvik skog öst AB</t>
        </is>
      </c>
      <c r="I104" t="n">
        <v>0.4</v>
      </c>
      <c r="J104" t="n">
        <v>1</v>
      </c>
      <c r="K104" t="n">
        <v>0</v>
      </c>
      <c r="L104" t="n">
        <v>0</v>
      </c>
      <c r="M104" t="n">
        <v>0</v>
      </c>
      <c r="N104" t="n">
        <v>0</v>
      </c>
      <c r="O104" t="n">
        <v>0</v>
      </c>
      <c r="P104" t="n">
        <v>0</v>
      </c>
      <c r="Q104" t="n">
        <v>0</v>
      </c>
      <c r="R104" t="n">
        <v>0</v>
      </c>
      <c r="S104" t="n">
        <v>1</v>
      </c>
      <c r="T104" t="n">
        <v>1</v>
      </c>
      <c r="U104" s="2" t="inlineStr">
        <is>
          <t>Revlummer</t>
        </is>
      </c>
      <c r="V104">
        <f>HYPERLINK("https://klasma.github.io/Logging_0360/artfynd/A 33797-2023 artfynd.xlsx", "A 33797-2023")</f>
        <v/>
      </c>
      <c r="W104">
        <f>HYPERLINK("https://klasma.github.io/Logging_0360/kartor/A 33797-2023 karta.png", "A 33797-2023")</f>
        <v/>
      </c>
      <c r="X104">
        <f>HYPERLINK("https://klasma.github.io/Logging_0360/knärot/A 33797-2023 karta knärot.png", "A 33797-2023")</f>
        <v/>
      </c>
      <c r="Y104">
        <f>HYPERLINK("https://klasma.github.io/Logging_0360/klagomål/A 33797-2023 FSC-klagomål.docx", "A 33797-2023")</f>
        <v/>
      </c>
      <c r="Z104">
        <f>HYPERLINK("https://klasma.github.io/Logging_0360/klagomålsmail/A 33797-2023 FSC-klagomål mail.docx", "A 33797-2023")</f>
        <v/>
      </c>
      <c r="AA104">
        <f>HYPERLINK("https://klasma.github.io/Logging_0360/tillsyn/A 33797-2023 tillsynsbegäran.docx", "A 33797-2023")</f>
        <v/>
      </c>
      <c r="AB104">
        <f>HYPERLINK("https://klasma.github.io/Logging_0360/tillsynsmail/A 33797-2023 tillsynsbegäran mail.docx", "A 33797-2023")</f>
        <v/>
      </c>
    </row>
    <row r="105" ht="15" customHeight="1">
      <c r="A105" t="inlineStr">
        <is>
          <t>A 61825-2025</t>
        </is>
      </c>
      <c r="B105" t="inlineStr">
        <is>
          <t>avverkningsanmälan</t>
        </is>
      </c>
      <c r="C105" t="inlineStr">
        <is>
          <t>Föryngringsavverkning</t>
        </is>
      </c>
      <c r="D105" s="1" t="n">
        <v>46003</v>
      </c>
      <c r="E105" s="1" t="n">
        <v>46216</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s="2" t="inlineStr">
        <is>
          <t>Apelsinticka</t>
        </is>
      </c>
      <c r="V105">
        <f>HYPERLINK("https://klasma.github.io/Logging_0360/artfynd/A 61825-2025 artfynd.xlsx", "A 61825-2025")</f>
        <v/>
      </c>
      <c r="W105">
        <f>HYPERLINK("https://klasma.github.io/Logging_0360/kartor/A 61825-2025 karta.png", "A 61825-2025")</f>
        <v/>
      </c>
      <c r="Y105">
        <f>HYPERLINK("https://klasma.github.io/Logging_0360/klagomål/A 61825-2025 FSC-klagomål.docx", "A 61825-2025")</f>
        <v/>
      </c>
      <c r="Z105">
        <f>HYPERLINK("https://klasma.github.io/Logging_0360/klagomålsmail/A 61825-2025 FSC-klagomål mail.docx", "A 61825-2025")</f>
        <v/>
      </c>
      <c r="AA105">
        <f>HYPERLINK("https://klasma.github.io/Logging_0360/tillsyn/A 61825-2025 tillsynsbegäran.docx", "A 61825-2025")</f>
        <v/>
      </c>
      <c r="AB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46216</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s="2" t="inlineStr">
        <is>
          <t>Brunfläckig pärlemorfjäril</t>
        </is>
      </c>
      <c r="V106">
        <f>HYPERLINK("https://klasma.github.io/Logging_0360/artfynd/A 63261-2025 artfynd.xlsx", "A 63261-2025")</f>
        <v/>
      </c>
      <c r="W106">
        <f>HYPERLINK("https://klasma.github.io/Logging_0360/kartor/A 63261-2025 karta.png", "A 63261-2025")</f>
        <v/>
      </c>
      <c r="Y106">
        <f>HYPERLINK("https://klasma.github.io/Logging_0360/klagomål/A 63261-2025 FSC-klagomål.docx", "A 63261-2025")</f>
        <v/>
      </c>
      <c r="Z106">
        <f>HYPERLINK("https://klasma.github.io/Logging_0360/klagomålsmail/A 63261-2025 FSC-klagomål mail.docx", "A 63261-2025")</f>
        <v/>
      </c>
      <c r="AA106">
        <f>HYPERLINK("https://klasma.github.io/Logging_0360/tillsyn/A 63261-2025 tillsynsbegäran.docx", "A 63261-2025")</f>
        <v/>
      </c>
      <c r="AB106">
        <f>HYPERLINK("https://klasma.github.io/Logging_0360/tillsynsmail/A 63261-2025 tillsynsbegäran mail.docx", "A 63261-2025")</f>
        <v/>
      </c>
    </row>
    <row r="107" ht="15" customHeight="1">
      <c r="A107" t="inlineStr">
        <is>
          <t>A 99-2026</t>
        </is>
      </c>
      <c r="B107" t="inlineStr">
        <is>
          <t>avverkningsanmälan</t>
        </is>
      </c>
      <c r="C107" t="inlineStr">
        <is>
          <t>Föryngringsavverkning</t>
        </is>
      </c>
      <c r="D107" s="1" t="n">
        <v>46024</v>
      </c>
      <c r="E107" s="1" t="n">
        <v>46216</v>
      </c>
      <c r="F107" t="inlineStr">
        <is>
          <t>UPPSALA LÄN</t>
        </is>
      </c>
      <c r="G107" t="inlineStr">
        <is>
          <t>TIERP</t>
        </is>
      </c>
      <c r="H107" t="inlineStr">
        <is>
          <t>Bergvik skog öst AB</t>
        </is>
      </c>
      <c r="I107" t="n">
        <v>8.4</v>
      </c>
      <c r="J107" t="n">
        <v>0</v>
      </c>
      <c r="K107" t="n">
        <v>0</v>
      </c>
      <c r="L107" t="n">
        <v>1</v>
      </c>
      <c r="M107" t="n">
        <v>0</v>
      </c>
      <c r="N107" t="n">
        <v>0</v>
      </c>
      <c r="O107" t="n">
        <v>0</v>
      </c>
      <c r="P107" t="n">
        <v>0</v>
      </c>
      <c r="Q107" t="n">
        <v>1</v>
      </c>
      <c r="R107" t="n">
        <v>0</v>
      </c>
      <c r="S107" t="n">
        <v>1</v>
      </c>
      <c r="T107" t="n">
        <v>1</v>
      </c>
      <c r="U107" s="2" t="inlineStr">
        <is>
          <t>Slåtterfibbla</t>
        </is>
      </c>
      <c r="V107">
        <f>HYPERLINK("https://klasma.github.io/Logging_0360/artfynd/A 99-2026 artfynd.xlsx", "A 99-2026")</f>
        <v/>
      </c>
      <c r="W107">
        <f>HYPERLINK("https://klasma.github.io/Logging_0360/kartor/A 99-2026 karta.png", "A 99-2026")</f>
        <v/>
      </c>
      <c r="Y107">
        <f>HYPERLINK("https://klasma.github.io/Logging_0360/klagomål/A 99-2026 FSC-klagomål.docx", "A 99-2026")</f>
        <v/>
      </c>
      <c r="Z107">
        <f>HYPERLINK("https://klasma.github.io/Logging_0360/klagomålsmail/A 99-2026 FSC-klagomål mail.docx", "A 99-2026")</f>
        <v/>
      </c>
      <c r="AA107">
        <f>HYPERLINK("https://klasma.github.io/Logging_0360/tillsyn/A 99-2026 tillsynsbegäran.docx", "A 99-2026")</f>
        <v/>
      </c>
      <c r="AB107">
        <f>HYPERLINK("https://klasma.github.io/Logging_0360/tillsynsmail/A 99-2026 tillsynsbegäran mail.docx", "A 99-2026")</f>
        <v/>
      </c>
    </row>
    <row r="108" ht="15" customHeight="1">
      <c r="A108" t="inlineStr">
        <is>
          <t>A 18619-2025</t>
        </is>
      </c>
      <c r="B108" t="inlineStr">
        <is>
          <t>avverkningsanmälan</t>
        </is>
      </c>
      <c r="C108" t="inlineStr">
        <is>
          <t>Föryngringsavverkning</t>
        </is>
      </c>
      <c r="D108" s="1" t="n">
        <v>45763</v>
      </c>
      <c r="E108" s="1" t="n">
        <v>46216</v>
      </c>
      <c r="F108" t="inlineStr">
        <is>
          <t>UPPSALA LÄN</t>
        </is>
      </c>
      <c r="G108" t="inlineStr">
        <is>
          <t>TIERP</t>
        </is>
      </c>
      <c r="I108" t="n">
        <v>4.6</v>
      </c>
      <c r="J108" t="n">
        <v>1</v>
      </c>
      <c r="K108" t="n">
        <v>1</v>
      </c>
      <c r="L108" t="n">
        <v>0</v>
      </c>
      <c r="M108" t="n">
        <v>0</v>
      </c>
      <c r="N108" t="n">
        <v>0</v>
      </c>
      <c r="O108" t="n">
        <v>0</v>
      </c>
      <c r="P108" t="n">
        <v>0</v>
      </c>
      <c r="Q108" t="n">
        <v>0</v>
      </c>
      <c r="R108" t="n">
        <v>0</v>
      </c>
      <c r="S108" t="n">
        <v>1</v>
      </c>
      <c r="T108" t="n">
        <v>1</v>
      </c>
      <c r="U108" s="2" t="inlineStr">
        <is>
          <t>Nästrot</t>
        </is>
      </c>
      <c r="V108">
        <f>HYPERLINK("https://klasma.github.io/Logging_0360/artfynd/A 18619-2025 artfynd.xlsx", "A 18619-2025")</f>
        <v/>
      </c>
      <c r="W108">
        <f>HYPERLINK("https://klasma.github.io/Logging_0360/kartor/A 18619-2025 karta.png", "A 18619-2025")</f>
        <v/>
      </c>
      <c r="Y108">
        <f>HYPERLINK("https://klasma.github.io/Logging_0360/klagomål/A 18619-2025 FSC-klagomål.docx", "A 18619-2025")</f>
        <v/>
      </c>
      <c r="Z108">
        <f>HYPERLINK("https://klasma.github.io/Logging_0360/klagomålsmail/A 18619-2025 FSC-klagomål mail.docx", "A 18619-2025")</f>
        <v/>
      </c>
      <c r="AA108">
        <f>HYPERLINK("https://klasma.github.io/Logging_0360/tillsyn/A 18619-2025 tillsynsbegäran.docx", "A 18619-2025")</f>
        <v/>
      </c>
      <c r="AB108">
        <f>HYPERLINK("https://klasma.github.io/Logging_0360/tillsynsmail/A 18619-2025 tillsynsbegäran mail.docx", "A 18619-2025")</f>
        <v/>
      </c>
    </row>
    <row r="109" ht="15" customHeight="1">
      <c r="A109" t="inlineStr">
        <is>
          <t>A 16186-2026</t>
        </is>
      </c>
      <c r="B109" t="inlineStr">
        <is>
          <t>avverkningsanmälan</t>
        </is>
      </c>
      <c r="C109" t="inlineStr">
        <is>
          <t>Föryngringsavverkning</t>
        </is>
      </c>
      <c r="D109" s="1" t="n">
        <v>46111</v>
      </c>
      <c r="E109" s="1" t="n">
        <v>46216</v>
      </c>
      <c r="F109" t="inlineStr">
        <is>
          <t>UPPSALA LÄN</t>
        </is>
      </c>
      <c r="G109" t="inlineStr">
        <is>
          <t>TIERP</t>
        </is>
      </c>
      <c r="I109" t="n">
        <v>0.9</v>
      </c>
      <c r="J109" t="n">
        <v>0</v>
      </c>
      <c r="K109" t="n">
        <v>0</v>
      </c>
      <c r="L109" t="n">
        <v>1</v>
      </c>
      <c r="M109" t="n">
        <v>0</v>
      </c>
      <c r="N109" t="n">
        <v>0</v>
      </c>
      <c r="O109" t="n">
        <v>0</v>
      </c>
      <c r="P109" t="n">
        <v>0</v>
      </c>
      <c r="Q109" t="n">
        <v>1</v>
      </c>
      <c r="R109" t="n">
        <v>0</v>
      </c>
      <c r="S109" t="n">
        <v>1</v>
      </c>
      <c r="T109" t="n">
        <v>1</v>
      </c>
      <c r="U109" s="2" t="inlineStr">
        <is>
          <t>Skarp dropptaggsvamp</t>
        </is>
      </c>
      <c r="V109">
        <f>HYPERLINK("https://klasma.github.io/Logging_0360/artfynd/A 16186-2026 artfynd.xlsx", "A 16186-2026")</f>
        <v/>
      </c>
      <c r="W109">
        <f>HYPERLINK("https://klasma.github.io/Logging_0360/kartor/A 16186-2026 karta.png", "A 16186-2026")</f>
        <v/>
      </c>
      <c r="Y109">
        <f>HYPERLINK("https://klasma.github.io/Logging_0360/klagomål/A 16186-2026 FSC-klagomål.docx", "A 16186-2026")</f>
        <v/>
      </c>
      <c r="Z109">
        <f>HYPERLINK("https://klasma.github.io/Logging_0360/klagomålsmail/A 16186-2026 FSC-klagomål mail.docx", "A 16186-2026")</f>
        <v/>
      </c>
      <c r="AA109">
        <f>HYPERLINK("https://klasma.github.io/Logging_0360/tillsyn/A 16186-2026 tillsynsbegäran.docx", "A 16186-2026")</f>
        <v/>
      </c>
      <c r="AB109">
        <f>HYPERLINK("https://klasma.github.io/Logging_0360/tillsynsmail/A 16186-2026 tillsynsbegäran mail.docx", "A 16186-2026")</f>
        <v/>
      </c>
    </row>
    <row r="110" ht="15" customHeight="1">
      <c r="A110" t="inlineStr">
        <is>
          <t>A 18521-2026</t>
        </is>
      </c>
      <c r="B110" t="inlineStr">
        <is>
          <t>avverkningsanmälan</t>
        </is>
      </c>
      <c r="C110" t="inlineStr">
        <is>
          <t>Föryngringsavverkning</t>
        </is>
      </c>
      <c r="D110" s="1" t="n">
        <v>46127</v>
      </c>
      <c r="E110" s="1" t="n">
        <v>46216</v>
      </c>
      <c r="F110" t="inlineStr">
        <is>
          <t>UPPSALA LÄN</t>
        </is>
      </c>
      <c r="G110" t="inlineStr">
        <is>
          <t>TIERP</t>
        </is>
      </c>
      <c r="H110" t="inlineStr">
        <is>
          <t>Bergvik skog öst AB</t>
        </is>
      </c>
      <c r="I110" t="n">
        <v>1.9</v>
      </c>
      <c r="J110" t="n">
        <v>1</v>
      </c>
      <c r="K110" t="n">
        <v>1</v>
      </c>
      <c r="L110" t="n">
        <v>0</v>
      </c>
      <c r="M110" t="n">
        <v>0</v>
      </c>
      <c r="N110" t="n">
        <v>0</v>
      </c>
      <c r="O110" t="n">
        <v>0</v>
      </c>
      <c r="P110" t="n">
        <v>0</v>
      </c>
      <c r="Q110" t="n">
        <v>0</v>
      </c>
      <c r="R110" t="n">
        <v>0</v>
      </c>
      <c r="S110" t="n">
        <v>1</v>
      </c>
      <c r="T110" t="n">
        <v>1</v>
      </c>
      <c r="U110" s="2" t="inlineStr">
        <is>
          <t>Tvåblad</t>
        </is>
      </c>
      <c r="V110">
        <f>HYPERLINK("https://klasma.github.io/Logging_0360/artfynd/A 18521-2026 artfynd.xlsx", "A 18521-2026")</f>
        <v/>
      </c>
      <c r="W110">
        <f>HYPERLINK("https://klasma.github.io/Logging_0360/kartor/A 18521-2026 karta.png", "A 18521-2026")</f>
        <v/>
      </c>
      <c r="Y110">
        <f>HYPERLINK("https://klasma.github.io/Logging_0360/klagomål/A 18521-2026 FSC-klagomål.docx", "A 18521-2026")</f>
        <v/>
      </c>
      <c r="Z110">
        <f>HYPERLINK("https://klasma.github.io/Logging_0360/klagomålsmail/A 18521-2026 FSC-klagomål mail.docx", "A 18521-2026")</f>
        <v/>
      </c>
      <c r="AA110">
        <f>HYPERLINK("https://klasma.github.io/Logging_0360/tillsyn/A 18521-2026 tillsynsbegäran.docx", "A 18521-2026")</f>
        <v/>
      </c>
      <c r="AB110">
        <f>HYPERLINK("https://klasma.github.io/Logging_0360/tillsynsmail/A 18521-2026 tillsynsbegäran mail.docx", "A 18521-2026")</f>
        <v/>
      </c>
    </row>
    <row r="111" ht="15" customHeight="1">
      <c r="A111" t="inlineStr">
        <is>
          <t>A 19692-2026</t>
        </is>
      </c>
      <c r="B111" t="inlineStr">
        <is>
          <t>avverkningsanmälan</t>
        </is>
      </c>
      <c r="C111" t="inlineStr">
        <is>
          <t>Föryngringsavverkning</t>
        </is>
      </c>
      <c r="D111" s="1" t="n">
        <v>46134</v>
      </c>
      <c r="E111" s="1" t="n">
        <v>46216</v>
      </c>
      <c r="F111" t="inlineStr">
        <is>
          <t>UPPSALA LÄN</t>
        </is>
      </c>
      <c r="G111" t="inlineStr">
        <is>
          <t>TIERP</t>
        </is>
      </c>
      <c r="I111" t="n">
        <v>2.1</v>
      </c>
      <c r="J111" t="n">
        <v>1</v>
      </c>
      <c r="K111" t="n">
        <v>0</v>
      </c>
      <c r="L111" t="n">
        <v>0</v>
      </c>
      <c r="M111" t="n">
        <v>0</v>
      </c>
      <c r="N111" t="n">
        <v>0</v>
      </c>
      <c r="O111" t="n">
        <v>0</v>
      </c>
      <c r="P111" t="n">
        <v>0</v>
      </c>
      <c r="Q111" t="n">
        <v>0</v>
      </c>
      <c r="R111" t="n">
        <v>0</v>
      </c>
      <c r="S111" t="n">
        <v>1</v>
      </c>
      <c r="T111" t="n">
        <v>1</v>
      </c>
      <c r="U111" s="2" t="inlineStr">
        <is>
          <t>Blåsippa</t>
        </is>
      </c>
      <c r="V111">
        <f>HYPERLINK("https://klasma.github.io/Logging_0360/artfynd/A 19692-2026 artfynd.xlsx", "A 19692-2026")</f>
        <v/>
      </c>
      <c r="W111">
        <f>HYPERLINK("https://klasma.github.io/Logging_0360/kartor/A 19692-2026 karta.png", "A 19692-2026")</f>
        <v/>
      </c>
      <c r="Y111">
        <f>HYPERLINK("https://klasma.github.io/Logging_0360/klagomål/A 19692-2026 FSC-klagomål.docx", "A 19692-2026")</f>
        <v/>
      </c>
      <c r="Z111">
        <f>HYPERLINK("https://klasma.github.io/Logging_0360/klagomålsmail/A 19692-2026 FSC-klagomål mail.docx", "A 19692-2026")</f>
        <v/>
      </c>
      <c r="AA111">
        <f>HYPERLINK("https://klasma.github.io/Logging_0360/tillsyn/A 19692-2026 tillsynsbegäran.docx", "A 19692-2026")</f>
        <v/>
      </c>
      <c r="AB111">
        <f>HYPERLINK("https://klasma.github.io/Logging_0360/tillsynsmail/A 19692-2026 tillsynsbegäran mail.docx", "A 19692-2026")</f>
        <v/>
      </c>
    </row>
    <row r="112" ht="15" customHeight="1">
      <c r="A112" t="inlineStr">
        <is>
          <t>A 1572-2023</t>
        </is>
      </c>
      <c r="B112" t="inlineStr">
        <is>
          <t>avverkningsanmälan</t>
        </is>
      </c>
      <c r="C112" t="inlineStr">
        <is>
          <t>Föryngringsavverkning</t>
        </is>
      </c>
      <c r="D112" s="1" t="n">
        <v>44937</v>
      </c>
      <c r="E112" s="1" t="n">
        <v>46216</v>
      </c>
      <c r="F112" t="inlineStr">
        <is>
          <t>UPPSALA LÄN</t>
        </is>
      </c>
      <c r="G112" t="inlineStr">
        <is>
          <t>TIERP</t>
        </is>
      </c>
      <c r="I112" t="n">
        <v>7.4</v>
      </c>
      <c r="J112" t="n">
        <v>0</v>
      </c>
      <c r="K112" t="n">
        <v>1</v>
      </c>
      <c r="L112" t="n">
        <v>0</v>
      </c>
      <c r="M112" t="n">
        <v>0</v>
      </c>
      <c r="N112" t="n">
        <v>0</v>
      </c>
      <c r="O112" t="n">
        <v>0</v>
      </c>
      <c r="P112" t="n">
        <v>0</v>
      </c>
      <c r="Q112" t="n">
        <v>0</v>
      </c>
      <c r="R112" t="n">
        <v>0</v>
      </c>
      <c r="S112" t="n">
        <v>1</v>
      </c>
      <c r="T112" t="n">
        <v>1</v>
      </c>
      <c r="U112" s="2" t="inlineStr">
        <is>
          <t>Brun nållav</t>
        </is>
      </c>
      <c r="V112">
        <f>HYPERLINK("https://klasma.github.io/Logging_0360/artfynd/A 1572-2023 artfynd.xlsx", "A 1572-2023")</f>
        <v/>
      </c>
      <c r="W112">
        <f>HYPERLINK("https://klasma.github.io/Logging_0360/kartor/A 1572-2023 karta.png", "A 1572-2023")</f>
        <v/>
      </c>
      <c r="Y112">
        <f>HYPERLINK("https://klasma.github.io/Logging_0360/klagomål/A 1572-2023 FSC-klagomål.docx", "A 1572-2023")</f>
        <v/>
      </c>
      <c r="Z112">
        <f>HYPERLINK("https://klasma.github.io/Logging_0360/klagomålsmail/A 1572-2023 FSC-klagomål mail.docx", "A 1572-2023")</f>
        <v/>
      </c>
      <c r="AA112">
        <f>HYPERLINK("https://klasma.github.io/Logging_0360/tillsyn/A 1572-2023 tillsynsbegäran.docx", "A 1572-2023")</f>
        <v/>
      </c>
      <c r="AB112">
        <f>HYPERLINK("https://klasma.github.io/Logging_0360/tillsynsmail/A 1572-2023 tillsynsbegäran mail.docx", "A 1572-2023")</f>
        <v/>
      </c>
    </row>
    <row r="113" ht="15" customHeight="1">
      <c r="A113" t="inlineStr">
        <is>
          <t>A 22769-2025</t>
        </is>
      </c>
      <c r="B113" t="inlineStr">
        <is>
          <t>avverkningsanmälan</t>
        </is>
      </c>
      <c r="C113" t="inlineStr">
        <is>
          <t>Föryngringsavverkning</t>
        </is>
      </c>
      <c r="D113" s="1" t="n">
        <v>45789</v>
      </c>
      <c r="E113" s="1" t="n">
        <v>46216</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s="2" t="inlineStr">
        <is>
          <t>Vårärt</t>
        </is>
      </c>
      <c r="V113">
        <f>HYPERLINK("https://klasma.github.io/Logging_0360/artfynd/A 22769-2025 artfynd.xlsx", "A 22769-2025")</f>
        <v/>
      </c>
      <c r="W113">
        <f>HYPERLINK("https://klasma.github.io/Logging_0360/kartor/A 22769-2025 karta.png", "A 22769-2025")</f>
        <v/>
      </c>
      <c r="Y113">
        <f>HYPERLINK("https://klasma.github.io/Logging_0360/klagomål/A 22769-2025 FSC-klagomål.docx", "A 22769-2025")</f>
        <v/>
      </c>
      <c r="Z113">
        <f>HYPERLINK("https://klasma.github.io/Logging_0360/klagomålsmail/A 22769-2025 FSC-klagomål mail.docx", "A 22769-2025")</f>
        <v/>
      </c>
      <c r="AA113">
        <f>HYPERLINK("https://klasma.github.io/Logging_0360/tillsyn/A 22769-2025 tillsynsbegäran.docx", "A 22769-2025")</f>
        <v/>
      </c>
      <c r="AB113">
        <f>HYPERLINK("https://klasma.github.io/Logging_0360/tillsynsmail/A 22769-2025 tillsynsbegäran mail.docx", "A 22769-2025")</f>
        <v/>
      </c>
    </row>
    <row r="114" ht="15" customHeight="1">
      <c r="A114" t="inlineStr">
        <is>
          <t>A 25985-2026</t>
        </is>
      </c>
      <c r="B114" t="inlineStr">
        <is>
          <t>avverkningsanmälan</t>
        </is>
      </c>
      <c r="C114" t="inlineStr">
        <is>
          <t>Föryngringsavverkning</t>
        </is>
      </c>
      <c r="D114" s="1" t="n">
        <v>46181</v>
      </c>
      <c r="E114" s="1" t="n">
        <v>46216</v>
      </c>
      <c r="F114" t="inlineStr">
        <is>
          <t>UPPSALA LÄN</t>
        </is>
      </c>
      <c r="G114" t="inlineStr">
        <is>
          <t>TIERP</t>
        </is>
      </c>
      <c r="H114" t="inlineStr">
        <is>
          <t>Bergvik skog öst AB</t>
        </is>
      </c>
      <c r="I114" t="n">
        <v>4.8</v>
      </c>
      <c r="J114" t="n">
        <v>1</v>
      </c>
      <c r="K114" t="n">
        <v>1</v>
      </c>
      <c r="L114" t="n">
        <v>0</v>
      </c>
      <c r="M114" t="n">
        <v>0</v>
      </c>
      <c r="N114" t="n">
        <v>0</v>
      </c>
      <c r="O114" t="n">
        <v>0</v>
      </c>
      <c r="P114" t="n">
        <v>0</v>
      </c>
      <c r="Q114" t="n">
        <v>0</v>
      </c>
      <c r="R114" t="n">
        <v>0</v>
      </c>
      <c r="S114" t="n">
        <v>1</v>
      </c>
      <c r="T114" t="n">
        <v>1</v>
      </c>
      <c r="U114" s="2" t="inlineStr">
        <is>
          <t>Tvåblad</t>
        </is>
      </c>
      <c r="V114">
        <f>HYPERLINK("https://klasma.github.io/Logging_0360/artfynd/A 25985-2026 artfynd.xlsx", "A 25985-2026")</f>
        <v/>
      </c>
      <c r="W114">
        <f>HYPERLINK("https://klasma.github.io/Logging_0360/kartor/A 25985-2026 karta.png", "A 25985-2026")</f>
        <v/>
      </c>
      <c r="Y114">
        <f>HYPERLINK("https://klasma.github.io/Logging_0360/klagomål/A 25985-2026 FSC-klagomål.docx", "A 25985-2026")</f>
        <v/>
      </c>
      <c r="Z114">
        <f>HYPERLINK("https://klasma.github.io/Logging_0360/klagomålsmail/A 25985-2026 FSC-klagomål mail.docx", "A 25985-2026")</f>
        <v/>
      </c>
      <c r="AA114">
        <f>HYPERLINK("https://klasma.github.io/Logging_0360/tillsyn/A 25985-2026 tillsynsbegäran.docx", "A 25985-2026")</f>
        <v/>
      </c>
      <c r="AB114">
        <f>HYPERLINK("https://klasma.github.io/Logging_0360/tillsynsmail/A 25985-2026 tillsynsbegäran mail.docx", "A 25985-2026")</f>
        <v/>
      </c>
    </row>
    <row r="115" ht="15" customHeight="1">
      <c r="A115" t="inlineStr">
        <is>
          <t>A 8772-2023</t>
        </is>
      </c>
      <c r="B115" t="inlineStr">
        <is>
          <t>avverkningsanmälan</t>
        </is>
      </c>
      <c r="C115" t="inlineStr">
        <is>
          <t>Föryngringsavverkning</t>
        </is>
      </c>
      <c r="D115" s="1" t="n">
        <v>44978</v>
      </c>
      <c r="E115" s="1" t="n">
        <v>46216</v>
      </c>
      <c r="F115" t="inlineStr">
        <is>
          <t>UPPSALA LÄN</t>
        </is>
      </c>
      <c r="G115" t="inlineStr">
        <is>
          <t>TIERP</t>
        </is>
      </c>
      <c r="I115" t="n">
        <v>2.4</v>
      </c>
      <c r="J115" t="n">
        <v>0</v>
      </c>
      <c r="K115" t="n">
        <v>0</v>
      </c>
      <c r="L115" t="n">
        <v>1</v>
      </c>
      <c r="M115" t="n">
        <v>0</v>
      </c>
      <c r="N115" t="n">
        <v>0</v>
      </c>
      <c r="O115" t="n">
        <v>0</v>
      </c>
      <c r="P115" t="n">
        <v>0</v>
      </c>
      <c r="Q115" t="n">
        <v>1</v>
      </c>
      <c r="R115" t="n">
        <v>0</v>
      </c>
      <c r="S115" t="n">
        <v>1</v>
      </c>
      <c r="T115" t="n">
        <v>1</v>
      </c>
      <c r="U115" s="2" t="inlineStr">
        <is>
          <t>Kryddspindling</t>
        </is>
      </c>
      <c r="V115">
        <f>HYPERLINK("https://klasma.github.io/Logging_0360/artfynd/A 8772-2023 artfynd.xlsx", "A 8772-2023")</f>
        <v/>
      </c>
      <c r="W115">
        <f>HYPERLINK("https://klasma.github.io/Logging_0360/kartor/A 8772-2023 karta.png", "A 8772-2023")</f>
        <v/>
      </c>
      <c r="Y115">
        <f>HYPERLINK("https://klasma.github.io/Logging_0360/klagomål/A 8772-2023 FSC-klagomål.docx", "A 8772-2023")</f>
        <v/>
      </c>
      <c r="Z115">
        <f>HYPERLINK("https://klasma.github.io/Logging_0360/klagomålsmail/A 8772-2023 FSC-klagomål mail.docx", "A 8772-2023")</f>
        <v/>
      </c>
      <c r="AA115">
        <f>HYPERLINK("https://klasma.github.io/Logging_0360/tillsyn/A 8772-2023 tillsynsbegäran.docx", "A 8772-2023")</f>
        <v/>
      </c>
      <c r="AB115">
        <f>HYPERLINK("https://klasma.github.io/Logging_0360/tillsynsmail/A 8772-2023 tillsynsbegäran mail.docx", "A 8772-2023")</f>
        <v/>
      </c>
    </row>
    <row r="116" ht="15" customHeight="1">
      <c r="A116" t="inlineStr">
        <is>
          <t>A 10844-2025</t>
        </is>
      </c>
      <c r="B116" t="inlineStr">
        <is>
          <t>avverkningsanmälan</t>
        </is>
      </c>
      <c r="C116" t="inlineStr">
        <is>
          <t>Föryngringsavverkning</t>
        </is>
      </c>
      <c r="D116" s="1" t="n">
        <v>45722</v>
      </c>
      <c r="E116" s="1" t="n">
        <v>46216</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s="2" t="inlineStr">
        <is>
          <t>Blåsippa</t>
        </is>
      </c>
      <c r="V116">
        <f>HYPERLINK("https://klasma.github.io/Logging_0360/artfynd/A 10844-2025 artfynd.xlsx", "A 10844-2025")</f>
        <v/>
      </c>
      <c r="W116">
        <f>HYPERLINK("https://klasma.github.io/Logging_0360/kartor/A 10844-2025 karta.png", "A 10844-2025")</f>
        <v/>
      </c>
      <c r="Y116">
        <f>HYPERLINK("https://klasma.github.io/Logging_0360/klagomål/A 10844-2025 FSC-klagomål.docx", "A 10844-2025")</f>
        <v/>
      </c>
      <c r="Z116">
        <f>HYPERLINK("https://klasma.github.io/Logging_0360/klagomålsmail/A 10844-2025 FSC-klagomål mail.docx", "A 10844-2025")</f>
        <v/>
      </c>
      <c r="AA116">
        <f>HYPERLINK("https://klasma.github.io/Logging_0360/tillsyn/A 10844-2025 tillsynsbegäran.docx", "A 10844-2025")</f>
        <v/>
      </c>
      <c r="AB116">
        <f>HYPERLINK("https://klasma.github.io/Logging_0360/tillsynsmail/A 10844-2025 tillsynsbegäran mail.docx", "A 10844-2025")</f>
        <v/>
      </c>
    </row>
    <row r="117" ht="15" customHeight="1">
      <c r="A117" t="inlineStr">
        <is>
          <t>A 21566-2026</t>
        </is>
      </c>
      <c r="B117" t="inlineStr">
        <is>
          <t>avverkningsanmälan</t>
        </is>
      </c>
      <c r="C117" t="inlineStr">
        <is>
          <t>Föryngringsavverkning</t>
        </is>
      </c>
      <c r="D117" s="1" t="n">
        <v>46148</v>
      </c>
      <c r="E117" s="1" t="n">
        <v>46216</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s="2" t="inlineStr">
        <is>
          <t>Klasefibbla</t>
        </is>
      </c>
      <c r="V117">
        <f>HYPERLINK("https://klasma.github.io/Logging_0360/artfynd/A 21566-2026 artfynd.xlsx", "A 21566-2026")</f>
        <v/>
      </c>
      <c r="W117">
        <f>HYPERLINK("https://klasma.github.io/Logging_0360/kartor/A 21566-2026 karta.png", "A 21566-2026")</f>
        <v/>
      </c>
      <c r="Y117">
        <f>HYPERLINK("https://klasma.github.io/Logging_0360/klagomål/A 21566-2026 FSC-klagomål.docx", "A 21566-2026")</f>
        <v/>
      </c>
      <c r="Z117">
        <f>HYPERLINK("https://klasma.github.io/Logging_0360/klagomålsmail/A 21566-2026 FSC-klagomål mail.docx", "A 21566-2026")</f>
        <v/>
      </c>
      <c r="AA117">
        <f>HYPERLINK("https://klasma.github.io/Logging_0360/tillsyn/A 21566-2026 tillsynsbegäran.docx", "A 21566-2026")</f>
        <v/>
      </c>
      <c r="AB117">
        <f>HYPERLINK("https://klasma.github.io/Logging_0360/tillsynsmail/A 21566-2026 tillsynsbegäran mail.docx", "A 21566-2026")</f>
        <v/>
      </c>
    </row>
    <row r="118" ht="15" customHeight="1">
      <c r="A118" t="inlineStr">
        <is>
          <t>A 23128-2026</t>
        </is>
      </c>
      <c r="B118" t="inlineStr">
        <is>
          <t>avverkningsanmälan</t>
        </is>
      </c>
      <c r="C118" t="inlineStr">
        <is>
          <t>Föryngringsavverkning</t>
        </is>
      </c>
      <c r="D118" s="1" t="n">
        <v>46161</v>
      </c>
      <c r="E118" s="1" t="n">
        <v>46216</v>
      </c>
      <c r="F118" t="inlineStr">
        <is>
          <t>UPPSALA LÄN</t>
        </is>
      </c>
      <c r="G118" t="inlineStr">
        <is>
          <t>TIERP</t>
        </is>
      </c>
      <c r="H118" t="inlineStr">
        <is>
          <t>Bergvik skog öst AB</t>
        </is>
      </c>
      <c r="I118" t="n">
        <v>2.7</v>
      </c>
      <c r="J118" t="n">
        <v>1</v>
      </c>
      <c r="K118" t="n">
        <v>1</v>
      </c>
      <c r="L118" t="n">
        <v>0</v>
      </c>
      <c r="M118" t="n">
        <v>0</v>
      </c>
      <c r="N118" t="n">
        <v>0</v>
      </c>
      <c r="O118" t="n">
        <v>0</v>
      </c>
      <c r="P118" t="n">
        <v>0</v>
      </c>
      <c r="Q118" t="n">
        <v>0</v>
      </c>
      <c r="R118" t="n">
        <v>0</v>
      </c>
      <c r="S118" t="n">
        <v>1</v>
      </c>
      <c r="T118" t="n">
        <v>1</v>
      </c>
      <c r="U118" s="2" t="inlineStr">
        <is>
          <t>Nästrot</t>
        </is>
      </c>
      <c r="V118">
        <f>HYPERLINK("https://klasma.github.io/Logging_0360/artfynd/A 23128-2026 artfynd.xlsx", "A 23128-2026")</f>
        <v/>
      </c>
      <c r="W118">
        <f>HYPERLINK("https://klasma.github.io/Logging_0360/kartor/A 23128-2026 karta.png", "A 23128-2026")</f>
        <v/>
      </c>
      <c r="Y118">
        <f>HYPERLINK("https://klasma.github.io/Logging_0360/klagomål/A 23128-2026 FSC-klagomål.docx", "A 23128-2026")</f>
        <v/>
      </c>
      <c r="Z118">
        <f>HYPERLINK("https://klasma.github.io/Logging_0360/klagomålsmail/A 23128-2026 FSC-klagomål mail.docx", "A 23128-2026")</f>
        <v/>
      </c>
      <c r="AA118">
        <f>HYPERLINK("https://klasma.github.io/Logging_0360/tillsyn/A 23128-2026 tillsynsbegäran.docx", "A 23128-2026")</f>
        <v/>
      </c>
      <c r="AB118">
        <f>HYPERLINK("https://klasma.github.io/Logging_0360/tillsynsmail/A 23128-2026 tillsynsbegäran mail.docx", "A 23128-2026")</f>
        <v/>
      </c>
    </row>
    <row r="119" ht="15" customHeight="1">
      <c r="A119" t="inlineStr">
        <is>
          <t>A 14527-2025</t>
        </is>
      </c>
      <c r="B119" t="inlineStr">
        <is>
          <t>avverkningsanmälan</t>
        </is>
      </c>
      <c r="C119" t="inlineStr">
        <is>
          <t>Föryngringsavverkning</t>
        </is>
      </c>
      <c r="D119" s="1" t="n">
        <v>45741</v>
      </c>
      <c r="E119" s="1" t="n">
        <v>46216</v>
      </c>
      <c r="F119" t="inlineStr">
        <is>
          <t>UPPSALA LÄN</t>
        </is>
      </c>
      <c r="G119" t="inlineStr">
        <is>
          <t>TIERP</t>
        </is>
      </c>
      <c r="H119" t="inlineStr">
        <is>
          <t>Bergvik skog väst AB</t>
        </is>
      </c>
      <c r="I119" t="n">
        <v>0.5</v>
      </c>
      <c r="J119" t="n">
        <v>0</v>
      </c>
      <c r="K119" t="n">
        <v>0</v>
      </c>
      <c r="L119" t="n">
        <v>0</v>
      </c>
      <c r="M119" t="n">
        <v>0</v>
      </c>
      <c r="N119" t="n">
        <v>1</v>
      </c>
      <c r="O119" t="n">
        <v>0</v>
      </c>
      <c r="P119" t="n">
        <v>0</v>
      </c>
      <c r="Q119" t="n">
        <v>1</v>
      </c>
      <c r="R119" t="n">
        <v>1</v>
      </c>
      <c r="S119" t="n">
        <v>1</v>
      </c>
      <c r="T119" t="n">
        <v>1</v>
      </c>
      <c r="U119" s="2" t="inlineStr">
        <is>
          <t>Ask</t>
        </is>
      </c>
      <c r="V119">
        <f>HYPERLINK("https://klasma.github.io/Logging_0360/artfynd/A 14527-2025 artfynd.xlsx", "A 14527-2025")</f>
        <v/>
      </c>
      <c r="W119">
        <f>HYPERLINK("https://klasma.github.io/Logging_0360/kartor/A 14527-2025 karta.png", "A 14527-2025")</f>
        <v/>
      </c>
      <c r="Y119">
        <f>HYPERLINK("https://klasma.github.io/Logging_0360/klagomål/A 14527-2025 FSC-klagomål.docx", "A 14527-2025")</f>
        <v/>
      </c>
      <c r="Z119">
        <f>HYPERLINK("https://klasma.github.io/Logging_0360/klagomålsmail/A 14527-2025 FSC-klagomål mail.docx", "A 14527-2025")</f>
        <v/>
      </c>
      <c r="AA119">
        <f>HYPERLINK("https://klasma.github.io/Logging_0360/tillsyn/A 14527-2025 tillsynsbegäran.docx", "A 14527-2025")</f>
        <v/>
      </c>
      <c r="AB119">
        <f>HYPERLINK("https://klasma.github.io/Logging_0360/tillsynsmail/A 14527-2025 tillsynsbegäran mail.docx", "A 14527-2025")</f>
        <v/>
      </c>
    </row>
    <row r="120" ht="15" customHeight="1">
      <c r="A120" t="inlineStr">
        <is>
          <t>A 2298-2024</t>
        </is>
      </c>
      <c r="B120" t="inlineStr">
        <is>
          <t>avverkningsanmälan</t>
        </is>
      </c>
      <c r="C120" t="inlineStr">
        <is>
          <t>Föryngringsavverkning</t>
        </is>
      </c>
      <c r="D120" s="1" t="n">
        <v>45310</v>
      </c>
      <c r="E120" s="1" t="n">
        <v>46216</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s="2" t="inlineStr">
        <is>
          <t>Fyrflikig jordstjärna</t>
        </is>
      </c>
      <c r="V120">
        <f>HYPERLINK("https://klasma.github.io/Logging_0360/artfynd/A 2298-2024 artfynd.xlsx", "A 2298-2024")</f>
        <v/>
      </c>
      <c r="W120">
        <f>HYPERLINK("https://klasma.github.io/Logging_0360/kartor/A 2298-2024 karta.png", "A 2298-2024")</f>
        <v/>
      </c>
      <c r="Y120">
        <f>HYPERLINK("https://klasma.github.io/Logging_0360/klagomål/A 2298-2024 FSC-klagomål.docx", "A 2298-2024")</f>
        <v/>
      </c>
      <c r="Z120">
        <f>HYPERLINK("https://klasma.github.io/Logging_0360/klagomålsmail/A 2298-2024 FSC-klagomål mail.docx", "A 2298-2024")</f>
        <v/>
      </c>
      <c r="AA120">
        <f>HYPERLINK("https://klasma.github.io/Logging_0360/tillsyn/A 2298-2024 tillsynsbegäran.docx", "A 2298-2024")</f>
        <v/>
      </c>
      <c r="AB120">
        <f>HYPERLINK("https://klasma.github.io/Logging_0360/tillsynsmail/A 2298-2024 tillsynsbegäran mail.docx", "A 2298-2024")</f>
        <v/>
      </c>
    </row>
    <row r="121" ht="15" customHeight="1">
      <c r="A121" t="inlineStr">
        <is>
          <t>A 30213-2026</t>
        </is>
      </c>
      <c r="B121" t="inlineStr">
        <is>
          <t>avverkningsanmälan</t>
        </is>
      </c>
      <c r="C121" t="inlineStr">
        <is>
          <t>Föryngringsavverkning</t>
        </is>
      </c>
      <c r="D121" s="1" t="n">
        <v>46206</v>
      </c>
      <c r="E121" s="1" t="n">
        <v>46216</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s="2" t="inlineStr">
        <is>
          <t>Tjäder</t>
        </is>
      </c>
      <c r="V121">
        <f>HYPERLINK("https://klasma.github.io/Logging_0360/artfynd/A 30213-2026 artfynd.xlsx", "A 30213-2026")</f>
        <v/>
      </c>
      <c r="W121">
        <f>HYPERLINK("https://klasma.github.io/Logging_0360/kartor/A 30213-2026 karta.png", "A 30213-2026")</f>
        <v/>
      </c>
      <c r="Y121">
        <f>HYPERLINK("https://klasma.github.io/Logging_0360/klagomål/A 30213-2026 FSC-klagomål.docx", "A 30213-2026")</f>
        <v/>
      </c>
      <c r="Z121">
        <f>HYPERLINK("https://klasma.github.io/Logging_0360/klagomålsmail/A 30213-2026 FSC-klagomål mail.docx", "A 30213-2026")</f>
        <v/>
      </c>
      <c r="AA121">
        <f>HYPERLINK("https://klasma.github.io/Logging_0360/tillsyn/A 30213-2026 tillsynsbegäran.docx", "A 30213-2026")</f>
        <v/>
      </c>
      <c r="AB121">
        <f>HYPERLINK("https://klasma.github.io/Logging_0360/tillsynsmail/A 30213-2026 tillsynsbegäran mail.docx", "A 30213-2026")</f>
        <v/>
      </c>
      <c r="AC121">
        <f>HYPERLINK("https://klasma.github.io/Logging_0360/fåglar/A 30213-2026 prioriterade fågelarter.docx", "A 30213-2026")</f>
        <v/>
      </c>
    </row>
    <row r="122" ht="15" customHeight="1">
      <c r="A122" t="inlineStr">
        <is>
          <t>A 24611-2026</t>
        </is>
      </c>
      <c r="B122" t="inlineStr">
        <is>
          <t>avverkningsanmälan</t>
        </is>
      </c>
      <c r="C122" t="inlineStr">
        <is>
          <t>Föryngringsavverkning</t>
        </is>
      </c>
      <c r="D122" s="1" t="n">
        <v>46171</v>
      </c>
      <c r="E122" s="1" t="n">
        <v>46216</v>
      </c>
      <c r="F122" t="inlineStr">
        <is>
          <t>UPPSALA LÄN</t>
        </is>
      </c>
      <c r="G122" t="inlineStr">
        <is>
          <t>TIERP</t>
        </is>
      </c>
      <c r="H122" t="inlineStr">
        <is>
          <t>Bergvik skog väst AB</t>
        </is>
      </c>
      <c r="I122" t="n">
        <v>2.9</v>
      </c>
      <c r="J122" t="n">
        <v>0</v>
      </c>
      <c r="K122" t="n">
        <v>0</v>
      </c>
      <c r="L122" t="n">
        <v>1</v>
      </c>
      <c r="M122" t="n">
        <v>0</v>
      </c>
      <c r="N122" t="n">
        <v>0</v>
      </c>
      <c r="O122" t="n">
        <v>0</v>
      </c>
      <c r="P122" t="n">
        <v>0</v>
      </c>
      <c r="Q122" t="n">
        <v>1</v>
      </c>
      <c r="R122" t="n">
        <v>0</v>
      </c>
      <c r="S122" t="n">
        <v>1</v>
      </c>
      <c r="T122" t="n">
        <v>1</v>
      </c>
      <c r="U122" s="2" t="inlineStr">
        <is>
          <t>Skogsklocka</t>
        </is>
      </c>
      <c r="V122">
        <f>HYPERLINK("https://klasma.github.io/Logging_0360/artfynd/A 24611-2026 artfynd.xlsx", "A 24611-2026")</f>
        <v/>
      </c>
      <c r="W122">
        <f>HYPERLINK("https://klasma.github.io/Logging_0360/kartor/A 24611-2026 karta.png", "A 24611-2026")</f>
        <v/>
      </c>
      <c r="Y122">
        <f>HYPERLINK("https://klasma.github.io/Logging_0360/klagomål/A 24611-2026 FSC-klagomål.docx", "A 24611-2026")</f>
        <v/>
      </c>
      <c r="Z122">
        <f>HYPERLINK("https://klasma.github.io/Logging_0360/klagomålsmail/A 24611-2026 FSC-klagomål mail.docx", "A 24611-2026")</f>
        <v/>
      </c>
      <c r="AA122">
        <f>HYPERLINK("https://klasma.github.io/Logging_0360/tillsyn/A 24611-2026 tillsynsbegäran.docx", "A 24611-2026")</f>
        <v/>
      </c>
      <c r="AB122">
        <f>HYPERLINK("https://klasma.github.io/Logging_0360/tillsynsmail/A 24611-2026 tillsynsbegäran mail.docx", "A 24611-2026")</f>
        <v/>
      </c>
    </row>
    <row r="123" ht="15" customHeight="1">
      <c r="A123" t="inlineStr">
        <is>
          <t>A 30891-2026</t>
        </is>
      </c>
      <c r="B123" t="inlineStr">
        <is>
          <t>avverkningsanmälan</t>
        </is>
      </c>
      <c r="C123" t="inlineStr">
        <is>
          <t>Föryngringsavverkning</t>
        </is>
      </c>
      <c r="D123" s="1" t="n">
        <v>46213</v>
      </c>
      <c r="E123" s="1" t="n">
        <v>46216</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s="2" t="inlineStr">
        <is>
          <t>Rödgul trumpetsvamp</t>
        </is>
      </c>
      <c r="V123">
        <f>HYPERLINK("https://klasma.github.io/Logging_0360/artfynd/A 30891-2026 artfynd.xlsx", "A 30891-2026")</f>
        <v/>
      </c>
      <c r="W123">
        <f>HYPERLINK("https://klasma.github.io/Logging_0360/kartor/A 30891-2026 karta.png", "A 30891-2026")</f>
        <v/>
      </c>
      <c r="X123">
        <f>HYPERLINK("https://klasma.github.io/Logging_0360/knärot/A 30891-2026 karta knärot.png", "A 30891-2026")</f>
        <v/>
      </c>
      <c r="Y123">
        <f>HYPERLINK("https://klasma.github.io/Logging_0360/klagomål/A 30891-2026 FSC-klagomål.docx", "A 30891-2026")</f>
        <v/>
      </c>
      <c r="Z123">
        <f>HYPERLINK("https://klasma.github.io/Logging_0360/klagomålsmail/A 30891-2026 FSC-klagomål mail.docx", "A 30891-2026")</f>
        <v/>
      </c>
      <c r="AA123">
        <f>HYPERLINK("https://klasma.github.io/Logging_0360/tillsyn/A 30891-2026 tillsynsbegäran.docx", "A 30891-2026")</f>
        <v/>
      </c>
      <c r="AB123">
        <f>HYPERLINK("https://klasma.github.io/Logging_0360/tillsynsmail/A 30891-2026 tillsynsbegäran mail.docx", "A 30891-2026")</f>
        <v/>
      </c>
    </row>
    <row r="124" ht="15" customHeight="1">
      <c r="A124" t="inlineStr">
        <is>
          <t>A 21889-2025</t>
        </is>
      </c>
      <c r="B124" t="inlineStr">
        <is>
          <t>avverkningsanmälan</t>
        </is>
      </c>
      <c r="C124" t="inlineStr">
        <is>
          <t>Föryngringsavverkning</t>
        </is>
      </c>
      <c r="D124" s="1" t="n">
        <v>45784</v>
      </c>
      <c r="E124" s="1" t="n">
        <v>46216</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s="2" t="inlineStr">
        <is>
          <t>Igelkott</t>
        </is>
      </c>
      <c r="V124">
        <f>HYPERLINK("https://klasma.github.io/Logging_0360/artfynd/A 21889-2025 artfynd.xlsx", "A 21889-2025")</f>
        <v/>
      </c>
      <c r="W124">
        <f>HYPERLINK("https://klasma.github.io/Logging_0360/kartor/A 21889-2025 karta.png", "A 21889-2025")</f>
        <v/>
      </c>
      <c r="Y124">
        <f>HYPERLINK("https://klasma.github.io/Logging_0360/klagomål/A 21889-2025 FSC-klagomål.docx", "A 21889-2025")</f>
        <v/>
      </c>
      <c r="Z124">
        <f>HYPERLINK("https://klasma.github.io/Logging_0360/klagomålsmail/A 21889-2025 FSC-klagomål mail.docx", "A 21889-2025")</f>
        <v/>
      </c>
      <c r="AA124">
        <f>HYPERLINK("https://klasma.github.io/Logging_0360/tillsyn/A 21889-2025 tillsynsbegäran.docx", "A 21889-2025")</f>
        <v/>
      </c>
      <c r="AB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46216</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s="2" t="inlineStr">
        <is>
          <t>Ask</t>
        </is>
      </c>
      <c r="V125">
        <f>HYPERLINK("https://klasma.github.io/Logging_0360/artfynd/A 22601-2025 artfynd.xlsx", "A 22601-2025")</f>
        <v/>
      </c>
      <c r="W125">
        <f>HYPERLINK("https://klasma.github.io/Logging_0360/kartor/A 22601-2025 karta.png", "A 22601-2025")</f>
        <v/>
      </c>
      <c r="Y125">
        <f>HYPERLINK("https://klasma.github.io/Logging_0360/klagomål/A 22601-2025 FSC-klagomål.docx", "A 22601-2025")</f>
        <v/>
      </c>
      <c r="Z125">
        <f>HYPERLINK("https://klasma.github.io/Logging_0360/klagomålsmail/A 22601-2025 FSC-klagomål mail.docx", "A 22601-2025")</f>
        <v/>
      </c>
      <c r="AA125">
        <f>HYPERLINK("https://klasma.github.io/Logging_0360/tillsyn/A 22601-2025 tillsynsbegäran.docx", "A 22601-2025")</f>
        <v/>
      </c>
      <c r="AB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46216</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s="2" t="inlineStr">
        <is>
          <t>Talltita</t>
        </is>
      </c>
      <c r="V126">
        <f>HYPERLINK("https://klasma.github.io/Logging_0360/artfynd/A 55331-2024 artfynd.xlsx", "A 55331-2024")</f>
        <v/>
      </c>
      <c r="W126">
        <f>HYPERLINK("https://klasma.github.io/Logging_0360/kartor/A 55331-2024 karta.png", "A 55331-2024")</f>
        <v/>
      </c>
      <c r="Y126">
        <f>HYPERLINK("https://klasma.github.io/Logging_0360/klagomål/A 55331-2024 FSC-klagomål.docx", "A 55331-2024")</f>
        <v/>
      </c>
      <c r="Z126">
        <f>HYPERLINK("https://klasma.github.io/Logging_0360/klagomålsmail/A 55331-2024 FSC-klagomål mail.docx", "A 55331-2024")</f>
        <v/>
      </c>
      <c r="AA126">
        <f>HYPERLINK("https://klasma.github.io/Logging_0360/tillsyn/A 55331-2024 tillsynsbegäran.docx", "A 55331-2024")</f>
        <v/>
      </c>
      <c r="AB126">
        <f>HYPERLINK("https://klasma.github.io/Logging_0360/tillsynsmail/A 55331-2024 tillsynsbegäran mail.docx", "A 55331-2024")</f>
        <v/>
      </c>
      <c r="AC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46216</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s="2" t="inlineStr">
        <is>
          <t>Vågticka</t>
        </is>
      </c>
      <c r="V127">
        <f>HYPERLINK("https://klasma.github.io/Logging_0360/artfynd/A 44382-2024 artfynd.xlsx", "A 44382-2024")</f>
        <v/>
      </c>
      <c r="W127">
        <f>HYPERLINK("https://klasma.github.io/Logging_0360/kartor/A 44382-2024 karta.png", "A 44382-2024")</f>
        <v/>
      </c>
      <c r="Y127">
        <f>HYPERLINK("https://klasma.github.io/Logging_0360/klagomål/A 44382-2024 FSC-klagomål.docx", "A 44382-2024")</f>
        <v/>
      </c>
      <c r="Z127">
        <f>HYPERLINK("https://klasma.github.io/Logging_0360/klagomålsmail/A 44382-2024 FSC-klagomål mail.docx", "A 44382-2024")</f>
        <v/>
      </c>
      <c r="AA127">
        <f>HYPERLINK("https://klasma.github.io/Logging_0360/tillsyn/A 44382-2024 tillsynsbegäran.docx", "A 44382-2024")</f>
        <v/>
      </c>
      <c r="AB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46216</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4505-2023 artfynd.xlsx", "S 4505-2023")</f>
        <v/>
      </c>
      <c r="W128">
        <f>HYPERLINK("https://klasma.github.io/Logging_0360/kartor/S 4505-2023 karta.png", "S 4505-2023")</f>
        <v/>
      </c>
      <c r="Y128">
        <f>HYPERLINK("https://klasma.github.io/Logging_0360/klagomål/S 4505-2023 FSC-klagomål.docx", "S 4505-2023")</f>
        <v/>
      </c>
      <c r="Z128">
        <f>HYPERLINK("https://klasma.github.io/Logging_0360/klagomålsmail/S 4505-2023 FSC-klagomål mail.docx", "S 4505-2023")</f>
        <v/>
      </c>
      <c r="AA128">
        <f>HYPERLINK("https://klasma.github.io/Logging_0360/tillsyn/S 4505-2023 tillsynsbegäran.docx", "S 4505-2023")</f>
        <v/>
      </c>
      <c r="AB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46216</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490-2022 artfynd.xlsx", "S 490-2022")</f>
        <v/>
      </c>
      <c r="W129">
        <f>HYPERLINK("https://klasma.github.io/Logging_0360/kartor/S 490-2022 karta.png", "S 490-2022")</f>
        <v/>
      </c>
      <c r="Y129">
        <f>HYPERLINK("https://klasma.github.io/Logging_0360/klagomål/S 490-2022 FSC-klagomål.docx", "S 490-2022")</f>
        <v/>
      </c>
      <c r="Z129">
        <f>HYPERLINK("https://klasma.github.io/Logging_0360/klagomålsmail/S 490-2022 FSC-klagomål mail.docx", "S 490-2022")</f>
        <v/>
      </c>
      <c r="AA129">
        <f>HYPERLINK("https://klasma.github.io/Logging_0360/tillsyn/S 490-2022 tillsynsbegäran.docx", "S 490-2022")</f>
        <v/>
      </c>
      <c r="AB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46216</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46216</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46216</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46216</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46216</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46216</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22810-2022</t>
        </is>
      </c>
      <c r="B136" t="inlineStr">
        <is>
          <t>avverkningsanmälan</t>
        </is>
      </c>
      <c r="C136" t="inlineStr">
        <is>
          <t>Föryngringsavverkning</t>
        </is>
      </c>
      <c r="D136" s="1" t="n">
        <v>44715</v>
      </c>
      <c r="E136" s="1" t="n">
        <v>46216</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65255-2021</t>
        </is>
      </c>
      <c r="B137" t="inlineStr">
        <is>
          <t>avverkningsanmälan</t>
        </is>
      </c>
      <c r="C137" t="inlineStr">
        <is>
          <t>Föryngringsavverkning</t>
        </is>
      </c>
      <c r="D137" s="1" t="n">
        <v>44515</v>
      </c>
      <c r="E137" s="1" t="n">
        <v>46216</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46216</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46216</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46216</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46216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46216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46216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46216</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46216</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46216</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46216</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10783-2022</t>
        </is>
      </c>
      <c r="B148" t="inlineStr">
        <is>
          <t>avverkningsanmälan</t>
        </is>
      </c>
      <c r="C148" t="inlineStr">
        <is>
          <t>Föryngringsavverkning</t>
        </is>
      </c>
      <c r="D148" s="1" t="n">
        <v>44627</v>
      </c>
      <c r="E148" s="1" t="n">
        <v>46216</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s="2" t="inlineStr"/>
    </row>
    <row r="149" ht="15" customHeight="1">
      <c r="A149" t="inlineStr">
        <is>
          <t>A 2795-2022</t>
        </is>
      </c>
      <c r="B149" t="inlineStr">
        <is>
          <t>avverkningsanmälan</t>
        </is>
      </c>
      <c r="C149" t="inlineStr">
        <is>
          <t>Föryngringsavverkning</t>
        </is>
      </c>
      <c r="D149" s="1" t="n">
        <v>44581</v>
      </c>
      <c r="E149" s="1" t="n">
        <v>46216</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46216</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46216</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46216</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46216</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46216</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46216</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46216</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46216</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46216</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46216</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46216</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46216</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46216</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46216</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46216</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46216</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46216</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46216</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46216</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46216</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46216</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46216</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46216</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46216</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46216</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53766-2021</t>
        </is>
      </c>
      <c r="B175" t="inlineStr">
        <is>
          <t>avverkningsanmälan</t>
        </is>
      </c>
      <c r="C175" t="inlineStr">
        <is>
          <t>Föryngringsavverkning</t>
        </is>
      </c>
      <c r="D175" s="1" t="n">
        <v>44469</v>
      </c>
      <c r="E175" s="1" t="n">
        <v>46216</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59378-2021</t>
        </is>
      </c>
      <c r="B176" t="inlineStr">
        <is>
          <t>avverkningsanmälan</t>
        </is>
      </c>
      <c r="C176" t="inlineStr">
        <is>
          <t>Föryngringsavverkning</t>
        </is>
      </c>
      <c r="D176" s="1" t="n">
        <v>44491</v>
      </c>
      <c r="E176" s="1" t="n">
        <v>46216</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46216</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46216</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16556-2022</t>
        </is>
      </c>
      <c r="B179" t="inlineStr">
        <is>
          <t>avverkningsanmälan</t>
        </is>
      </c>
      <c r="C179" t="inlineStr">
        <is>
          <t>Föryngringsavverkning</t>
        </is>
      </c>
      <c r="D179" s="1" t="n">
        <v>44672</v>
      </c>
      <c r="E179" s="1" t="n">
        <v>46216</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53666-2021</t>
        </is>
      </c>
      <c r="B180" t="inlineStr">
        <is>
          <t>avverkningsanmälan</t>
        </is>
      </c>
      <c r="C180" t="inlineStr">
        <is>
          <t>Föryngringsavverkning</t>
        </is>
      </c>
      <c r="D180" s="1" t="n">
        <v>44469</v>
      </c>
      <c r="E180" s="1" t="n">
        <v>46216</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46216</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46216</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28881-2022</t>
        </is>
      </c>
      <c r="B183" t="inlineStr">
        <is>
          <t>avverkningsanmälan</t>
        </is>
      </c>
      <c r="C183" t="inlineStr">
        <is>
          <t>Föryngringsavverkning</t>
        </is>
      </c>
      <c r="D183" s="1" t="n">
        <v>44749</v>
      </c>
      <c r="E183" s="1" t="n">
        <v>46216</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10780-2022</t>
        </is>
      </c>
      <c r="B184" t="inlineStr">
        <is>
          <t>avverkningsanmälan</t>
        </is>
      </c>
      <c r="C184" t="inlineStr">
        <is>
          <t>Föryngringsavverkning</t>
        </is>
      </c>
      <c r="D184" s="1" t="n">
        <v>44627</v>
      </c>
      <c r="E184" s="1" t="n">
        <v>46216</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10785-2022</t>
        </is>
      </c>
      <c r="B185" t="inlineStr">
        <is>
          <t>avverkningsanmälan</t>
        </is>
      </c>
      <c r="C185" t="inlineStr">
        <is>
          <t>Föryngringsavverkning</t>
        </is>
      </c>
      <c r="D185" s="1" t="n">
        <v>44627</v>
      </c>
      <c r="E185" s="1" t="n">
        <v>46216</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39802-2022</t>
        </is>
      </c>
      <c r="B186" t="inlineStr">
        <is>
          <t>avverkningsanmälan</t>
        </is>
      </c>
      <c r="C186" t="inlineStr">
        <is>
          <t>Föryngringsavverkning</t>
        </is>
      </c>
      <c r="D186" s="1" t="n">
        <v>44819</v>
      </c>
      <c r="E186" s="1" t="n">
        <v>46216</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s="2" t="inlineStr"/>
    </row>
    <row r="187" ht="15" customHeight="1">
      <c r="A187" t="inlineStr">
        <is>
          <t>A 2901-2023</t>
        </is>
      </c>
      <c r="B187" t="inlineStr">
        <is>
          <t>avverkningsanmälan</t>
        </is>
      </c>
      <c r="C187" t="inlineStr">
        <is>
          <t>Föryngringsavverkning</t>
        </is>
      </c>
      <c r="D187" s="1" t="n">
        <v>44945</v>
      </c>
      <c r="E187" s="1" t="n">
        <v>46216</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58900-2023</t>
        </is>
      </c>
      <c r="B188" t="inlineStr">
        <is>
          <t>avverkningsanmälan</t>
        </is>
      </c>
      <c r="C188" t="inlineStr">
        <is>
          <t>Avverkning för annat ändamål</t>
        </is>
      </c>
      <c r="D188" s="1" t="n">
        <v>45252</v>
      </c>
      <c r="E188" s="1" t="n">
        <v>46216</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58947-2023</t>
        </is>
      </c>
      <c r="B189" t="inlineStr">
        <is>
          <t>avverkningsanmälan</t>
        </is>
      </c>
      <c r="C189" t="inlineStr">
        <is>
          <t>Föryngringsavverkning</t>
        </is>
      </c>
      <c r="D189" s="1" t="n">
        <v>45252</v>
      </c>
      <c r="E189" s="1" t="n">
        <v>46216</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48486-2022</t>
        </is>
      </c>
      <c r="B190" t="inlineStr">
        <is>
          <t>avverkningsanmälan</t>
        </is>
      </c>
      <c r="C190" t="inlineStr">
        <is>
          <t>Föryngringsavverkning</t>
        </is>
      </c>
      <c r="D190" s="1" t="n">
        <v>44858</v>
      </c>
      <c r="E190" s="1" t="n">
        <v>46216</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59350-2021</t>
        </is>
      </c>
      <c r="B191" t="inlineStr">
        <is>
          <t>avverkningsanmälan</t>
        </is>
      </c>
      <c r="C191" t="inlineStr">
        <is>
          <t>Föryngringsavverkning</t>
        </is>
      </c>
      <c r="D191" s="1" t="n">
        <v>44491</v>
      </c>
      <c r="E191" s="1" t="n">
        <v>46216</v>
      </c>
      <c r="F191" t="inlineStr">
        <is>
          <t>UPPSALA LÄN</t>
        </is>
      </c>
      <c r="G191" t="inlineStr">
        <is>
          <t>TIERP</t>
        </is>
      </c>
      <c r="H191" t="inlineStr">
        <is>
          <t>Bergvik skog öst AB</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44430-2023</t>
        </is>
      </c>
      <c r="B192" t="inlineStr">
        <is>
          <t>avverkningsanmälan</t>
        </is>
      </c>
      <c r="C192" t="inlineStr">
        <is>
          <t>Föryngringsavverkning</t>
        </is>
      </c>
      <c r="D192" s="1" t="n">
        <v>45189</v>
      </c>
      <c r="E192" s="1" t="n">
        <v>46216</v>
      </c>
      <c r="F192" t="inlineStr">
        <is>
          <t>UPPSALA LÄN</t>
        </is>
      </c>
      <c r="G192" t="inlineStr">
        <is>
          <t>TIERP</t>
        </is>
      </c>
      <c r="H192" t="inlineStr">
        <is>
          <t>Bergvik skog öst AB</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45915-2024</t>
        </is>
      </c>
      <c r="B193" t="inlineStr">
        <is>
          <t>avverkningsanmälan</t>
        </is>
      </c>
      <c r="C193" t="inlineStr">
        <is>
          <t>Föryngringsavverkning</t>
        </is>
      </c>
      <c r="D193" s="1" t="n">
        <v>45580</v>
      </c>
      <c r="E193" s="1" t="n">
        <v>46216</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25408-2023</t>
        </is>
      </c>
      <c r="B194" t="inlineStr">
        <is>
          <t>avverkningsanmälan</t>
        </is>
      </c>
      <c r="C194" t="inlineStr">
        <is>
          <t>Föryngringsavverkning</t>
        </is>
      </c>
      <c r="D194" s="1" t="n">
        <v>45080</v>
      </c>
      <c r="E194" s="1" t="n">
        <v>46216</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4343-2025</t>
        </is>
      </c>
      <c r="B195" t="inlineStr">
        <is>
          <t>avverkningsanmälan</t>
        </is>
      </c>
      <c r="C195" t="inlineStr">
        <is>
          <t>Föryngringsavverkning</t>
        </is>
      </c>
      <c r="D195" s="1" t="n">
        <v>45685</v>
      </c>
      <c r="E195" s="1" t="n">
        <v>46216</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46275-2022</t>
        </is>
      </c>
      <c r="B196" t="inlineStr">
        <is>
          <t>avverkningsanmälan</t>
        </is>
      </c>
      <c r="C196" t="inlineStr">
        <is>
          <t>Föryngringsavverkning</t>
        </is>
      </c>
      <c r="D196" s="1" t="n">
        <v>44847</v>
      </c>
      <c r="E196" s="1" t="n">
        <v>46216</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6288-2023</t>
        </is>
      </c>
      <c r="B197" t="inlineStr">
        <is>
          <t>avverkningsanmälan</t>
        </is>
      </c>
      <c r="C197" t="inlineStr">
        <is>
          <t>Föryngringsavverkning</t>
        </is>
      </c>
      <c r="D197" s="1" t="n">
        <v>44965</v>
      </c>
      <c r="E197" s="1" t="n">
        <v>46216</v>
      </c>
      <c r="F197" t="inlineStr">
        <is>
          <t>UPPSALA LÄN</t>
        </is>
      </c>
      <c r="G197" t="inlineStr">
        <is>
          <t>TIERP</t>
        </is>
      </c>
      <c r="H197" t="inlineStr">
        <is>
          <t>Bergvik skog öst AB</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59589-2022</t>
        </is>
      </c>
      <c r="B198" t="inlineStr">
        <is>
          <t>avverkningsanmälan</t>
        </is>
      </c>
      <c r="C198" t="inlineStr">
        <is>
          <t>Föryngringsavverkning</t>
        </is>
      </c>
      <c r="D198" s="1" t="n">
        <v>44907</v>
      </c>
      <c r="E198" s="1" t="n">
        <v>46216</v>
      </c>
      <c r="F198" t="inlineStr">
        <is>
          <t>UPPSALA LÄN</t>
        </is>
      </c>
      <c r="G198" t="inlineStr">
        <is>
          <t>TIERP</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13447-2023</t>
        </is>
      </c>
      <c r="B199" t="inlineStr">
        <is>
          <t>avverkningsanmälan</t>
        </is>
      </c>
      <c r="C199" t="inlineStr">
        <is>
          <t>Föryngringsavverkning</t>
        </is>
      </c>
      <c r="D199" s="1" t="n">
        <v>45005</v>
      </c>
      <c r="E199" s="1" t="n">
        <v>46216</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21032-2022</t>
        </is>
      </c>
      <c r="B200" t="inlineStr">
        <is>
          <t>avverkningsanmälan</t>
        </is>
      </c>
      <c r="C200" t="inlineStr">
        <is>
          <t>Föryngringsavverkning</t>
        </is>
      </c>
      <c r="D200" s="1" t="n">
        <v>44704</v>
      </c>
      <c r="E200" s="1" t="n">
        <v>46216</v>
      </c>
      <c r="F200" t="inlineStr">
        <is>
          <t>UPPSALA LÄN</t>
        </is>
      </c>
      <c r="G200" t="inlineStr">
        <is>
          <t>TIERP</t>
        </is>
      </c>
      <c r="H200" t="inlineStr">
        <is>
          <t>Bergvik skog öst AB</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59482-2023</t>
        </is>
      </c>
      <c r="B201" t="inlineStr">
        <is>
          <t>avverkningsanmälan</t>
        </is>
      </c>
      <c r="C201" t="inlineStr">
        <is>
          <t>Föryngringsavverkning</t>
        </is>
      </c>
      <c r="D201" s="1" t="n">
        <v>45253</v>
      </c>
      <c r="E201" s="1" t="n">
        <v>46216</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s="2" t="inlineStr"/>
    </row>
    <row r="202" ht="15" customHeight="1">
      <c r="A202" t="inlineStr">
        <is>
          <t>A 40864-2023</t>
        </is>
      </c>
      <c r="B202" t="inlineStr">
        <is>
          <t>avverkningsanmälan</t>
        </is>
      </c>
      <c r="C202" t="inlineStr">
        <is>
          <t>Föryngringsavverkning</t>
        </is>
      </c>
      <c r="D202" s="1" t="n">
        <v>45173</v>
      </c>
      <c r="E202" s="1" t="n">
        <v>46216</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14483-2024</t>
        </is>
      </c>
      <c r="B203" t="inlineStr">
        <is>
          <t>avverkningsanmälan</t>
        </is>
      </c>
      <c r="C203" t="inlineStr">
        <is>
          <t>Föryngringsavverkning</t>
        </is>
      </c>
      <c r="D203" s="1" t="n">
        <v>45394</v>
      </c>
      <c r="E203" s="1" t="n">
        <v>46216</v>
      </c>
      <c r="F203" t="inlineStr">
        <is>
          <t>UPPSALA LÄN</t>
        </is>
      </c>
      <c r="G203" t="inlineStr">
        <is>
          <t>TIERP</t>
        </is>
      </c>
      <c r="H203" t="inlineStr">
        <is>
          <t>Bergvik skog väst AB</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9893-2022</t>
        </is>
      </c>
      <c r="B204" t="inlineStr">
        <is>
          <t>avverkningsanmälan</t>
        </is>
      </c>
      <c r="C204" t="inlineStr">
        <is>
          <t>Föryngringsavverkning</t>
        </is>
      </c>
      <c r="D204" s="1" t="n">
        <v>44620</v>
      </c>
      <c r="E204" s="1" t="n">
        <v>46216</v>
      </c>
      <c r="F204" t="inlineStr">
        <is>
          <t>UPPSALA LÄN</t>
        </is>
      </c>
      <c r="G204" t="inlineStr">
        <is>
          <t>TIERP</t>
        </is>
      </c>
      <c r="I204" t="n">
        <v>3.1</v>
      </c>
      <c r="J204" t="n">
        <v>0</v>
      </c>
      <c r="K204" t="n">
        <v>0</v>
      </c>
      <c r="L204" t="n">
        <v>0</v>
      </c>
      <c r="M204" t="n">
        <v>0</v>
      </c>
      <c r="N204" t="n">
        <v>0</v>
      </c>
      <c r="O204" t="n">
        <v>0</v>
      </c>
      <c r="P204" t="n">
        <v>0</v>
      </c>
      <c r="Q204" t="n">
        <v>0</v>
      </c>
      <c r="R204" t="n">
        <v>0</v>
      </c>
      <c r="S204" t="n">
        <v>0</v>
      </c>
      <c r="T204" t="n">
        <v>0</v>
      </c>
      <c r="U204" s="2" t="inlineStr"/>
    </row>
    <row r="205" ht="15" customHeight="1">
      <c r="A205" t="inlineStr">
        <is>
          <t>A 55678-2024</t>
        </is>
      </c>
      <c r="B205" t="inlineStr">
        <is>
          <t>avverkningsanmälan</t>
        </is>
      </c>
      <c r="C205" t="inlineStr">
        <is>
          <t>Föryngringsavverkning</t>
        </is>
      </c>
      <c r="D205" s="1" t="n">
        <v>45622</v>
      </c>
      <c r="E205" s="1" t="n">
        <v>46216</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s="2" t="inlineStr"/>
    </row>
    <row r="206" ht="15" customHeight="1">
      <c r="A206" t="inlineStr">
        <is>
          <t>A 52380-2023</t>
        </is>
      </c>
      <c r="B206" t="inlineStr">
        <is>
          <t>avverkningsanmälan</t>
        </is>
      </c>
      <c r="C206" t="inlineStr">
        <is>
          <t>Föryngringsavverkning</t>
        </is>
      </c>
      <c r="D206" s="1" t="n">
        <v>45224</v>
      </c>
      <c r="E206" s="1" t="n">
        <v>46216</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55688-2024</t>
        </is>
      </c>
      <c r="B207" t="inlineStr">
        <is>
          <t>avverkningsanmälan</t>
        </is>
      </c>
      <c r="C207" t="inlineStr">
        <is>
          <t>Föryngringsavverkning</t>
        </is>
      </c>
      <c r="D207" s="1" t="n">
        <v>45622</v>
      </c>
      <c r="E207" s="1" t="n">
        <v>46216</v>
      </c>
      <c r="F207" t="inlineStr">
        <is>
          <t>UPPSALA LÄN</t>
        </is>
      </c>
      <c r="G207" t="inlineStr">
        <is>
          <t>TIERP</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39333-2024</t>
        </is>
      </c>
      <c r="B208" t="inlineStr">
        <is>
          <t>avverkningsanmälan</t>
        </is>
      </c>
      <c r="C208" t="inlineStr">
        <is>
          <t>Föryngringsavverkning</t>
        </is>
      </c>
      <c r="D208" s="1" t="n">
        <v>45551</v>
      </c>
      <c r="E208" s="1" t="n">
        <v>46216</v>
      </c>
      <c r="F208" t="inlineStr">
        <is>
          <t>UPPSALA LÄN</t>
        </is>
      </c>
      <c r="G208" t="inlineStr">
        <is>
          <t>TIERP</t>
        </is>
      </c>
      <c r="I208" t="n">
        <v>4.1</v>
      </c>
      <c r="J208" t="n">
        <v>0</v>
      </c>
      <c r="K208" t="n">
        <v>0</v>
      </c>
      <c r="L208" t="n">
        <v>0</v>
      </c>
      <c r="M208" t="n">
        <v>0</v>
      </c>
      <c r="N208" t="n">
        <v>0</v>
      </c>
      <c r="O208" t="n">
        <v>0</v>
      </c>
      <c r="P208" t="n">
        <v>0</v>
      </c>
      <c r="Q208" t="n">
        <v>0</v>
      </c>
      <c r="R208" t="n">
        <v>0</v>
      </c>
      <c r="S208" t="n">
        <v>0</v>
      </c>
      <c r="T208" t="n">
        <v>0</v>
      </c>
      <c r="U208" s="2" t="inlineStr"/>
    </row>
    <row r="209" ht="15" customHeight="1">
      <c r="A209" t="inlineStr">
        <is>
          <t>A 22636-2024</t>
        </is>
      </c>
      <c r="B209" t="inlineStr">
        <is>
          <t>avverkningsanmälan</t>
        </is>
      </c>
      <c r="C209" t="inlineStr">
        <is>
          <t>Föryngringsavverkning</t>
        </is>
      </c>
      <c r="D209" s="1" t="n">
        <v>45447</v>
      </c>
      <c r="E209" s="1" t="n">
        <v>46216</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15851-2023</t>
        </is>
      </c>
      <c r="B210" t="inlineStr">
        <is>
          <t>avverkningsanmälan</t>
        </is>
      </c>
      <c r="C210" t="inlineStr">
        <is>
          <t>Föryngringsavverkning</t>
        </is>
      </c>
      <c r="D210" s="1" t="n">
        <v>45022</v>
      </c>
      <c r="E210" s="1" t="n">
        <v>46216</v>
      </c>
      <c r="F210" t="inlineStr">
        <is>
          <t>UPPSALA LÄN</t>
        </is>
      </c>
      <c r="G210" t="inlineStr">
        <is>
          <t>TIERP</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31103-2022</t>
        </is>
      </c>
      <c r="B211" t="inlineStr">
        <is>
          <t>avverkningsanmälan</t>
        </is>
      </c>
      <c r="C211" t="inlineStr">
        <is>
          <t>Föryngringsavverkning</t>
        </is>
      </c>
      <c r="D211" s="1" t="n">
        <v>44769</v>
      </c>
      <c r="E211" s="1" t="n">
        <v>46216</v>
      </c>
      <c r="F211" t="inlineStr">
        <is>
          <t>UPPSALA LÄN</t>
        </is>
      </c>
      <c r="G211" t="inlineStr">
        <is>
          <t>TIERP</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7127-2024</t>
        </is>
      </c>
      <c r="B212" t="inlineStr">
        <is>
          <t>avverkningsanmälan</t>
        </is>
      </c>
      <c r="C212" t="inlineStr">
        <is>
          <t>Föryngringsavverkning</t>
        </is>
      </c>
      <c r="D212" s="1" t="n">
        <v>45344</v>
      </c>
      <c r="E212" s="1" t="n">
        <v>46216</v>
      </c>
      <c r="F212" t="inlineStr">
        <is>
          <t>UPPSALA LÄN</t>
        </is>
      </c>
      <c r="G212" t="inlineStr">
        <is>
          <t>TIERP</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44946-2022</t>
        </is>
      </c>
      <c r="B213" t="inlineStr">
        <is>
          <t>avverkningsanmälan</t>
        </is>
      </c>
      <c r="C213" t="inlineStr">
        <is>
          <t>Föryngringsavverkning</t>
        </is>
      </c>
      <c r="D213" s="1" t="n">
        <v>44841</v>
      </c>
      <c r="E213" s="1" t="n">
        <v>46216</v>
      </c>
      <c r="F213" t="inlineStr">
        <is>
          <t>UPPSALA LÄN</t>
        </is>
      </c>
      <c r="G213" t="inlineStr">
        <is>
          <t>TIERP</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61617-2022</t>
        </is>
      </c>
      <c r="B214" t="inlineStr">
        <is>
          <t>avverkningsanmälan</t>
        </is>
      </c>
      <c r="C214" t="inlineStr">
        <is>
          <t>Föryngringsavverkning</t>
        </is>
      </c>
      <c r="D214" s="1" t="n">
        <v>44916</v>
      </c>
      <c r="E214" s="1" t="n">
        <v>46216</v>
      </c>
      <c r="F214" t="inlineStr">
        <is>
          <t>UPPSALA LÄN</t>
        </is>
      </c>
      <c r="G214" t="inlineStr">
        <is>
          <t>TIERP</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437-2023</t>
        </is>
      </c>
      <c r="B215" t="inlineStr">
        <is>
          <t>avverkningsanmälan</t>
        </is>
      </c>
      <c r="C215" t="inlineStr">
        <is>
          <t>Föryngringsavverkning</t>
        </is>
      </c>
      <c r="D215" s="1" t="n">
        <v>44924</v>
      </c>
      <c r="E215" s="1" t="n">
        <v>46216</v>
      </c>
      <c r="F215" t="inlineStr">
        <is>
          <t>UPPSALA LÄN</t>
        </is>
      </c>
      <c r="G215" t="inlineStr">
        <is>
          <t>TIERP</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47422-2022</t>
        </is>
      </c>
      <c r="B216" t="inlineStr">
        <is>
          <t>avverkningsanmälan</t>
        </is>
      </c>
      <c r="C216" t="inlineStr">
        <is>
          <t>Föryngringsavverkning</t>
        </is>
      </c>
      <c r="D216" s="1" t="n">
        <v>44853</v>
      </c>
      <c r="E216" s="1" t="n">
        <v>46216</v>
      </c>
      <c r="F216" t="inlineStr">
        <is>
          <t>UPPSALA LÄN</t>
        </is>
      </c>
      <c r="G216" t="inlineStr">
        <is>
          <t>TIERP</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26656-2022</t>
        </is>
      </c>
      <c r="B217" t="inlineStr">
        <is>
          <t>avverkningsanmälan</t>
        </is>
      </c>
      <c r="C217" t="inlineStr">
        <is>
          <t>Föryngringsavverkning</t>
        </is>
      </c>
      <c r="D217" s="1" t="n">
        <v>44739</v>
      </c>
      <c r="E217" s="1" t="n">
        <v>46216</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s="2" t="inlineStr"/>
    </row>
    <row r="218" ht="15" customHeight="1">
      <c r="A218" t="inlineStr">
        <is>
          <t>A 37476-2024</t>
        </is>
      </c>
      <c r="B218" t="inlineStr">
        <is>
          <t>avverkningsanmälan</t>
        </is>
      </c>
      <c r="C218" t="inlineStr">
        <is>
          <t>Föryngringsavverkning</t>
        </is>
      </c>
      <c r="D218" s="1" t="n">
        <v>45541</v>
      </c>
      <c r="E218" s="1" t="n">
        <v>46216</v>
      </c>
      <c r="F218" t="inlineStr">
        <is>
          <t>UPPSALA LÄN</t>
        </is>
      </c>
      <c r="G218" t="inlineStr">
        <is>
          <t>TIERP</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12449-2022</t>
        </is>
      </c>
      <c r="B219" t="inlineStr">
        <is>
          <t>avverkningsanmälan</t>
        </is>
      </c>
      <c r="C219" t="inlineStr">
        <is>
          <t>Föryngringsavverkning</t>
        </is>
      </c>
      <c r="D219" s="1" t="n">
        <v>44638</v>
      </c>
      <c r="E219" s="1" t="n">
        <v>46216</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38298-2023</t>
        </is>
      </c>
      <c r="B220" t="inlineStr">
        <is>
          <t>avverkningsanmälan</t>
        </is>
      </c>
      <c r="C220" t="inlineStr">
        <is>
          <t>Föryngringsavverkning</t>
        </is>
      </c>
      <c r="D220" s="1" t="n">
        <v>45161</v>
      </c>
      <c r="E220" s="1" t="n">
        <v>46216</v>
      </c>
      <c r="F220" t="inlineStr">
        <is>
          <t>UPPSALA LÄN</t>
        </is>
      </c>
      <c r="G220" t="inlineStr">
        <is>
          <t>TIERP</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28538-2024</t>
        </is>
      </c>
      <c r="B221" t="inlineStr">
        <is>
          <t>avverkningsanmälan</t>
        </is>
      </c>
      <c r="C221" t="inlineStr">
        <is>
          <t>Föryngringsavverkning</t>
        </is>
      </c>
      <c r="D221" s="1" t="n">
        <v>45478</v>
      </c>
      <c r="E221" s="1" t="n">
        <v>46216</v>
      </c>
      <c r="F221" t="inlineStr">
        <is>
          <t>UPPSALA LÄN</t>
        </is>
      </c>
      <c r="G221" t="inlineStr">
        <is>
          <t>TIERP</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15055-2024</t>
        </is>
      </c>
      <c r="B222" t="inlineStr">
        <is>
          <t>avverkningsanmälan</t>
        </is>
      </c>
      <c r="C222" t="inlineStr">
        <is>
          <t>Föryngringsavverkning</t>
        </is>
      </c>
      <c r="D222" s="1" t="n">
        <v>45399</v>
      </c>
      <c r="E222" s="1" t="n">
        <v>46216</v>
      </c>
      <c r="F222" t="inlineStr">
        <is>
          <t>UPPSALA LÄN</t>
        </is>
      </c>
      <c r="G222" t="inlineStr">
        <is>
          <t>TIERP</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13460-2024</t>
        </is>
      </c>
      <c r="B223" t="inlineStr">
        <is>
          <t>avverkningsanmälan</t>
        </is>
      </c>
      <c r="C223" t="inlineStr">
        <is>
          <t>Föryngringsavverkning</t>
        </is>
      </c>
      <c r="D223" s="1" t="n">
        <v>45387</v>
      </c>
      <c r="E223" s="1" t="n">
        <v>46216</v>
      </c>
      <c r="F223" t="inlineStr">
        <is>
          <t>UPPSALA LÄN</t>
        </is>
      </c>
      <c r="G223" t="inlineStr">
        <is>
          <t>TIERP</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380-2026</t>
        </is>
      </c>
      <c r="B224" t="inlineStr">
        <is>
          <t>avverkningsanmälan</t>
        </is>
      </c>
      <c r="C224" t="inlineStr">
        <is>
          <t>Föryngringsavverkning</t>
        </is>
      </c>
      <c r="D224" s="1" t="n">
        <v>46027</v>
      </c>
      <c r="E224" s="1" t="n">
        <v>46216</v>
      </c>
      <c r="F224" t="inlineStr">
        <is>
          <t>UPPSALA LÄN</t>
        </is>
      </c>
      <c r="G224" t="inlineStr">
        <is>
          <t>TIERP</t>
        </is>
      </c>
      <c r="I224" t="n">
        <v>5.1</v>
      </c>
      <c r="J224" t="n">
        <v>0</v>
      </c>
      <c r="K224" t="n">
        <v>0</v>
      </c>
      <c r="L224" t="n">
        <v>0</v>
      </c>
      <c r="M224" t="n">
        <v>0</v>
      </c>
      <c r="N224" t="n">
        <v>0</v>
      </c>
      <c r="O224" t="n">
        <v>0</v>
      </c>
      <c r="P224" t="n">
        <v>0</v>
      </c>
      <c r="Q224" t="n">
        <v>0</v>
      </c>
      <c r="R224" t="n">
        <v>0</v>
      </c>
      <c r="S224" t="n">
        <v>0</v>
      </c>
      <c r="T224" t="n">
        <v>0</v>
      </c>
      <c r="U224" s="2" t="inlineStr"/>
    </row>
    <row r="225" ht="15" customHeight="1">
      <c r="A225" t="inlineStr">
        <is>
          <t>A 10551-2024</t>
        </is>
      </c>
      <c r="B225" t="inlineStr">
        <is>
          <t>avverkningsanmälan</t>
        </is>
      </c>
      <c r="C225" t="inlineStr">
        <is>
          <t>Föryngringsavverkning</t>
        </is>
      </c>
      <c r="D225" s="1" t="n">
        <v>45366</v>
      </c>
      <c r="E225" s="1" t="n">
        <v>46216</v>
      </c>
      <c r="F225" t="inlineStr">
        <is>
          <t>UPPSALA LÄN</t>
        </is>
      </c>
      <c r="G225" t="inlineStr">
        <is>
          <t>TIERP</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22274-2025</t>
        </is>
      </c>
      <c r="B226" t="inlineStr">
        <is>
          <t>avverkningsanmälan</t>
        </is>
      </c>
      <c r="C226" t="inlineStr">
        <is>
          <t>Föryngringsavverkning</t>
        </is>
      </c>
      <c r="D226" s="1" t="n">
        <v>45786</v>
      </c>
      <c r="E226" s="1" t="n">
        <v>46216</v>
      </c>
      <c r="F226" t="inlineStr">
        <is>
          <t>UPPSALA LÄN</t>
        </is>
      </c>
      <c r="G226" t="inlineStr">
        <is>
          <t>TIERP</t>
        </is>
      </c>
      <c r="I226" t="n">
        <v>3.1</v>
      </c>
      <c r="J226" t="n">
        <v>0</v>
      </c>
      <c r="K226" t="n">
        <v>0</v>
      </c>
      <c r="L226" t="n">
        <v>0</v>
      </c>
      <c r="M226" t="n">
        <v>0</v>
      </c>
      <c r="N226" t="n">
        <v>0</v>
      </c>
      <c r="O226" t="n">
        <v>0</v>
      </c>
      <c r="P226" t="n">
        <v>0</v>
      </c>
      <c r="Q226" t="n">
        <v>0</v>
      </c>
      <c r="R226" t="n">
        <v>0</v>
      </c>
      <c r="S226" t="n">
        <v>0</v>
      </c>
      <c r="T226" t="n">
        <v>0</v>
      </c>
      <c r="U226" s="2" t="inlineStr"/>
    </row>
    <row r="227" ht="15" customHeight="1">
      <c r="A227" t="inlineStr">
        <is>
          <t>A 61152-2024</t>
        </is>
      </c>
      <c r="B227" t="inlineStr">
        <is>
          <t>avverkningsanmälan</t>
        </is>
      </c>
      <c r="C227" t="inlineStr">
        <is>
          <t>Föryngringsavverkning</t>
        </is>
      </c>
      <c r="D227" s="1" t="n">
        <v>45645</v>
      </c>
      <c r="E227" s="1" t="n">
        <v>46216</v>
      </c>
      <c r="F227" t="inlineStr">
        <is>
          <t>UPPSALA LÄN</t>
        </is>
      </c>
      <c r="G227" t="inlineStr">
        <is>
          <t>TIERP</t>
        </is>
      </c>
      <c r="H227" t="inlineStr">
        <is>
          <t>Bergvik skog väst AB</t>
        </is>
      </c>
      <c r="I227" t="n">
        <v>4.8</v>
      </c>
      <c r="J227" t="n">
        <v>0</v>
      </c>
      <c r="K227" t="n">
        <v>0</v>
      </c>
      <c r="L227" t="n">
        <v>0</v>
      </c>
      <c r="M227" t="n">
        <v>0</v>
      </c>
      <c r="N227" t="n">
        <v>0</v>
      </c>
      <c r="O227" t="n">
        <v>0</v>
      </c>
      <c r="P227" t="n">
        <v>0</v>
      </c>
      <c r="Q227" t="n">
        <v>0</v>
      </c>
      <c r="R227" t="n">
        <v>0</v>
      </c>
      <c r="S227" t="n">
        <v>0</v>
      </c>
      <c r="T227" t="n">
        <v>0</v>
      </c>
      <c r="U227" s="2" t="inlineStr"/>
    </row>
    <row r="228" ht="15" customHeight="1">
      <c r="A228" t="inlineStr">
        <is>
          <t>A 888-2026</t>
        </is>
      </c>
      <c r="B228" t="inlineStr">
        <is>
          <t>avverkningsanmälan</t>
        </is>
      </c>
      <c r="C228" t="inlineStr">
        <is>
          <t>Föryngringsavverkning</t>
        </is>
      </c>
      <c r="D228" s="1" t="n">
        <v>46030</v>
      </c>
      <c r="E228" s="1" t="n">
        <v>46216</v>
      </c>
      <c r="F228" t="inlineStr">
        <is>
          <t>UPPSALA LÄN</t>
        </is>
      </c>
      <c r="G228" t="inlineStr">
        <is>
          <t>TIERP</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7359-2023</t>
        </is>
      </c>
      <c r="B229" t="inlineStr">
        <is>
          <t>avverkningsanmälan</t>
        </is>
      </c>
      <c r="C229" t="inlineStr">
        <is>
          <t>Föryngringsavverkning</t>
        </is>
      </c>
      <c r="D229" s="1" t="n">
        <v>44966</v>
      </c>
      <c r="E229" s="1" t="n">
        <v>46216</v>
      </c>
      <c r="F229" t="inlineStr">
        <is>
          <t>UPPSALA LÄN</t>
        </is>
      </c>
      <c r="G229" t="inlineStr">
        <is>
          <t>TIERP</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23312-2025</t>
        </is>
      </c>
      <c r="B230" t="inlineStr">
        <is>
          <t>avverkningsanmälan</t>
        </is>
      </c>
      <c r="C230" t="inlineStr">
        <is>
          <t>Avverkning för annat ändamål</t>
        </is>
      </c>
      <c r="D230" s="1" t="n">
        <v>45791</v>
      </c>
      <c r="E230" s="1" t="n">
        <v>46216</v>
      </c>
      <c r="F230" t="inlineStr">
        <is>
          <t>UPPSALA LÄN</t>
        </is>
      </c>
      <c r="G230" t="inlineStr">
        <is>
          <t>TIERP</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7065-2024</t>
        </is>
      </c>
      <c r="B231" t="inlineStr">
        <is>
          <t>avverkningsanmälan</t>
        </is>
      </c>
      <c r="C231" t="inlineStr">
        <is>
          <t>Föryngringsavverkning</t>
        </is>
      </c>
      <c r="D231" s="1" t="n">
        <v>45343</v>
      </c>
      <c r="E231" s="1" t="n">
        <v>46216</v>
      </c>
      <c r="F231" t="inlineStr">
        <is>
          <t>UPPSALA LÄN</t>
        </is>
      </c>
      <c r="G231" t="inlineStr">
        <is>
          <t>TIERP</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61827-2024</t>
        </is>
      </c>
      <c r="B232" t="inlineStr">
        <is>
          <t>avverkningsanmälan</t>
        </is>
      </c>
      <c r="C232" t="inlineStr">
        <is>
          <t>Föryngringsavverkning</t>
        </is>
      </c>
      <c r="D232" s="1" t="n">
        <v>45649</v>
      </c>
      <c r="E232" s="1" t="n">
        <v>46216</v>
      </c>
      <c r="F232" t="inlineStr">
        <is>
          <t>UPPSALA LÄN</t>
        </is>
      </c>
      <c r="G232" t="inlineStr">
        <is>
          <t>TIERP</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2364-2026</t>
        </is>
      </c>
      <c r="B233" t="inlineStr">
        <is>
          <t>avverkningsanmälan</t>
        </is>
      </c>
      <c r="C233" t="inlineStr">
        <is>
          <t>Föryngringsavverkning</t>
        </is>
      </c>
      <c r="D233" s="1" t="n">
        <v>46034</v>
      </c>
      <c r="E233" s="1" t="n">
        <v>46216</v>
      </c>
      <c r="F233" t="inlineStr">
        <is>
          <t>UPPSALA LÄN</t>
        </is>
      </c>
      <c r="G233" t="inlineStr">
        <is>
          <t>TIERP</t>
        </is>
      </c>
      <c r="I233" t="n">
        <v>3.2</v>
      </c>
      <c r="J233" t="n">
        <v>0</v>
      </c>
      <c r="K233" t="n">
        <v>0</v>
      </c>
      <c r="L233" t="n">
        <v>0</v>
      </c>
      <c r="M233" t="n">
        <v>0</v>
      </c>
      <c r="N233" t="n">
        <v>0</v>
      </c>
      <c r="O233" t="n">
        <v>0</v>
      </c>
      <c r="P233" t="n">
        <v>0</v>
      </c>
      <c r="Q233" t="n">
        <v>0</v>
      </c>
      <c r="R233" t="n">
        <v>0</v>
      </c>
      <c r="S233" t="n">
        <v>0</v>
      </c>
      <c r="T233" t="n">
        <v>0</v>
      </c>
      <c r="U233" s="2" t="inlineStr"/>
    </row>
    <row r="234" ht="15" customHeight="1">
      <c r="A234" t="inlineStr">
        <is>
          <t>A 2366-2026</t>
        </is>
      </c>
      <c r="B234" t="inlineStr">
        <is>
          <t>avverkningsanmälan</t>
        </is>
      </c>
      <c r="C234" t="inlineStr">
        <is>
          <t>Föryngringsavverkning</t>
        </is>
      </c>
      <c r="D234" s="1" t="n">
        <v>46034</v>
      </c>
      <c r="E234" s="1" t="n">
        <v>46216</v>
      </c>
      <c r="F234" t="inlineStr">
        <is>
          <t>UPPSALA LÄN</t>
        </is>
      </c>
      <c r="G234" t="inlineStr">
        <is>
          <t>TIERP</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40164-2025</t>
        </is>
      </c>
      <c r="B235" t="inlineStr">
        <is>
          <t>avverkningsanmälan</t>
        </is>
      </c>
      <c r="C235" t="inlineStr">
        <is>
          <t>Föryngringsavverkning</t>
        </is>
      </c>
      <c r="D235" s="1" t="n">
        <v>45894</v>
      </c>
      <c r="E235" s="1" t="n">
        <v>46216</v>
      </c>
      <c r="F235" t="inlineStr">
        <is>
          <t>UPPSALA LÄN</t>
        </is>
      </c>
      <c r="G235" t="inlineStr">
        <is>
          <t>TIERP</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22393-2024</t>
        </is>
      </c>
      <c r="B236" t="inlineStr">
        <is>
          <t>avverkningsanmälan</t>
        </is>
      </c>
      <c r="C236" t="inlineStr">
        <is>
          <t>Föryngringsavverkning</t>
        </is>
      </c>
      <c r="D236" s="1" t="n">
        <v>45446</v>
      </c>
      <c r="E236" s="1" t="n">
        <v>46216</v>
      </c>
      <c r="F236" t="inlineStr">
        <is>
          <t>UPPSALA LÄN</t>
        </is>
      </c>
      <c r="G236" t="inlineStr">
        <is>
          <t>TIERP</t>
        </is>
      </c>
      <c r="H236" t="inlineStr">
        <is>
          <t>Bergvik skog väst AB</t>
        </is>
      </c>
      <c r="I236" t="n">
        <v>3</v>
      </c>
      <c r="J236" t="n">
        <v>0</v>
      </c>
      <c r="K236" t="n">
        <v>0</v>
      </c>
      <c r="L236" t="n">
        <v>0</v>
      </c>
      <c r="M236" t="n">
        <v>0</v>
      </c>
      <c r="N236" t="n">
        <v>0</v>
      </c>
      <c r="O236" t="n">
        <v>0</v>
      </c>
      <c r="P236" t="n">
        <v>0</v>
      </c>
      <c r="Q236" t="n">
        <v>0</v>
      </c>
      <c r="R236" t="n">
        <v>0</v>
      </c>
      <c r="S236" t="n">
        <v>0</v>
      </c>
      <c r="T236" t="n">
        <v>0</v>
      </c>
      <c r="U236" s="2" t="inlineStr"/>
    </row>
    <row r="237" ht="15" customHeight="1">
      <c r="A237" t="inlineStr">
        <is>
          <t>A 60314-2024</t>
        </is>
      </c>
      <c r="B237" t="inlineStr">
        <is>
          <t>avverkningsanmälan</t>
        </is>
      </c>
      <c r="C237" t="inlineStr">
        <is>
          <t>Föryngringsavverkning</t>
        </is>
      </c>
      <c r="D237" s="1" t="n">
        <v>45643</v>
      </c>
      <c r="E237" s="1" t="n">
        <v>46216</v>
      </c>
      <c r="F237" t="inlineStr">
        <is>
          <t>UPPSALA LÄN</t>
        </is>
      </c>
      <c r="G237" t="inlineStr">
        <is>
          <t>TIERP</t>
        </is>
      </c>
      <c r="H237" t="inlineStr">
        <is>
          <t>Bergvik skog öst AB</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4314-2025</t>
        </is>
      </c>
      <c r="B238" t="inlineStr">
        <is>
          <t>avverkningsanmälan</t>
        </is>
      </c>
      <c r="C238" t="inlineStr">
        <is>
          <t>Föryngringsavverkning</t>
        </is>
      </c>
      <c r="D238" s="1" t="n">
        <v>45685</v>
      </c>
      <c r="E238" s="1" t="n">
        <v>46216</v>
      </c>
      <c r="F238" t="inlineStr">
        <is>
          <t>UPPSALA LÄN</t>
        </is>
      </c>
      <c r="G238" t="inlineStr">
        <is>
          <t>TIERP</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37053-2024</t>
        </is>
      </c>
      <c r="B239" t="inlineStr">
        <is>
          <t>avverkningsanmälan</t>
        </is>
      </c>
      <c r="C239" t="inlineStr">
        <is>
          <t>Föryngringsavverkning</t>
        </is>
      </c>
      <c r="D239" s="1" t="n">
        <v>45539</v>
      </c>
      <c r="E239" s="1" t="n">
        <v>46216</v>
      </c>
      <c r="F239" t="inlineStr">
        <is>
          <t>UPPSALA LÄN</t>
        </is>
      </c>
      <c r="G239" t="inlineStr">
        <is>
          <t>TIERP</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40627-2025</t>
        </is>
      </c>
      <c r="B240" t="inlineStr">
        <is>
          <t>avverkningsanmälan</t>
        </is>
      </c>
      <c r="C240" t="inlineStr">
        <is>
          <t>Föryngringsavverkning</t>
        </is>
      </c>
      <c r="D240" s="1" t="n">
        <v>45896</v>
      </c>
      <c r="E240" s="1" t="n">
        <v>46216</v>
      </c>
      <c r="F240" t="inlineStr">
        <is>
          <t>UPPSALA LÄN</t>
        </is>
      </c>
      <c r="G240" t="inlineStr">
        <is>
          <t>TIERP</t>
        </is>
      </c>
      <c r="H240" t="inlineStr">
        <is>
          <t>Bergvik skog öst AB</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44774-2024</t>
        </is>
      </c>
      <c r="B241" t="inlineStr">
        <is>
          <t>avverkningsanmälan</t>
        </is>
      </c>
      <c r="C241" t="inlineStr">
        <is>
          <t>Föryngringsavverkning</t>
        </is>
      </c>
      <c r="D241" s="1" t="n">
        <v>45574</v>
      </c>
      <c r="E241" s="1" t="n">
        <v>46216</v>
      </c>
      <c r="F241" t="inlineStr">
        <is>
          <t>UPPSALA LÄN</t>
        </is>
      </c>
      <c r="G241" t="inlineStr">
        <is>
          <t>TIERP</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41490-2025</t>
        </is>
      </c>
      <c r="B242" t="inlineStr">
        <is>
          <t>avverkningsanmälan</t>
        </is>
      </c>
      <c r="C242" t="inlineStr">
        <is>
          <t>Föryngringsavverkning</t>
        </is>
      </c>
      <c r="D242" s="1" t="n">
        <v>45901</v>
      </c>
      <c r="E242" s="1" t="n">
        <v>46216</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41497-2025</t>
        </is>
      </c>
      <c r="B243" t="inlineStr">
        <is>
          <t>avverkningsanmälan</t>
        </is>
      </c>
      <c r="C243" t="inlineStr">
        <is>
          <t>Föryngringsavverkning</t>
        </is>
      </c>
      <c r="D243" s="1" t="n">
        <v>45901</v>
      </c>
      <c r="E243" s="1" t="n">
        <v>46216</v>
      </c>
      <c r="F243" t="inlineStr">
        <is>
          <t>UPPSALA LÄN</t>
        </is>
      </c>
      <c r="G243" t="inlineStr">
        <is>
          <t>TIERP</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41537-2025</t>
        </is>
      </c>
      <c r="B244" t="inlineStr">
        <is>
          <t>avverkningsanmälan</t>
        </is>
      </c>
      <c r="C244" t="inlineStr">
        <is>
          <t>Föryngringsavverkning</t>
        </is>
      </c>
      <c r="D244" s="1" t="n">
        <v>45901</v>
      </c>
      <c r="E244" s="1" t="n">
        <v>46216</v>
      </c>
      <c r="F244" t="inlineStr">
        <is>
          <t>UPPSALA LÄN</t>
        </is>
      </c>
      <c r="G244" t="inlineStr">
        <is>
          <t>TIERP</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41527-2025</t>
        </is>
      </c>
      <c r="B245" t="inlineStr">
        <is>
          <t>avverkningsanmälan</t>
        </is>
      </c>
      <c r="C245" t="inlineStr">
        <is>
          <t>Föryngringsavverkning</t>
        </is>
      </c>
      <c r="D245" s="1" t="n">
        <v>45901</v>
      </c>
      <c r="E245" s="1" t="n">
        <v>46216</v>
      </c>
      <c r="F245" t="inlineStr">
        <is>
          <t>UPPSALA LÄN</t>
        </is>
      </c>
      <c r="G245" t="inlineStr">
        <is>
          <t>TIERP</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41531-2025</t>
        </is>
      </c>
      <c r="B246" t="inlineStr">
        <is>
          <t>avverkningsanmälan</t>
        </is>
      </c>
      <c r="C246" t="inlineStr">
        <is>
          <t>Föryngringsavverkning</t>
        </is>
      </c>
      <c r="D246" s="1" t="n">
        <v>45901</v>
      </c>
      <c r="E246" s="1" t="n">
        <v>46216</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41535-2025</t>
        </is>
      </c>
      <c r="B247" t="inlineStr">
        <is>
          <t>avverkningsanmälan</t>
        </is>
      </c>
      <c r="C247" t="inlineStr">
        <is>
          <t>Föryngringsavverkning</t>
        </is>
      </c>
      <c r="D247" s="1" t="n">
        <v>45901</v>
      </c>
      <c r="E247" s="1" t="n">
        <v>46216</v>
      </c>
      <c r="F247" t="inlineStr">
        <is>
          <t>UPPSALA LÄN</t>
        </is>
      </c>
      <c r="G247" t="inlineStr">
        <is>
          <t>TIERP</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41719-2025</t>
        </is>
      </c>
      <c r="B248" t="inlineStr">
        <is>
          <t>avverkningsanmälan</t>
        </is>
      </c>
      <c r="C248" t="inlineStr">
        <is>
          <t>Föryngringsavverkning</t>
        </is>
      </c>
      <c r="D248" s="1" t="n">
        <v>45902</v>
      </c>
      <c r="E248" s="1" t="n">
        <v>46216</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38464-2023</t>
        </is>
      </c>
      <c r="B249" t="inlineStr">
        <is>
          <t>avverkningsanmälan</t>
        </is>
      </c>
      <c r="C249" t="inlineStr">
        <is>
          <t>Föryngringsavverkning</t>
        </is>
      </c>
      <c r="D249" s="1" t="n">
        <v>45162</v>
      </c>
      <c r="E249" s="1" t="n">
        <v>46216</v>
      </c>
      <c r="F249" t="inlineStr">
        <is>
          <t>UPPSALA LÄN</t>
        </is>
      </c>
      <c r="G249" t="inlineStr">
        <is>
          <t>TIERP</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36830-2024</t>
        </is>
      </c>
      <c r="B250" t="inlineStr">
        <is>
          <t>avverkningsanmälan</t>
        </is>
      </c>
      <c r="C250" t="inlineStr">
        <is>
          <t>Föryngringsavverkning</t>
        </is>
      </c>
      <c r="D250" s="1" t="n">
        <v>45538</v>
      </c>
      <c r="E250" s="1" t="n">
        <v>46216</v>
      </c>
      <c r="F250" t="inlineStr">
        <is>
          <t>UPPSALA LÄN</t>
        </is>
      </c>
      <c r="G250" t="inlineStr">
        <is>
          <t>TIERP</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15793-2025</t>
        </is>
      </c>
      <c r="B251" t="inlineStr">
        <is>
          <t>avverkningsanmälan</t>
        </is>
      </c>
      <c r="C251" t="inlineStr">
        <is>
          <t>Föryngringsavverkning</t>
        </is>
      </c>
      <c r="D251" s="1" t="n">
        <v>45748</v>
      </c>
      <c r="E251" s="1" t="n">
        <v>46216</v>
      </c>
      <c r="F251" t="inlineStr">
        <is>
          <t>UPPSALA LÄN</t>
        </is>
      </c>
      <c r="G251" t="inlineStr">
        <is>
          <t>TIERP</t>
        </is>
      </c>
      <c r="I251" t="n">
        <v>8.300000000000001</v>
      </c>
      <c r="J251" t="n">
        <v>0</v>
      </c>
      <c r="K251" t="n">
        <v>0</v>
      </c>
      <c r="L251" t="n">
        <v>0</v>
      </c>
      <c r="M251" t="n">
        <v>0</v>
      </c>
      <c r="N251" t="n">
        <v>0</v>
      </c>
      <c r="O251" t="n">
        <v>0</v>
      </c>
      <c r="P251" t="n">
        <v>0</v>
      </c>
      <c r="Q251" t="n">
        <v>0</v>
      </c>
      <c r="R251" t="n">
        <v>0</v>
      </c>
      <c r="S251" t="n">
        <v>0</v>
      </c>
      <c r="T251" t="n">
        <v>0</v>
      </c>
      <c r="U251" s="2" t="inlineStr"/>
    </row>
    <row r="252" ht="15" customHeight="1">
      <c r="A252" t="inlineStr">
        <is>
          <t>A 5995-2023</t>
        </is>
      </c>
      <c r="B252" t="inlineStr">
        <is>
          <t>avverkningsanmälan</t>
        </is>
      </c>
      <c r="C252" t="inlineStr">
        <is>
          <t>Föryngringsavverkning</t>
        </is>
      </c>
      <c r="D252" s="1" t="n">
        <v>44964</v>
      </c>
      <c r="E252" s="1" t="n">
        <v>46216</v>
      </c>
      <c r="F252" t="inlineStr">
        <is>
          <t>UPPSALA LÄN</t>
        </is>
      </c>
      <c r="G252" t="inlineStr">
        <is>
          <t>TIERP</t>
        </is>
      </c>
      <c r="H252" t="inlineStr">
        <is>
          <t>Bergvik skog öst AB</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31525-2025</t>
        </is>
      </c>
      <c r="B253" t="inlineStr">
        <is>
          <t>avverkningsanmälan</t>
        </is>
      </c>
      <c r="C253" t="inlineStr">
        <is>
          <t>Föryngringsavverkning</t>
        </is>
      </c>
      <c r="D253" s="1" t="n">
        <v>45833</v>
      </c>
      <c r="E253" s="1" t="n">
        <v>46216</v>
      </c>
      <c r="F253" t="inlineStr">
        <is>
          <t>UPPSALA LÄN</t>
        </is>
      </c>
      <c r="G253" t="inlineStr">
        <is>
          <t>TIERP</t>
        </is>
      </c>
      <c r="H253" t="inlineStr">
        <is>
          <t>Bergvik skog öst AB</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43121-2025</t>
        </is>
      </c>
      <c r="B254" t="inlineStr">
        <is>
          <t>avverkningsanmälan</t>
        </is>
      </c>
      <c r="C254" t="inlineStr">
        <is>
          <t>Föryngringsavverkning</t>
        </is>
      </c>
      <c r="D254" s="1" t="n">
        <v>45909</v>
      </c>
      <c r="E254" s="1" t="n">
        <v>46216</v>
      </c>
      <c r="F254" t="inlineStr">
        <is>
          <t>UPPSALA LÄN</t>
        </is>
      </c>
      <c r="G254" t="inlineStr">
        <is>
          <t>TIERP</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42688-2025</t>
        </is>
      </c>
      <c r="B255" t="inlineStr">
        <is>
          <t>avverkningsanmälan</t>
        </is>
      </c>
      <c r="C255" t="inlineStr">
        <is>
          <t>Föryngringsavverkning</t>
        </is>
      </c>
      <c r="D255" s="1" t="n">
        <v>45908</v>
      </c>
      <c r="E255" s="1" t="n">
        <v>46216</v>
      </c>
      <c r="F255" t="inlineStr">
        <is>
          <t>UPPSALA LÄN</t>
        </is>
      </c>
      <c r="G255" t="inlineStr">
        <is>
          <t>TIERP</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42695-2025</t>
        </is>
      </c>
      <c r="B256" t="inlineStr">
        <is>
          <t>avverkningsanmälan</t>
        </is>
      </c>
      <c r="C256" t="inlineStr">
        <is>
          <t>Föryngringsavverkning</t>
        </is>
      </c>
      <c r="D256" s="1" t="n">
        <v>45908</v>
      </c>
      <c r="E256" s="1" t="n">
        <v>46216</v>
      </c>
      <c r="F256" t="inlineStr">
        <is>
          <t>UPPSALA LÄN</t>
        </is>
      </c>
      <c r="G256" t="inlineStr">
        <is>
          <t>TIERP</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31523-2025</t>
        </is>
      </c>
      <c r="B257" t="inlineStr">
        <is>
          <t>avverkningsanmälan</t>
        </is>
      </c>
      <c r="C257" t="inlineStr">
        <is>
          <t>Föryngringsavverkning</t>
        </is>
      </c>
      <c r="D257" s="1" t="n">
        <v>45833</v>
      </c>
      <c r="E257" s="1" t="n">
        <v>46216</v>
      </c>
      <c r="F257" t="inlineStr">
        <is>
          <t>UPPSALA LÄN</t>
        </is>
      </c>
      <c r="G257" t="inlineStr">
        <is>
          <t>TIERP</t>
        </is>
      </c>
      <c r="H257" t="inlineStr">
        <is>
          <t>Bergvik skog öst AB</t>
        </is>
      </c>
      <c r="I257" t="n">
        <v>5.6</v>
      </c>
      <c r="J257" t="n">
        <v>0</v>
      </c>
      <c r="K257" t="n">
        <v>0</v>
      </c>
      <c r="L257" t="n">
        <v>0</v>
      </c>
      <c r="M257" t="n">
        <v>0</v>
      </c>
      <c r="N257" t="n">
        <v>0</v>
      </c>
      <c r="O257" t="n">
        <v>0</v>
      </c>
      <c r="P257" t="n">
        <v>0</v>
      </c>
      <c r="Q257" t="n">
        <v>0</v>
      </c>
      <c r="R257" t="n">
        <v>0</v>
      </c>
      <c r="S257" t="n">
        <v>0</v>
      </c>
      <c r="T257" t="n">
        <v>0</v>
      </c>
      <c r="U257" s="2" t="inlineStr"/>
    </row>
    <row r="258" ht="15" customHeight="1">
      <c r="A258" t="inlineStr">
        <is>
          <t>A 43222-2025</t>
        </is>
      </c>
      <c r="B258" t="inlineStr">
        <is>
          <t>avverkningsanmälan</t>
        </is>
      </c>
      <c r="C258" t="inlineStr">
        <is>
          <t>Föryngringsavverkning</t>
        </is>
      </c>
      <c r="D258" s="1" t="n">
        <v>45910</v>
      </c>
      <c r="E258" s="1" t="n">
        <v>46216</v>
      </c>
      <c r="F258" t="inlineStr">
        <is>
          <t>UPPSALA LÄN</t>
        </is>
      </c>
      <c r="G258" t="inlineStr">
        <is>
          <t>TIERP</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7068-2022</t>
        </is>
      </c>
      <c r="B259" t="inlineStr">
        <is>
          <t>avverkningsanmälan</t>
        </is>
      </c>
      <c r="C259" t="inlineStr">
        <is>
          <t>Föryngringsavverkning</t>
        </is>
      </c>
      <c r="D259" s="1" t="n">
        <v>44603</v>
      </c>
      <c r="E259" s="1" t="n">
        <v>46216</v>
      </c>
      <c r="F259" t="inlineStr">
        <is>
          <t>UPPSALA LÄN</t>
        </is>
      </c>
      <c r="G259" t="inlineStr">
        <is>
          <t>TIERP</t>
        </is>
      </c>
      <c r="I259" t="n">
        <v>5.2</v>
      </c>
      <c r="J259" t="n">
        <v>0</v>
      </c>
      <c r="K259" t="n">
        <v>0</v>
      </c>
      <c r="L259" t="n">
        <v>0</v>
      </c>
      <c r="M259" t="n">
        <v>0</v>
      </c>
      <c r="N259" t="n">
        <v>0</v>
      </c>
      <c r="O259" t="n">
        <v>0</v>
      </c>
      <c r="P259" t="n">
        <v>0</v>
      </c>
      <c r="Q259" t="n">
        <v>0</v>
      </c>
      <c r="R259" t="n">
        <v>0</v>
      </c>
      <c r="S259" t="n">
        <v>0</v>
      </c>
      <c r="T259" t="n">
        <v>0</v>
      </c>
      <c r="U259" s="2" t="inlineStr"/>
    </row>
    <row r="260" ht="15" customHeight="1">
      <c r="A260" t="inlineStr">
        <is>
          <t>A 43525-2025</t>
        </is>
      </c>
      <c r="B260" t="inlineStr">
        <is>
          <t>avverkningsanmälan</t>
        </is>
      </c>
      <c r="C260" t="inlineStr">
        <is>
          <t>Föryngringsavverkning</t>
        </is>
      </c>
      <c r="D260" s="1" t="n">
        <v>45911</v>
      </c>
      <c r="E260" s="1" t="n">
        <v>46216</v>
      </c>
      <c r="F260" t="inlineStr">
        <is>
          <t>UPPSALA LÄN</t>
        </is>
      </c>
      <c r="G260" t="inlineStr">
        <is>
          <t>TIERP</t>
        </is>
      </c>
      <c r="H260" t="inlineStr">
        <is>
          <t>Bergvik skog öst AB</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11529-2022</t>
        </is>
      </c>
      <c r="B261" t="inlineStr">
        <is>
          <t>avverkningsanmälan</t>
        </is>
      </c>
      <c r="C261" t="inlineStr">
        <is>
          <t>Föryngringsavverkning</t>
        </is>
      </c>
      <c r="D261" s="1" t="n">
        <v>44631</v>
      </c>
      <c r="E261" s="1" t="n">
        <v>46216</v>
      </c>
      <c r="F261" t="inlineStr">
        <is>
          <t>UPPSALA LÄN</t>
        </is>
      </c>
      <c r="G261" t="inlineStr">
        <is>
          <t>TIERP</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48403-2022</t>
        </is>
      </c>
      <c r="B262" t="inlineStr">
        <is>
          <t>avverkningsanmälan</t>
        </is>
      </c>
      <c r="C262" t="inlineStr">
        <is>
          <t>Föryngringsavverkning</t>
        </is>
      </c>
      <c r="D262" s="1" t="n">
        <v>44858</v>
      </c>
      <c r="E262" s="1" t="n">
        <v>46216</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15574-2024</t>
        </is>
      </c>
      <c r="B263" t="inlineStr">
        <is>
          <t>avverkningsanmälan</t>
        </is>
      </c>
      <c r="C263" t="inlineStr">
        <is>
          <t>Föryngringsavverkning</t>
        </is>
      </c>
      <c r="D263" s="1" t="n">
        <v>45401</v>
      </c>
      <c r="E263" s="1" t="n">
        <v>46216</v>
      </c>
      <c r="F263" t="inlineStr">
        <is>
          <t>UPPSALA LÄN</t>
        </is>
      </c>
      <c r="G263" t="inlineStr">
        <is>
          <t>TIERP</t>
        </is>
      </c>
      <c r="H263" t="inlineStr">
        <is>
          <t>Bergvik skog väst AB</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55780-2024</t>
        </is>
      </c>
      <c r="B264" t="inlineStr">
        <is>
          <t>avverkningsanmälan</t>
        </is>
      </c>
      <c r="C264" t="inlineStr">
        <is>
          <t>Föryngringsavverkning</t>
        </is>
      </c>
      <c r="D264" s="1" t="n">
        <v>45623</v>
      </c>
      <c r="E264" s="1" t="n">
        <v>46216</v>
      </c>
      <c r="F264" t="inlineStr">
        <is>
          <t>UPPSALA LÄN</t>
        </is>
      </c>
      <c r="G264" t="inlineStr">
        <is>
          <t>TIERP</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22529-2025</t>
        </is>
      </c>
      <c r="B265" t="inlineStr">
        <is>
          <t>avverkningsanmälan</t>
        </is>
      </c>
      <c r="C265" t="inlineStr">
        <is>
          <t>Föryngringsavverkning</t>
        </is>
      </c>
      <c r="D265" s="1" t="n">
        <v>45786</v>
      </c>
      <c r="E265" s="1" t="n">
        <v>46216</v>
      </c>
      <c r="F265" t="inlineStr">
        <is>
          <t>UPPSALA LÄN</t>
        </is>
      </c>
      <c r="G265" t="inlineStr">
        <is>
          <t>TIERP</t>
        </is>
      </c>
      <c r="H265" t="inlineStr">
        <is>
          <t>Övriga Aktiebolag</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33570-2025</t>
        </is>
      </c>
      <c r="B266" t="inlineStr">
        <is>
          <t>avverkningsanmälan</t>
        </is>
      </c>
      <c r="C266" t="inlineStr">
        <is>
          <t>Föryngringsavverkning</t>
        </is>
      </c>
      <c r="D266" s="1" t="n">
        <v>45841</v>
      </c>
      <c r="E266" s="1" t="n">
        <v>46216</v>
      </c>
      <c r="F266" t="inlineStr">
        <is>
          <t>UPPSALA LÄN</t>
        </is>
      </c>
      <c r="G266" t="inlineStr">
        <is>
          <t>TIERP</t>
        </is>
      </c>
      <c r="H266" t="inlineStr">
        <is>
          <t>Övriga Aktiebolag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57532-2022</t>
        </is>
      </c>
      <c r="B267" t="inlineStr">
        <is>
          <t>avverkningsanmälan</t>
        </is>
      </c>
      <c r="C267" t="inlineStr">
        <is>
          <t>Föryngringsavverkning</t>
        </is>
      </c>
      <c r="D267" s="1" t="n">
        <v>44896</v>
      </c>
      <c r="E267" s="1" t="n">
        <v>46216</v>
      </c>
      <c r="F267" t="inlineStr">
        <is>
          <t>UPPSALA LÄN</t>
        </is>
      </c>
      <c r="G267" t="inlineStr">
        <is>
          <t>TIERP</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57536-2022</t>
        </is>
      </c>
      <c r="B268" t="inlineStr">
        <is>
          <t>avverkningsanmälan</t>
        </is>
      </c>
      <c r="C268" t="inlineStr">
        <is>
          <t>Föryngringsavverkning</t>
        </is>
      </c>
      <c r="D268" s="1" t="n">
        <v>44896</v>
      </c>
      <c r="E268" s="1" t="n">
        <v>46216</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73-2023</t>
        </is>
      </c>
      <c r="B269" t="inlineStr">
        <is>
          <t>avverkningsanmälan</t>
        </is>
      </c>
      <c r="C269" t="inlineStr">
        <is>
          <t>Föryngringsavverkning</t>
        </is>
      </c>
      <c r="D269" s="1" t="n">
        <v>44928</v>
      </c>
      <c r="E269" s="1" t="n">
        <v>46216</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4329-2023</t>
        </is>
      </c>
      <c r="B270" t="inlineStr">
        <is>
          <t>avverkningsanmälan</t>
        </is>
      </c>
      <c r="C270" t="inlineStr">
        <is>
          <t>Föryngringsavverkning</t>
        </is>
      </c>
      <c r="D270" s="1" t="n">
        <v>44953</v>
      </c>
      <c r="E270" s="1" t="n">
        <v>46216</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s="2" t="inlineStr"/>
    </row>
    <row r="271" ht="15" customHeight="1">
      <c r="A271" t="inlineStr">
        <is>
          <t>A 44659-2025</t>
        </is>
      </c>
      <c r="B271" t="inlineStr">
        <is>
          <t>avverkningsanmälan</t>
        </is>
      </c>
      <c r="C271" t="inlineStr">
        <is>
          <t>Föryngringsavverkning</t>
        </is>
      </c>
      <c r="D271" s="1" t="n">
        <v>45917</v>
      </c>
      <c r="E271" s="1" t="n">
        <v>46216</v>
      </c>
      <c r="F271" t="inlineStr">
        <is>
          <t>UPPSALA LÄN</t>
        </is>
      </c>
      <c r="G271" t="inlineStr">
        <is>
          <t>TIERP</t>
        </is>
      </c>
      <c r="H271" t="inlineStr">
        <is>
          <t>Bergvik skog väst AB</t>
        </is>
      </c>
      <c r="I271" t="n">
        <v>12.2</v>
      </c>
      <c r="J271" t="n">
        <v>0</v>
      </c>
      <c r="K271" t="n">
        <v>0</v>
      </c>
      <c r="L271" t="n">
        <v>0</v>
      </c>
      <c r="M271" t="n">
        <v>0</v>
      </c>
      <c r="N271" t="n">
        <v>0</v>
      </c>
      <c r="O271" t="n">
        <v>0</v>
      </c>
      <c r="P271" t="n">
        <v>0</v>
      </c>
      <c r="Q271" t="n">
        <v>0</v>
      </c>
      <c r="R271" t="n">
        <v>0</v>
      </c>
      <c r="S271" t="n">
        <v>0</v>
      </c>
      <c r="T271" t="n">
        <v>0</v>
      </c>
      <c r="U271" s="2" t="inlineStr"/>
    </row>
    <row r="272" ht="15" customHeight="1">
      <c r="A272" t="inlineStr">
        <is>
          <t>A 35196-2025</t>
        </is>
      </c>
      <c r="B272" t="inlineStr">
        <is>
          <t>avverkningsanmälan</t>
        </is>
      </c>
      <c r="C272" t="inlineStr">
        <is>
          <t>Avverkning för annat ändamål</t>
        </is>
      </c>
      <c r="D272" s="1" t="n">
        <v>45853</v>
      </c>
      <c r="E272" s="1" t="n">
        <v>46216</v>
      </c>
      <c r="F272" t="inlineStr">
        <is>
          <t>UPPSALA LÄN</t>
        </is>
      </c>
      <c r="G272" t="inlineStr">
        <is>
          <t>TIERP</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44675-2025</t>
        </is>
      </c>
      <c r="B273" t="inlineStr">
        <is>
          <t>avverkningsanmälan</t>
        </is>
      </c>
      <c r="C273" t="inlineStr">
        <is>
          <t>Föryngringsavverkning</t>
        </is>
      </c>
      <c r="D273" s="1" t="n">
        <v>45917</v>
      </c>
      <c r="E273" s="1" t="n">
        <v>46216</v>
      </c>
      <c r="F273" t="inlineStr">
        <is>
          <t>UPPSALA LÄN</t>
        </is>
      </c>
      <c r="G273" t="inlineStr">
        <is>
          <t>TIERP</t>
        </is>
      </c>
      <c r="H273" t="inlineStr">
        <is>
          <t>Bergvik skog väst AB</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34044-2025</t>
        </is>
      </c>
      <c r="B274" t="inlineStr">
        <is>
          <t>avverkningsanmälan</t>
        </is>
      </c>
      <c r="C274" t="inlineStr">
        <is>
          <t>Föryngringsavverkning</t>
        </is>
      </c>
      <c r="D274" s="1" t="n">
        <v>45845</v>
      </c>
      <c r="E274" s="1" t="n">
        <v>46216</v>
      </c>
      <c r="F274" t="inlineStr">
        <is>
          <t>UPPSALA LÄN</t>
        </is>
      </c>
      <c r="G274" t="inlineStr">
        <is>
          <t>TIERP</t>
        </is>
      </c>
      <c r="H274" t="inlineStr">
        <is>
          <t>Övriga Aktiebolag</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30125-2024</t>
        </is>
      </c>
      <c r="B275" t="inlineStr">
        <is>
          <t>avverkningsanmälan</t>
        </is>
      </c>
      <c r="C275" t="inlineStr">
        <is>
          <t>Föryngringsavverkning</t>
        </is>
      </c>
      <c r="D275" s="1" t="n">
        <v>45489</v>
      </c>
      <c r="E275" s="1" t="n">
        <v>46216</v>
      </c>
      <c r="F275" t="inlineStr">
        <is>
          <t>UPPSALA LÄN</t>
        </is>
      </c>
      <c r="G275" t="inlineStr">
        <is>
          <t>TIERP</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43874-2025</t>
        </is>
      </c>
      <c r="B276" t="inlineStr">
        <is>
          <t>avverkningsanmälan</t>
        </is>
      </c>
      <c r="C276" t="inlineStr">
        <is>
          <t>Föryngringsavverkning</t>
        </is>
      </c>
      <c r="D276" s="1" t="n">
        <v>45912</v>
      </c>
      <c r="E276" s="1" t="n">
        <v>46216</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30110-2024</t>
        </is>
      </c>
      <c r="B277" t="inlineStr">
        <is>
          <t>avverkningsanmälan</t>
        </is>
      </c>
      <c r="C277" t="inlineStr">
        <is>
          <t>Föryngringsavverkning</t>
        </is>
      </c>
      <c r="D277" s="1" t="n">
        <v>45489</v>
      </c>
      <c r="E277" s="1" t="n">
        <v>46216</v>
      </c>
      <c r="F277" t="inlineStr">
        <is>
          <t>UPPSALA LÄN</t>
        </is>
      </c>
      <c r="G277" t="inlineStr">
        <is>
          <t>TIERP</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22672-2023</t>
        </is>
      </c>
      <c r="B278" t="inlineStr">
        <is>
          <t>avverkningsanmälan</t>
        </is>
      </c>
      <c r="C278" t="inlineStr">
        <is>
          <t>Föryngringsavverkning</t>
        </is>
      </c>
      <c r="D278" s="1" t="n">
        <v>45071</v>
      </c>
      <c r="E278" s="1" t="n">
        <v>46216</v>
      </c>
      <c r="F278" t="inlineStr">
        <is>
          <t>UPPSALA LÄN</t>
        </is>
      </c>
      <c r="G278" t="inlineStr">
        <is>
          <t>TIERP</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47505-2024</t>
        </is>
      </c>
      <c r="B279" t="inlineStr">
        <is>
          <t>avverkningsanmälan</t>
        </is>
      </c>
      <c r="C279" t="inlineStr">
        <is>
          <t>Föryngringsavverkning</t>
        </is>
      </c>
      <c r="D279" s="1" t="n">
        <v>45587</v>
      </c>
      <c r="E279" s="1" t="n">
        <v>46216</v>
      </c>
      <c r="F279" t="inlineStr">
        <is>
          <t>UPPSALA LÄN</t>
        </is>
      </c>
      <c r="G279" t="inlineStr">
        <is>
          <t>TIERP</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43873-2025</t>
        </is>
      </c>
      <c r="B280" t="inlineStr">
        <is>
          <t>avverkningsanmälan</t>
        </is>
      </c>
      <c r="C280" t="inlineStr">
        <is>
          <t>Föryngringsavverkning</t>
        </is>
      </c>
      <c r="D280" s="1" t="n">
        <v>45912</v>
      </c>
      <c r="E280" s="1" t="n">
        <v>46216</v>
      </c>
      <c r="F280" t="inlineStr">
        <is>
          <t>UPPSALA LÄN</t>
        </is>
      </c>
      <c r="G280" t="inlineStr">
        <is>
          <t>TIERP</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1056-2025</t>
        </is>
      </c>
      <c r="B281" t="inlineStr">
        <is>
          <t>avverkningsanmälan</t>
        </is>
      </c>
      <c r="C281" t="inlineStr">
        <is>
          <t>Föryngringsavverkning</t>
        </is>
      </c>
      <c r="D281" s="1" t="n">
        <v>45666</v>
      </c>
      <c r="E281" s="1" t="n">
        <v>46216</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22528-2025</t>
        </is>
      </c>
      <c r="B282" t="inlineStr">
        <is>
          <t>avverkningsanmälan</t>
        </is>
      </c>
      <c r="C282" t="inlineStr">
        <is>
          <t>Föryngringsavverkning</t>
        </is>
      </c>
      <c r="D282" s="1" t="n">
        <v>45786</v>
      </c>
      <c r="E282" s="1" t="n">
        <v>46216</v>
      </c>
      <c r="F282" t="inlineStr">
        <is>
          <t>UPPSALA LÄN</t>
        </is>
      </c>
      <c r="G282" t="inlineStr">
        <is>
          <t>TIERP</t>
        </is>
      </c>
      <c r="H282" t="inlineStr">
        <is>
          <t>Övriga Aktiebolag</t>
        </is>
      </c>
      <c r="I282" t="n">
        <v>7.7</v>
      </c>
      <c r="J282" t="n">
        <v>0</v>
      </c>
      <c r="K282" t="n">
        <v>0</v>
      </c>
      <c r="L282" t="n">
        <v>0</v>
      </c>
      <c r="M282" t="n">
        <v>0</v>
      </c>
      <c r="N282" t="n">
        <v>0</v>
      </c>
      <c r="O282" t="n">
        <v>0</v>
      </c>
      <c r="P282" t="n">
        <v>0</v>
      </c>
      <c r="Q282" t="n">
        <v>0</v>
      </c>
      <c r="R282" t="n">
        <v>0</v>
      </c>
      <c r="S282" t="n">
        <v>0</v>
      </c>
      <c r="T282" t="n">
        <v>0</v>
      </c>
      <c r="U282" s="2" t="inlineStr"/>
    </row>
    <row r="283" ht="15" customHeight="1">
      <c r="A283" t="inlineStr">
        <is>
          <t>A 35195-2025</t>
        </is>
      </c>
      <c r="B283" t="inlineStr">
        <is>
          <t>avverkningsanmälan</t>
        </is>
      </c>
      <c r="C283" t="inlineStr">
        <is>
          <t>Föryngringsavverkning</t>
        </is>
      </c>
      <c r="D283" s="1" t="n">
        <v>45853</v>
      </c>
      <c r="E283" s="1" t="n">
        <v>46216</v>
      </c>
      <c r="F283" t="inlineStr">
        <is>
          <t>UPPSALA LÄN</t>
        </is>
      </c>
      <c r="G283" t="inlineStr">
        <is>
          <t>TIERP</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1384-2023</t>
        </is>
      </c>
      <c r="B284" t="inlineStr">
        <is>
          <t>avverkningsanmälan</t>
        </is>
      </c>
      <c r="C284" t="inlineStr">
        <is>
          <t>Föryngringsavverkning</t>
        </is>
      </c>
      <c r="D284" s="1" t="n">
        <v>44936</v>
      </c>
      <c r="E284" s="1" t="n">
        <v>46216</v>
      </c>
      <c r="F284" t="inlineStr">
        <is>
          <t>UPPSALA LÄN</t>
        </is>
      </c>
      <c r="G284" t="inlineStr">
        <is>
          <t>TIERP</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44612-2025</t>
        </is>
      </c>
      <c r="B285" t="inlineStr">
        <is>
          <t>avverkningsanmälan</t>
        </is>
      </c>
      <c r="C285" t="inlineStr">
        <is>
          <t>Föryngringsavverkning</t>
        </is>
      </c>
      <c r="D285" s="1" t="n">
        <v>45917</v>
      </c>
      <c r="E285" s="1" t="n">
        <v>46216</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55816-2024</t>
        </is>
      </c>
      <c r="B286" t="inlineStr">
        <is>
          <t>avverkningsanmälan</t>
        </is>
      </c>
      <c r="C286" t="inlineStr">
        <is>
          <t>Föryngringsavverkning</t>
        </is>
      </c>
      <c r="D286" s="1" t="n">
        <v>45623</v>
      </c>
      <c r="E286" s="1" t="n">
        <v>46216</v>
      </c>
      <c r="F286" t="inlineStr">
        <is>
          <t>UPPSALA LÄN</t>
        </is>
      </c>
      <c r="G286" t="inlineStr">
        <is>
          <t>TIERP</t>
        </is>
      </c>
      <c r="I286" t="n">
        <v>5.2</v>
      </c>
      <c r="J286" t="n">
        <v>0</v>
      </c>
      <c r="K286" t="n">
        <v>0</v>
      </c>
      <c r="L286" t="n">
        <v>0</v>
      </c>
      <c r="M286" t="n">
        <v>0</v>
      </c>
      <c r="N286" t="n">
        <v>0</v>
      </c>
      <c r="O286" t="n">
        <v>0</v>
      </c>
      <c r="P286" t="n">
        <v>0</v>
      </c>
      <c r="Q286" t="n">
        <v>0</v>
      </c>
      <c r="R286" t="n">
        <v>0</v>
      </c>
      <c r="S286" t="n">
        <v>0</v>
      </c>
      <c r="T286" t="n">
        <v>0</v>
      </c>
      <c r="U286" s="2" t="inlineStr"/>
    </row>
    <row r="287" ht="15" customHeight="1">
      <c r="A287" t="inlineStr">
        <is>
          <t>A 2899-2023</t>
        </is>
      </c>
      <c r="B287" t="inlineStr">
        <is>
          <t>avverkningsanmälan</t>
        </is>
      </c>
      <c r="C287" t="inlineStr">
        <is>
          <t>Föryngringsavverkning</t>
        </is>
      </c>
      <c r="D287" s="1" t="n">
        <v>44945</v>
      </c>
      <c r="E287" s="1" t="n">
        <v>46216</v>
      </c>
      <c r="F287" t="inlineStr">
        <is>
          <t>UPPSALA LÄN</t>
        </is>
      </c>
      <c r="G287" t="inlineStr">
        <is>
          <t>TIERP</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16631-2023</t>
        </is>
      </c>
      <c r="B288" t="inlineStr">
        <is>
          <t>avverkningsanmälan</t>
        </is>
      </c>
      <c r="C288" t="inlineStr">
        <is>
          <t>Avverkning för annat ändamål</t>
        </is>
      </c>
      <c r="D288" s="1" t="n">
        <v>45030</v>
      </c>
      <c r="E288" s="1" t="n">
        <v>46216</v>
      </c>
      <c r="F288" t="inlineStr">
        <is>
          <t>UPPSALA LÄN</t>
        </is>
      </c>
      <c r="G288" t="inlineStr">
        <is>
          <t>TIERP</t>
        </is>
      </c>
      <c r="H288" t="inlineStr">
        <is>
          <t>Bergvik skog väst AB</t>
        </is>
      </c>
      <c r="I288" t="n">
        <v>0.3</v>
      </c>
      <c r="J288" t="n">
        <v>0</v>
      </c>
      <c r="K288" t="n">
        <v>0</v>
      </c>
      <c r="L288" t="n">
        <v>0</v>
      </c>
      <c r="M288" t="n">
        <v>0</v>
      </c>
      <c r="N288" t="n">
        <v>0</v>
      </c>
      <c r="O288" t="n">
        <v>0</v>
      </c>
      <c r="P288" t="n">
        <v>0</v>
      </c>
      <c r="Q288" t="n">
        <v>0</v>
      </c>
      <c r="R288" t="n">
        <v>0</v>
      </c>
      <c r="S288" t="n">
        <v>0</v>
      </c>
      <c r="T288" t="n">
        <v>0</v>
      </c>
      <c r="U288" s="2" t="inlineStr"/>
    </row>
    <row r="289" ht="15" customHeight="1">
      <c r="A289" t="inlineStr">
        <is>
          <t>A 36150-2021</t>
        </is>
      </c>
      <c r="B289" t="inlineStr">
        <is>
          <t>avverkningsanmälan</t>
        </is>
      </c>
      <c r="C289" t="inlineStr">
        <is>
          <t>Föryngringsavverkning</t>
        </is>
      </c>
      <c r="D289" s="1" t="n">
        <v>44389</v>
      </c>
      <c r="E289" s="1" t="n">
        <v>46216</v>
      </c>
      <c r="F289" t="inlineStr">
        <is>
          <t>UPPSALA LÄN</t>
        </is>
      </c>
      <c r="G289" t="inlineStr">
        <is>
          <t>TIERP</t>
        </is>
      </c>
      <c r="H289" t="inlineStr">
        <is>
          <t>Bergvik skog öst AB</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45308-2025</t>
        </is>
      </c>
      <c r="B290" t="inlineStr">
        <is>
          <t>avverkningsanmälan</t>
        </is>
      </c>
      <c r="C290" t="inlineStr">
        <is>
          <t>Föryngringsavverkning</t>
        </is>
      </c>
      <c r="D290" s="1" t="n">
        <v>45921</v>
      </c>
      <c r="E290" s="1" t="n">
        <v>46216</v>
      </c>
      <c r="F290" t="inlineStr">
        <is>
          <t>UPPSALA LÄN</t>
        </is>
      </c>
      <c r="G290" t="inlineStr">
        <is>
          <t>TIERP</t>
        </is>
      </c>
      <c r="H290" t="inlineStr">
        <is>
          <t>Bergvik skog väst AB</t>
        </is>
      </c>
      <c r="I290" t="n">
        <v>0.3</v>
      </c>
      <c r="J290" t="n">
        <v>0</v>
      </c>
      <c r="K290" t="n">
        <v>0</v>
      </c>
      <c r="L290" t="n">
        <v>0</v>
      </c>
      <c r="M290" t="n">
        <v>0</v>
      </c>
      <c r="N290" t="n">
        <v>0</v>
      </c>
      <c r="O290" t="n">
        <v>0</v>
      </c>
      <c r="P290" t="n">
        <v>0</v>
      </c>
      <c r="Q290" t="n">
        <v>0</v>
      </c>
      <c r="R290" t="n">
        <v>0</v>
      </c>
      <c r="S290" t="n">
        <v>0</v>
      </c>
      <c r="T290" t="n">
        <v>0</v>
      </c>
      <c r="U290" s="2" t="inlineStr"/>
    </row>
    <row r="291" ht="15" customHeight="1">
      <c r="A291" t="inlineStr">
        <is>
          <t>A 45449-2025</t>
        </is>
      </c>
      <c r="B291" t="inlineStr">
        <is>
          <t>avverkningsanmälan</t>
        </is>
      </c>
      <c r="C291" t="inlineStr">
        <is>
          <t>Föryngringsavverkning</t>
        </is>
      </c>
      <c r="D291" s="1" t="n">
        <v>45922</v>
      </c>
      <c r="E291" s="1" t="n">
        <v>46216</v>
      </c>
      <c r="F291" t="inlineStr">
        <is>
          <t>UPPSALA LÄN</t>
        </is>
      </c>
      <c r="G291" t="inlineStr">
        <is>
          <t>TIERP</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45460-2025</t>
        </is>
      </c>
      <c r="B292" t="inlineStr">
        <is>
          <t>avverkningsanmälan</t>
        </is>
      </c>
      <c r="C292" t="inlineStr">
        <is>
          <t>Föryngringsavverkning</t>
        </is>
      </c>
      <c r="D292" s="1" t="n">
        <v>45922</v>
      </c>
      <c r="E292" s="1" t="n">
        <v>46216</v>
      </c>
      <c r="F292" t="inlineStr">
        <is>
          <t>UPPSALA LÄN</t>
        </is>
      </c>
      <c r="G292" t="inlineStr">
        <is>
          <t>TIERP</t>
        </is>
      </c>
      <c r="I292" t="n">
        <v>4.2</v>
      </c>
      <c r="J292" t="n">
        <v>0</v>
      </c>
      <c r="K292" t="n">
        <v>0</v>
      </c>
      <c r="L292" t="n">
        <v>0</v>
      </c>
      <c r="M292" t="n">
        <v>0</v>
      </c>
      <c r="N292" t="n">
        <v>0</v>
      </c>
      <c r="O292" t="n">
        <v>0</v>
      </c>
      <c r="P292" t="n">
        <v>0</v>
      </c>
      <c r="Q292" t="n">
        <v>0</v>
      </c>
      <c r="R292" t="n">
        <v>0</v>
      </c>
      <c r="S292" t="n">
        <v>0</v>
      </c>
      <c r="T292" t="n">
        <v>0</v>
      </c>
      <c r="U292" s="2" t="inlineStr"/>
    </row>
    <row r="293" ht="15" customHeight="1">
      <c r="A293" t="inlineStr">
        <is>
          <t>A 45311-2025</t>
        </is>
      </c>
      <c r="B293" t="inlineStr">
        <is>
          <t>avverkningsanmälan</t>
        </is>
      </c>
      <c r="C293" t="inlineStr">
        <is>
          <t>Föryngringsavverkning</t>
        </is>
      </c>
      <c r="D293" s="1" t="n">
        <v>45921</v>
      </c>
      <c r="E293" s="1" t="n">
        <v>46216</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45328-2025</t>
        </is>
      </c>
      <c r="B294" t="inlineStr">
        <is>
          <t>avverkningsanmälan</t>
        </is>
      </c>
      <c r="C294" t="inlineStr">
        <is>
          <t>Föryngringsavverkning</t>
        </is>
      </c>
      <c r="D294" s="1" t="n">
        <v>45922</v>
      </c>
      <c r="E294" s="1" t="n">
        <v>46216</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26161-2022</t>
        </is>
      </c>
      <c r="B295" t="inlineStr">
        <is>
          <t>avverkningsanmälan</t>
        </is>
      </c>
      <c r="C295" t="inlineStr">
        <is>
          <t>Föryngringsavverkning</t>
        </is>
      </c>
      <c r="D295" s="1" t="n">
        <v>44735</v>
      </c>
      <c r="E295" s="1" t="n">
        <v>46216</v>
      </c>
      <c r="F295" t="inlineStr">
        <is>
          <t>UPPSALA LÄN</t>
        </is>
      </c>
      <c r="G295" t="inlineStr">
        <is>
          <t>TIERP</t>
        </is>
      </c>
      <c r="I295" t="n">
        <v>5</v>
      </c>
      <c r="J295" t="n">
        <v>0</v>
      </c>
      <c r="K295" t="n">
        <v>0</v>
      </c>
      <c r="L295" t="n">
        <v>0</v>
      </c>
      <c r="M295" t="n">
        <v>0</v>
      </c>
      <c r="N295" t="n">
        <v>0</v>
      </c>
      <c r="O295" t="n">
        <v>0</v>
      </c>
      <c r="P295" t="n">
        <v>0</v>
      </c>
      <c r="Q295" t="n">
        <v>0</v>
      </c>
      <c r="R295" t="n">
        <v>0</v>
      </c>
      <c r="S295" t="n">
        <v>0</v>
      </c>
      <c r="T295" t="n">
        <v>0</v>
      </c>
      <c r="U295" s="2" t="inlineStr"/>
    </row>
    <row r="296" ht="15" customHeight="1">
      <c r="A296" t="inlineStr">
        <is>
          <t>A 319-2023</t>
        </is>
      </c>
      <c r="B296" t="inlineStr">
        <is>
          <t>avverkningsanmälan</t>
        </is>
      </c>
      <c r="C296" t="inlineStr">
        <is>
          <t>Avverkning för annat ändamål</t>
        </is>
      </c>
      <c r="D296" s="1" t="n">
        <v>44929</v>
      </c>
      <c r="E296" s="1" t="n">
        <v>46216</v>
      </c>
      <c r="F296" t="inlineStr">
        <is>
          <t>UPPSALA LÄN</t>
        </is>
      </c>
      <c r="G296" t="inlineStr">
        <is>
          <t>TIERP</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35011-2025</t>
        </is>
      </c>
      <c r="B297" t="inlineStr">
        <is>
          <t>avverkningsanmälan</t>
        </is>
      </c>
      <c r="C297" t="inlineStr">
        <is>
          <t>Föryngringsavverkning</t>
        </is>
      </c>
      <c r="D297" s="1" t="n">
        <v>45851</v>
      </c>
      <c r="E297" s="1" t="n">
        <v>46216</v>
      </c>
      <c r="F297" t="inlineStr">
        <is>
          <t>UPPSALA LÄN</t>
        </is>
      </c>
      <c r="G297" t="inlineStr">
        <is>
          <t>TIERP</t>
        </is>
      </c>
      <c r="H297" t="inlineStr">
        <is>
          <t>Bergvik skog väst AB</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20021-2025</t>
        </is>
      </c>
      <c r="B298" t="inlineStr">
        <is>
          <t>avverkningsanmälan</t>
        </is>
      </c>
      <c r="C298" t="inlineStr">
        <is>
          <t>Avverkning för annat ändamål</t>
        </is>
      </c>
      <c r="D298" s="1" t="n">
        <v>45772</v>
      </c>
      <c r="E298" s="1" t="n">
        <v>46216</v>
      </c>
      <c r="F298" t="inlineStr">
        <is>
          <t>UPPSALA LÄN</t>
        </is>
      </c>
      <c r="G298" t="inlineStr">
        <is>
          <t>TIERP</t>
        </is>
      </c>
      <c r="H298" t="inlineStr">
        <is>
          <t>Kyrkan</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2266-2023</t>
        </is>
      </c>
      <c r="B299" t="inlineStr">
        <is>
          <t>avverkningsanmälan</t>
        </is>
      </c>
      <c r="C299" t="inlineStr">
        <is>
          <t>Föryngringsavverkning</t>
        </is>
      </c>
      <c r="D299" s="1" t="n">
        <v>44942</v>
      </c>
      <c r="E299" s="1" t="n">
        <v>46216</v>
      </c>
      <c r="F299" t="inlineStr">
        <is>
          <t>UPPSALA LÄN</t>
        </is>
      </c>
      <c r="G299" t="inlineStr">
        <is>
          <t>TIERP</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27269-2025</t>
        </is>
      </c>
      <c r="B300" t="inlineStr">
        <is>
          <t>avverkningsanmälan</t>
        </is>
      </c>
      <c r="C300" t="inlineStr">
        <is>
          <t>Föryngringsavverkning</t>
        </is>
      </c>
      <c r="D300" s="1" t="n">
        <v>45812</v>
      </c>
      <c r="E300" s="1" t="n">
        <v>46216</v>
      </c>
      <c r="F300" t="inlineStr">
        <is>
          <t>UPPSALA LÄN</t>
        </is>
      </c>
      <c r="G300" t="inlineStr">
        <is>
          <t>TIERP</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35108-2025</t>
        </is>
      </c>
      <c r="B301" t="inlineStr">
        <is>
          <t>avverkningsanmälan</t>
        </is>
      </c>
      <c r="C301" t="inlineStr">
        <is>
          <t>Föryngringsavverkning</t>
        </is>
      </c>
      <c r="D301" s="1" t="n">
        <v>45852</v>
      </c>
      <c r="E301" s="1" t="n">
        <v>46216</v>
      </c>
      <c r="F301" t="inlineStr">
        <is>
          <t>UPPSALA LÄN</t>
        </is>
      </c>
      <c r="G301" t="inlineStr">
        <is>
          <t>TIERP</t>
        </is>
      </c>
      <c r="H301" t="inlineStr">
        <is>
          <t>Bergvik skog väst AB</t>
        </is>
      </c>
      <c r="I301" t="n">
        <v>0.3</v>
      </c>
      <c r="J301" t="n">
        <v>0</v>
      </c>
      <c r="K301" t="n">
        <v>0</v>
      </c>
      <c r="L301" t="n">
        <v>0</v>
      </c>
      <c r="M301" t="n">
        <v>0</v>
      </c>
      <c r="N301" t="n">
        <v>0</v>
      </c>
      <c r="O301" t="n">
        <v>0</v>
      </c>
      <c r="P301" t="n">
        <v>0</v>
      </c>
      <c r="Q301" t="n">
        <v>0</v>
      </c>
      <c r="R301" t="n">
        <v>0</v>
      </c>
      <c r="S301" t="n">
        <v>0</v>
      </c>
      <c r="T301" t="n">
        <v>0</v>
      </c>
      <c r="U301" s="2" t="inlineStr"/>
    </row>
    <row r="302" ht="15" customHeight="1">
      <c r="A302" t="inlineStr">
        <is>
          <t>A 46842-2025</t>
        </is>
      </c>
      <c r="B302" t="inlineStr">
        <is>
          <t>avverkningsanmälan</t>
        </is>
      </c>
      <c r="C302" t="inlineStr">
        <is>
          <t>Föryngringsavverkning</t>
        </is>
      </c>
      <c r="D302" s="1" t="n">
        <v>45928</v>
      </c>
      <c r="E302" s="1" t="n">
        <v>46216</v>
      </c>
      <c r="F302" t="inlineStr">
        <is>
          <t>UPPSALA LÄN</t>
        </is>
      </c>
      <c r="G302" t="inlineStr">
        <is>
          <t>TIERP</t>
        </is>
      </c>
      <c r="H302" t="inlineStr">
        <is>
          <t>Bergvik skog väst AB</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35012-2025</t>
        </is>
      </c>
      <c r="B303" t="inlineStr">
        <is>
          <t>avverkningsanmälan</t>
        </is>
      </c>
      <c r="C303" t="inlineStr">
        <is>
          <t>Föryngringsavverkning</t>
        </is>
      </c>
      <c r="D303" s="1" t="n">
        <v>45851</v>
      </c>
      <c r="E303" s="1" t="n">
        <v>46216</v>
      </c>
      <c r="F303" t="inlineStr">
        <is>
          <t>UPPSALA LÄN</t>
        </is>
      </c>
      <c r="G303" t="inlineStr">
        <is>
          <t>TIERP</t>
        </is>
      </c>
      <c r="H303" t="inlineStr">
        <is>
          <t>Bergvik skog väst AB</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35013-2025</t>
        </is>
      </c>
      <c r="B304" t="inlineStr">
        <is>
          <t>avverkningsanmälan</t>
        </is>
      </c>
      <c r="C304" t="inlineStr">
        <is>
          <t>Föryngringsavverkning</t>
        </is>
      </c>
      <c r="D304" s="1" t="n">
        <v>45851</v>
      </c>
      <c r="E304" s="1" t="n">
        <v>46216</v>
      </c>
      <c r="F304" t="inlineStr">
        <is>
          <t>UPPSALA LÄN</t>
        </is>
      </c>
      <c r="G304" t="inlineStr">
        <is>
          <t>TIERP</t>
        </is>
      </c>
      <c r="H304" t="inlineStr">
        <is>
          <t>Bergvik skog väst AB</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66241-2021</t>
        </is>
      </c>
      <c r="B305" t="inlineStr">
        <is>
          <t>avverkningsanmälan</t>
        </is>
      </c>
      <c r="C305" t="inlineStr">
        <is>
          <t>Föryngringsavverkning</t>
        </is>
      </c>
      <c r="D305" s="1" t="n">
        <v>44518</v>
      </c>
      <c r="E305" s="1" t="n">
        <v>46216</v>
      </c>
      <c r="F305" t="inlineStr">
        <is>
          <t>UPPSALA LÄN</t>
        </is>
      </c>
      <c r="G305" t="inlineStr">
        <is>
          <t>TIERP</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2406-2026</t>
        </is>
      </c>
      <c r="B306" t="inlineStr">
        <is>
          <t>avverkningsanmälan</t>
        </is>
      </c>
      <c r="C306" t="inlineStr">
        <is>
          <t>Föryngringsavverkning</t>
        </is>
      </c>
      <c r="D306" s="1" t="n">
        <v>46036</v>
      </c>
      <c r="E306" s="1" t="n">
        <v>46216</v>
      </c>
      <c r="F306" t="inlineStr">
        <is>
          <t>UPPSALA LÄN</t>
        </is>
      </c>
      <c r="G306" t="inlineStr">
        <is>
          <t>TIERP</t>
        </is>
      </c>
      <c r="H306" t="inlineStr">
        <is>
          <t>Bergvik skog väst AB</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46644-2025</t>
        </is>
      </c>
      <c r="B307" t="inlineStr">
        <is>
          <t>avverkningsanmälan</t>
        </is>
      </c>
      <c r="C307" t="inlineStr">
        <is>
          <t>Föryngringsavverkning</t>
        </is>
      </c>
      <c r="D307" s="1" t="n">
        <v>45926</v>
      </c>
      <c r="E307" s="1" t="n">
        <v>46216</v>
      </c>
      <c r="F307" t="inlineStr">
        <is>
          <t>UPPSALA LÄN</t>
        </is>
      </c>
      <c r="G307" t="inlineStr">
        <is>
          <t>TIERP</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22135-2025</t>
        </is>
      </c>
      <c r="B308" t="inlineStr">
        <is>
          <t>avverkningsanmälan</t>
        </is>
      </c>
      <c r="C308" t="inlineStr">
        <is>
          <t>Föryngringsavverkning</t>
        </is>
      </c>
      <c r="D308" s="1" t="n">
        <v>45785</v>
      </c>
      <c r="E308" s="1" t="n">
        <v>46216</v>
      </c>
      <c r="F308" t="inlineStr">
        <is>
          <t>UPPSALA LÄN</t>
        </is>
      </c>
      <c r="G308" t="inlineStr">
        <is>
          <t>TIERP</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36029-2025</t>
        </is>
      </c>
      <c r="B309" t="inlineStr">
        <is>
          <t>avverkningsanmälan</t>
        </is>
      </c>
      <c r="C309" t="inlineStr">
        <is>
          <t>Föryngringsavverkning</t>
        </is>
      </c>
      <c r="D309" s="1" t="n">
        <v>45865</v>
      </c>
      <c r="E309" s="1" t="n">
        <v>46216</v>
      </c>
      <c r="F309" t="inlineStr">
        <is>
          <t>UPPSALA LÄN</t>
        </is>
      </c>
      <c r="G309" t="inlineStr">
        <is>
          <t>TIERP</t>
        </is>
      </c>
      <c r="H309" t="inlineStr">
        <is>
          <t>Bergvik skog väst AB</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36195-2025</t>
        </is>
      </c>
      <c r="B310" t="inlineStr">
        <is>
          <t>avverkningsanmälan</t>
        </is>
      </c>
      <c r="C310" t="inlineStr">
        <is>
          <t>Föryngringsavverkning</t>
        </is>
      </c>
      <c r="D310" s="1" t="n">
        <v>45867</v>
      </c>
      <c r="E310" s="1" t="n">
        <v>46216</v>
      </c>
      <c r="F310" t="inlineStr">
        <is>
          <t>UPPSALA LÄN</t>
        </is>
      </c>
      <c r="G310" t="inlineStr">
        <is>
          <t>TIERP</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36423-2025</t>
        </is>
      </c>
      <c r="B311" t="inlineStr">
        <is>
          <t>avverkningsanmälan</t>
        </is>
      </c>
      <c r="C311" t="inlineStr">
        <is>
          <t>Föryngringsavverkning</t>
        </is>
      </c>
      <c r="D311" s="1" t="n">
        <v>45868</v>
      </c>
      <c r="E311" s="1" t="n">
        <v>46216</v>
      </c>
      <c r="F311" t="inlineStr">
        <is>
          <t>UPPSALA LÄN</t>
        </is>
      </c>
      <c r="G311" t="inlineStr">
        <is>
          <t>TIERP</t>
        </is>
      </c>
      <c r="H311" t="inlineStr">
        <is>
          <t>Bergvik skog väst AB</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35122-2025</t>
        </is>
      </c>
      <c r="B312" t="inlineStr">
        <is>
          <t>avverkningsanmälan</t>
        </is>
      </c>
      <c r="C312" t="inlineStr">
        <is>
          <t>Föryngringsavverkning</t>
        </is>
      </c>
      <c r="D312" s="1" t="n">
        <v>45852</v>
      </c>
      <c r="E312" s="1" t="n">
        <v>46216</v>
      </c>
      <c r="F312" t="inlineStr">
        <is>
          <t>UPPSALA LÄN</t>
        </is>
      </c>
      <c r="G312" t="inlineStr">
        <is>
          <t>TIERP</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48674-2025</t>
        </is>
      </c>
      <c r="B313" t="inlineStr">
        <is>
          <t>avverkningsanmälan</t>
        </is>
      </c>
      <c r="C313" t="inlineStr">
        <is>
          <t>Föryngringsavverkning</t>
        </is>
      </c>
      <c r="D313" s="1" t="n">
        <v>45936</v>
      </c>
      <c r="E313" s="1" t="n">
        <v>46216</v>
      </c>
      <c r="F313" t="inlineStr">
        <is>
          <t>UPPSALA LÄN</t>
        </is>
      </c>
      <c r="G313" t="inlineStr">
        <is>
          <t>TIERP</t>
        </is>
      </c>
      <c r="I313" t="n">
        <v>4.7</v>
      </c>
      <c r="J313" t="n">
        <v>0</v>
      </c>
      <c r="K313" t="n">
        <v>0</v>
      </c>
      <c r="L313" t="n">
        <v>0</v>
      </c>
      <c r="M313" t="n">
        <v>0</v>
      </c>
      <c r="N313" t="n">
        <v>0</v>
      </c>
      <c r="O313" t="n">
        <v>0</v>
      </c>
      <c r="P313" t="n">
        <v>0</v>
      </c>
      <c r="Q313" t="n">
        <v>0</v>
      </c>
      <c r="R313" t="n">
        <v>0</v>
      </c>
      <c r="S313" t="n">
        <v>0</v>
      </c>
      <c r="T313" t="n">
        <v>0</v>
      </c>
      <c r="U313" s="2" t="inlineStr"/>
    </row>
    <row r="314" ht="15" customHeight="1">
      <c r="A314" t="inlineStr">
        <is>
          <t>A 34837-2024</t>
        </is>
      </c>
      <c r="B314" t="inlineStr">
        <is>
          <t>avverkningsanmälan</t>
        </is>
      </c>
      <c r="C314" t="inlineStr">
        <is>
          <t>Föryngringsavverkning</t>
        </is>
      </c>
      <c r="D314" s="1" t="n">
        <v>45526</v>
      </c>
      <c r="E314" s="1" t="n">
        <v>46216</v>
      </c>
      <c r="F314" t="inlineStr">
        <is>
          <t>UPPSALA LÄN</t>
        </is>
      </c>
      <c r="G314" t="inlineStr">
        <is>
          <t>TIERP</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48685-2025</t>
        </is>
      </c>
      <c r="B315" t="inlineStr">
        <is>
          <t>avverkningsanmälan</t>
        </is>
      </c>
      <c r="C315" t="inlineStr">
        <is>
          <t>Föryngringsavverkning</t>
        </is>
      </c>
      <c r="D315" s="1" t="n">
        <v>45936</v>
      </c>
      <c r="E315" s="1" t="n">
        <v>46216</v>
      </c>
      <c r="F315" t="inlineStr">
        <is>
          <t>UPPSALA LÄN</t>
        </is>
      </c>
      <c r="G315" t="inlineStr">
        <is>
          <t>TIERP</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23468-2025</t>
        </is>
      </c>
      <c r="B316" t="inlineStr">
        <is>
          <t>avverkningsanmälan</t>
        </is>
      </c>
      <c r="C316" t="inlineStr">
        <is>
          <t>Föryngringsavverkning</t>
        </is>
      </c>
      <c r="D316" s="1" t="n">
        <v>45792</v>
      </c>
      <c r="E316" s="1" t="n">
        <v>46216</v>
      </c>
      <c r="F316" t="inlineStr">
        <is>
          <t>UPPSALA LÄN</t>
        </is>
      </c>
      <c r="G316" t="inlineStr">
        <is>
          <t>TIERP</t>
        </is>
      </c>
      <c r="H316" t="inlineStr">
        <is>
          <t>Bergvik skog väst AB</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48545-2025</t>
        </is>
      </c>
      <c r="B317" t="inlineStr">
        <is>
          <t>avverkningsanmälan</t>
        </is>
      </c>
      <c r="C317" t="inlineStr">
        <is>
          <t>Föryngringsavverkning</t>
        </is>
      </c>
      <c r="D317" s="1" t="n">
        <v>45936</v>
      </c>
      <c r="E317" s="1" t="n">
        <v>46216</v>
      </c>
      <c r="F317" t="inlineStr">
        <is>
          <t>UPPSALA LÄN</t>
        </is>
      </c>
      <c r="G317" t="inlineStr">
        <is>
          <t>TIERP</t>
        </is>
      </c>
      <c r="H317" t="inlineStr">
        <is>
          <t>Bergvik skog väst AB</t>
        </is>
      </c>
      <c r="I317" t="n">
        <v>8</v>
      </c>
      <c r="J317" t="n">
        <v>0</v>
      </c>
      <c r="K317" t="n">
        <v>0</v>
      </c>
      <c r="L317" t="n">
        <v>0</v>
      </c>
      <c r="M317" t="n">
        <v>0</v>
      </c>
      <c r="N317" t="n">
        <v>0</v>
      </c>
      <c r="O317" t="n">
        <v>0</v>
      </c>
      <c r="P317" t="n">
        <v>0</v>
      </c>
      <c r="Q317" t="n">
        <v>0</v>
      </c>
      <c r="R317" t="n">
        <v>0</v>
      </c>
      <c r="S317" t="n">
        <v>0</v>
      </c>
      <c r="T317" t="n">
        <v>0</v>
      </c>
      <c r="U317" s="2" t="inlineStr"/>
    </row>
    <row r="318" ht="15" customHeight="1">
      <c r="A318" t="inlineStr">
        <is>
          <t>A 48550-2025</t>
        </is>
      </c>
      <c r="B318" t="inlineStr">
        <is>
          <t>avverkningsanmälan</t>
        </is>
      </c>
      <c r="C318" t="inlineStr">
        <is>
          <t>Föryngringsavverkning</t>
        </is>
      </c>
      <c r="D318" s="1" t="n">
        <v>45936</v>
      </c>
      <c r="E318" s="1" t="n">
        <v>46216</v>
      </c>
      <c r="F318" t="inlineStr">
        <is>
          <t>UPPSALA LÄN</t>
        </is>
      </c>
      <c r="G318" t="inlineStr">
        <is>
          <t>TIERP</t>
        </is>
      </c>
      <c r="H318" t="inlineStr">
        <is>
          <t>Bergvik skog väst AB</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48684-2025</t>
        </is>
      </c>
      <c r="B319" t="inlineStr">
        <is>
          <t>avverkningsanmälan</t>
        </is>
      </c>
      <c r="C319" t="inlineStr">
        <is>
          <t>Föryngringsavverkning</t>
        </is>
      </c>
      <c r="D319" s="1" t="n">
        <v>45936</v>
      </c>
      <c r="E319" s="1" t="n">
        <v>46216</v>
      </c>
      <c r="F319" t="inlineStr">
        <is>
          <t>UPPSALA LÄN</t>
        </is>
      </c>
      <c r="G319" t="inlineStr">
        <is>
          <t>TIERP</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49191-2025</t>
        </is>
      </c>
      <c r="B320" t="inlineStr">
        <is>
          <t>avverkningsanmälan</t>
        </is>
      </c>
      <c r="C320" t="inlineStr">
        <is>
          <t>Föryngringsavverkning</t>
        </is>
      </c>
      <c r="D320" s="1" t="n">
        <v>45938</v>
      </c>
      <c r="E320" s="1" t="n">
        <v>46216</v>
      </c>
      <c r="F320" t="inlineStr">
        <is>
          <t>UPPSALA LÄN</t>
        </is>
      </c>
      <c r="G320" t="inlineStr">
        <is>
          <t>TIERP</t>
        </is>
      </c>
      <c r="H320" t="inlineStr">
        <is>
          <t>Bergvik skog väst AB</t>
        </is>
      </c>
      <c r="I320" t="n">
        <v>38.9</v>
      </c>
      <c r="J320" t="n">
        <v>0</v>
      </c>
      <c r="K320" t="n">
        <v>0</v>
      </c>
      <c r="L320" t="n">
        <v>0</v>
      </c>
      <c r="M320" t="n">
        <v>0</v>
      </c>
      <c r="N320" t="n">
        <v>0</v>
      </c>
      <c r="O320" t="n">
        <v>0</v>
      </c>
      <c r="P320" t="n">
        <v>0</v>
      </c>
      <c r="Q320" t="n">
        <v>0</v>
      </c>
      <c r="R320" t="n">
        <v>0</v>
      </c>
      <c r="S320" t="n">
        <v>0</v>
      </c>
      <c r="T320" t="n">
        <v>0</v>
      </c>
      <c r="U320" s="2" t="inlineStr"/>
    </row>
    <row r="321" ht="15" customHeight="1">
      <c r="A321" t="inlineStr">
        <is>
          <t>A 49558-2025</t>
        </is>
      </c>
      <c r="B321" t="inlineStr">
        <is>
          <t>avverkningsanmälan</t>
        </is>
      </c>
      <c r="C321" t="inlineStr">
        <is>
          <t>Föryngringsavverkning</t>
        </is>
      </c>
      <c r="D321" s="1" t="n">
        <v>45939</v>
      </c>
      <c r="E321" s="1" t="n">
        <v>46216</v>
      </c>
      <c r="F321" t="inlineStr">
        <is>
          <t>UPPSALA LÄN</t>
        </is>
      </c>
      <c r="G321" t="inlineStr">
        <is>
          <t>TIERP</t>
        </is>
      </c>
      <c r="H321" t="inlineStr">
        <is>
          <t>Bergvik skog väst AB</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48871-2025</t>
        </is>
      </c>
      <c r="B322" t="inlineStr">
        <is>
          <t>avverkningsanmälan</t>
        </is>
      </c>
      <c r="C322" t="inlineStr">
        <is>
          <t>Föryngringsavverkning</t>
        </is>
      </c>
      <c r="D322" s="1" t="n">
        <v>45937</v>
      </c>
      <c r="E322" s="1" t="n">
        <v>46216</v>
      </c>
      <c r="F322" t="inlineStr">
        <is>
          <t>UPPSALA LÄN</t>
        </is>
      </c>
      <c r="G322" t="inlineStr">
        <is>
          <t>TIERP</t>
        </is>
      </c>
      <c r="H322" t="inlineStr">
        <is>
          <t>Bergvik skog väst AB</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2301-2024</t>
        </is>
      </c>
      <c r="B323" t="inlineStr">
        <is>
          <t>avverkningsanmälan</t>
        </is>
      </c>
      <c r="C323" t="inlineStr">
        <is>
          <t>Föryngringsavverkning</t>
        </is>
      </c>
      <c r="D323" s="1" t="n">
        <v>45310</v>
      </c>
      <c r="E323" s="1" t="n">
        <v>46216</v>
      </c>
      <c r="F323" t="inlineStr">
        <is>
          <t>UPPSALA LÄN</t>
        </is>
      </c>
      <c r="G323" t="inlineStr">
        <is>
          <t>TIERP</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34838-2024</t>
        </is>
      </c>
      <c r="B324" t="inlineStr">
        <is>
          <t>avverkningsanmälan</t>
        </is>
      </c>
      <c r="C324" t="inlineStr">
        <is>
          <t>Avverkning för annat ändamål</t>
        </is>
      </c>
      <c r="D324" s="1" t="n">
        <v>45526</v>
      </c>
      <c r="E324" s="1" t="n">
        <v>46216</v>
      </c>
      <c r="F324" t="inlineStr">
        <is>
          <t>UPPSALA LÄN</t>
        </is>
      </c>
      <c r="G324" t="inlineStr">
        <is>
          <t>TIERP</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43713-2022</t>
        </is>
      </c>
      <c r="B325" t="inlineStr">
        <is>
          <t>avverkningsanmälan</t>
        </is>
      </c>
      <c r="C325" t="inlineStr">
        <is>
          <t>Föryngringsavverkning</t>
        </is>
      </c>
      <c r="D325" s="1" t="n">
        <v>44837</v>
      </c>
      <c r="E325" s="1" t="n">
        <v>46216</v>
      </c>
      <c r="F325" t="inlineStr">
        <is>
          <t>UPPSALA LÄN</t>
        </is>
      </c>
      <c r="G325" t="inlineStr">
        <is>
          <t>TIERP</t>
        </is>
      </c>
      <c r="I325" t="n">
        <v>3.4</v>
      </c>
      <c r="J325" t="n">
        <v>0</v>
      </c>
      <c r="K325" t="n">
        <v>0</v>
      </c>
      <c r="L325" t="n">
        <v>0</v>
      </c>
      <c r="M325" t="n">
        <v>0</v>
      </c>
      <c r="N325" t="n">
        <v>0</v>
      </c>
      <c r="O325" t="n">
        <v>0</v>
      </c>
      <c r="P325" t="n">
        <v>0</v>
      </c>
      <c r="Q325" t="n">
        <v>0</v>
      </c>
      <c r="R325" t="n">
        <v>0</v>
      </c>
      <c r="S325" t="n">
        <v>0</v>
      </c>
      <c r="T325" t="n">
        <v>0</v>
      </c>
      <c r="U325" s="2" t="inlineStr"/>
    </row>
    <row r="326" ht="15" customHeight="1">
      <c r="A326" t="inlineStr">
        <is>
          <t>A 61615-2022</t>
        </is>
      </c>
      <c r="B326" t="inlineStr">
        <is>
          <t>avverkningsanmälan</t>
        </is>
      </c>
      <c r="C326" t="inlineStr">
        <is>
          <t>Föryngringsavverkning</t>
        </is>
      </c>
      <c r="D326" s="1" t="n">
        <v>44916</v>
      </c>
      <c r="E326" s="1" t="n">
        <v>46216</v>
      </c>
      <c r="F326" t="inlineStr">
        <is>
          <t>UPPSALA LÄN</t>
        </is>
      </c>
      <c r="G326" t="inlineStr">
        <is>
          <t>TIERP</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14241-2024</t>
        </is>
      </c>
      <c r="B327" t="inlineStr">
        <is>
          <t>avverkningsanmälan</t>
        </is>
      </c>
      <c r="C327" t="inlineStr">
        <is>
          <t>Föryngringsavverkning</t>
        </is>
      </c>
      <c r="D327" s="1" t="n">
        <v>45393</v>
      </c>
      <c r="E327" s="1" t="n">
        <v>46216</v>
      </c>
      <c r="F327" t="inlineStr">
        <is>
          <t>UPPSALA LÄN</t>
        </is>
      </c>
      <c r="G327" t="inlineStr">
        <is>
          <t>TIERP</t>
        </is>
      </c>
      <c r="H327" t="inlineStr">
        <is>
          <t>Bergvik skog öst AB</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6364-2023</t>
        </is>
      </c>
      <c r="B328" t="inlineStr">
        <is>
          <t>avverkningsanmälan</t>
        </is>
      </c>
      <c r="C328" t="inlineStr">
        <is>
          <t>Föryngringsavverkning</t>
        </is>
      </c>
      <c r="D328" s="1" t="n">
        <v>44965</v>
      </c>
      <c r="E328" s="1" t="n">
        <v>46216</v>
      </c>
      <c r="F328" t="inlineStr">
        <is>
          <t>UPPSALA LÄN</t>
        </is>
      </c>
      <c r="G328" t="inlineStr">
        <is>
          <t>TIERP</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51116-2025</t>
        </is>
      </c>
      <c r="B329" t="inlineStr">
        <is>
          <t>avverkningsanmälan</t>
        </is>
      </c>
      <c r="C329" t="inlineStr">
        <is>
          <t>Föryngringsavverkning</t>
        </is>
      </c>
      <c r="D329" s="1" t="n">
        <v>45947</v>
      </c>
      <c r="E329" s="1" t="n">
        <v>46216</v>
      </c>
      <c r="F329" t="inlineStr">
        <is>
          <t>UPPSALA LÄN</t>
        </is>
      </c>
      <c r="G329" t="inlineStr">
        <is>
          <t>TIERP</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50879-2025</t>
        </is>
      </c>
      <c r="B330" t="inlineStr">
        <is>
          <t>avverkningsanmälan</t>
        </is>
      </c>
      <c r="C330" t="inlineStr">
        <is>
          <t>Föryngringsavverkning</t>
        </is>
      </c>
      <c r="D330" s="1" t="n">
        <v>45946</v>
      </c>
      <c r="E330" s="1" t="n">
        <v>46216</v>
      </c>
      <c r="F330" t="inlineStr">
        <is>
          <t>UPPSALA LÄN</t>
        </is>
      </c>
      <c r="G330" t="inlineStr">
        <is>
          <t>TIERP</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3438-2026</t>
        </is>
      </c>
      <c r="B331" t="inlineStr">
        <is>
          <t>avverkningsanmälan</t>
        </is>
      </c>
      <c r="C331" t="inlineStr">
        <is>
          <t>Föryngringsavverkning</t>
        </is>
      </c>
      <c r="D331" s="1" t="n">
        <v>46042</v>
      </c>
      <c r="E331" s="1" t="n">
        <v>46216</v>
      </c>
      <c r="F331" t="inlineStr">
        <is>
          <t>UPPSALA LÄN</t>
        </is>
      </c>
      <c r="G331" t="inlineStr">
        <is>
          <t>TIERP</t>
        </is>
      </c>
      <c r="I331" t="n">
        <v>4.5</v>
      </c>
      <c r="J331" t="n">
        <v>0</v>
      </c>
      <c r="K331" t="n">
        <v>0</v>
      </c>
      <c r="L331" t="n">
        <v>0</v>
      </c>
      <c r="M331" t="n">
        <v>0</v>
      </c>
      <c r="N331" t="n">
        <v>0</v>
      </c>
      <c r="O331" t="n">
        <v>0</v>
      </c>
      <c r="P331" t="n">
        <v>0</v>
      </c>
      <c r="Q331" t="n">
        <v>0</v>
      </c>
      <c r="R331" t="n">
        <v>0</v>
      </c>
      <c r="S331" t="n">
        <v>0</v>
      </c>
      <c r="T331" t="n">
        <v>0</v>
      </c>
      <c r="U331" s="2" t="inlineStr"/>
    </row>
    <row r="332" ht="15" customHeight="1">
      <c r="A332" t="inlineStr">
        <is>
          <t>A 3865-2026</t>
        </is>
      </c>
      <c r="B332" t="inlineStr">
        <is>
          <t>avverkningsanmälan</t>
        </is>
      </c>
      <c r="C332" t="inlineStr">
        <is>
          <t>Föryngringsavverkning</t>
        </is>
      </c>
      <c r="D332" s="1" t="n">
        <v>46043</v>
      </c>
      <c r="E332" s="1" t="n">
        <v>46216</v>
      </c>
      <c r="F332" t="inlineStr">
        <is>
          <t>UPPSALA LÄN</t>
        </is>
      </c>
      <c r="G332" t="inlineStr">
        <is>
          <t>TIERP</t>
        </is>
      </c>
      <c r="H332" t="inlineStr">
        <is>
          <t>Bergvik skog väst AB</t>
        </is>
      </c>
      <c r="I332" t="n">
        <v>4.2</v>
      </c>
      <c r="J332" t="n">
        <v>0</v>
      </c>
      <c r="K332" t="n">
        <v>0</v>
      </c>
      <c r="L332" t="n">
        <v>0</v>
      </c>
      <c r="M332" t="n">
        <v>0</v>
      </c>
      <c r="N332" t="n">
        <v>0</v>
      </c>
      <c r="O332" t="n">
        <v>0</v>
      </c>
      <c r="P332" t="n">
        <v>0</v>
      </c>
      <c r="Q332" t="n">
        <v>0</v>
      </c>
      <c r="R332" t="n">
        <v>0</v>
      </c>
      <c r="S332" t="n">
        <v>0</v>
      </c>
      <c r="T332" t="n">
        <v>0</v>
      </c>
      <c r="U332" s="2" t="inlineStr"/>
    </row>
    <row r="333" ht="15" customHeight="1">
      <c r="A333" t="inlineStr">
        <is>
          <t>A 46512-2024</t>
        </is>
      </c>
      <c r="B333" t="inlineStr">
        <is>
          <t>avverkningsanmälan</t>
        </is>
      </c>
      <c r="C333" t="inlineStr">
        <is>
          <t>Föryngringsavverkning</t>
        </is>
      </c>
      <c r="D333" s="1" t="n">
        <v>45582</v>
      </c>
      <c r="E333" s="1" t="n">
        <v>46216</v>
      </c>
      <c r="F333" t="inlineStr">
        <is>
          <t>UPPSALA LÄN</t>
        </is>
      </c>
      <c r="G333" t="inlineStr">
        <is>
          <t>TIERP</t>
        </is>
      </c>
      <c r="I333" t="n">
        <v>6.3</v>
      </c>
      <c r="J333" t="n">
        <v>0</v>
      </c>
      <c r="K333" t="n">
        <v>0</v>
      </c>
      <c r="L333" t="n">
        <v>0</v>
      </c>
      <c r="M333" t="n">
        <v>0</v>
      </c>
      <c r="N333" t="n">
        <v>0</v>
      </c>
      <c r="O333" t="n">
        <v>0</v>
      </c>
      <c r="P333" t="n">
        <v>0</v>
      </c>
      <c r="Q333" t="n">
        <v>0</v>
      </c>
      <c r="R333" t="n">
        <v>0</v>
      </c>
      <c r="S333" t="n">
        <v>0</v>
      </c>
      <c r="T333" t="n">
        <v>0</v>
      </c>
      <c r="U333" s="2" t="inlineStr"/>
    </row>
    <row r="334" ht="15" customHeight="1">
      <c r="A334" t="inlineStr">
        <is>
          <t>A 3443-2026</t>
        </is>
      </c>
      <c r="B334" t="inlineStr">
        <is>
          <t>avverkningsanmälan</t>
        </is>
      </c>
      <c r="C334" t="inlineStr">
        <is>
          <t>Föryngringsavverkning</t>
        </is>
      </c>
      <c r="D334" s="1" t="n">
        <v>46042</v>
      </c>
      <c r="E334" s="1" t="n">
        <v>46216</v>
      </c>
      <c r="F334" t="inlineStr">
        <is>
          <t>UPPSALA LÄN</t>
        </is>
      </c>
      <c r="G334" t="inlineStr">
        <is>
          <t>TIERP</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49946-2022</t>
        </is>
      </c>
      <c r="B335" t="inlineStr">
        <is>
          <t>avverkningsanmälan</t>
        </is>
      </c>
      <c r="C335" t="inlineStr">
        <is>
          <t>Föryngringsavverkning</t>
        </is>
      </c>
      <c r="D335" s="1" t="n">
        <v>44865</v>
      </c>
      <c r="E335" s="1" t="n">
        <v>46216</v>
      </c>
      <c r="F335" t="inlineStr">
        <is>
          <t>UPPSALA LÄN</t>
        </is>
      </c>
      <c r="G335" t="inlineStr">
        <is>
          <t>TIERP</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21017-2022</t>
        </is>
      </c>
      <c r="B336" t="inlineStr">
        <is>
          <t>avverkningsanmälan</t>
        </is>
      </c>
      <c r="C336" t="inlineStr">
        <is>
          <t>Föryngringsavverkning</t>
        </is>
      </c>
      <c r="D336" s="1" t="n">
        <v>44704</v>
      </c>
      <c r="E336" s="1" t="n">
        <v>46216</v>
      </c>
      <c r="F336" t="inlineStr">
        <is>
          <t>UPPSALA LÄN</t>
        </is>
      </c>
      <c r="G336" t="inlineStr">
        <is>
          <t>TIERP</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21034-2022</t>
        </is>
      </c>
      <c r="B337" t="inlineStr">
        <is>
          <t>avverkningsanmälan</t>
        </is>
      </c>
      <c r="C337" t="inlineStr">
        <is>
          <t>Föryngringsavverkning</t>
        </is>
      </c>
      <c r="D337" s="1" t="n">
        <v>44704</v>
      </c>
      <c r="E337" s="1" t="n">
        <v>46216</v>
      </c>
      <c r="F337" t="inlineStr">
        <is>
          <t>UPPSALA LÄN</t>
        </is>
      </c>
      <c r="G337" t="inlineStr">
        <is>
          <t>TIERP</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3433-2026</t>
        </is>
      </c>
      <c r="B338" t="inlineStr">
        <is>
          <t>avverkningsanmälan</t>
        </is>
      </c>
      <c r="C338" t="inlineStr">
        <is>
          <t>Föryngringsavverkning</t>
        </is>
      </c>
      <c r="D338" s="1" t="n">
        <v>46042</v>
      </c>
      <c r="E338" s="1" t="n">
        <v>46216</v>
      </c>
      <c r="F338" t="inlineStr">
        <is>
          <t>UPPSALA LÄN</t>
        </is>
      </c>
      <c r="G338" t="inlineStr">
        <is>
          <t>TIERP</t>
        </is>
      </c>
      <c r="I338" t="n">
        <v>6.4</v>
      </c>
      <c r="J338" t="n">
        <v>0</v>
      </c>
      <c r="K338" t="n">
        <v>0</v>
      </c>
      <c r="L338" t="n">
        <v>0</v>
      </c>
      <c r="M338" t="n">
        <v>0</v>
      </c>
      <c r="N338" t="n">
        <v>0</v>
      </c>
      <c r="O338" t="n">
        <v>0</v>
      </c>
      <c r="P338" t="n">
        <v>0</v>
      </c>
      <c r="Q338" t="n">
        <v>0</v>
      </c>
      <c r="R338" t="n">
        <v>0</v>
      </c>
      <c r="S338" t="n">
        <v>0</v>
      </c>
      <c r="T338" t="n">
        <v>0</v>
      </c>
      <c r="U338" s="2" t="inlineStr"/>
    </row>
    <row r="339" ht="15" customHeight="1">
      <c r="A339" t="inlineStr">
        <is>
          <t>A 13509-2025</t>
        </is>
      </c>
      <c r="B339" t="inlineStr">
        <is>
          <t>avverkningsanmälan</t>
        </is>
      </c>
      <c r="C339" t="inlineStr">
        <is>
          <t>Avverkning för annat ändamål</t>
        </is>
      </c>
      <c r="D339" s="1" t="n">
        <v>45736</v>
      </c>
      <c r="E339" s="1" t="n">
        <v>46216</v>
      </c>
      <c r="F339" t="inlineStr">
        <is>
          <t>UPPSALA LÄN</t>
        </is>
      </c>
      <c r="G339" t="inlineStr">
        <is>
          <t>TIERP</t>
        </is>
      </c>
      <c r="H339" t="inlineStr">
        <is>
          <t>Bergvik skog väst AB</t>
        </is>
      </c>
      <c r="I339" t="n">
        <v>0.3</v>
      </c>
      <c r="J339" t="n">
        <v>0</v>
      </c>
      <c r="K339" t="n">
        <v>0</v>
      </c>
      <c r="L339" t="n">
        <v>0</v>
      </c>
      <c r="M339" t="n">
        <v>0</v>
      </c>
      <c r="N339" t="n">
        <v>0</v>
      </c>
      <c r="O339" t="n">
        <v>0</v>
      </c>
      <c r="P339" t="n">
        <v>0</v>
      </c>
      <c r="Q339" t="n">
        <v>0</v>
      </c>
      <c r="R339" t="n">
        <v>0</v>
      </c>
      <c r="S339" t="n">
        <v>0</v>
      </c>
      <c r="T339" t="n">
        <v>0</v>
      </c>
      <c r="U339" s="2" t="inlineStr"/>
    </row>
    <row r="340" ht="15" customHeight="1">
      <c r="A340" t="inlineStr">
        <is>
          <t>A 34198-2023</t>
        </is>
      </c>
      <c r="B340" t="inlineStr">
        <is>
          <t>avverkningsanmälan</t>
        </is>
      </c>
      <c r="C340" t="inlineStr">
        <is>
          <t>Föryngringsavverkning</t>
        </is>
      </c>
      <c r="D340" s="1" t="n">
        <v>45138</v>
      </c>
      <c r="E340" s="1" t="n">
        <v>46216</v>
      </c>
      <c r="F340" t="inlineStr">
        <is>
          <t>UPPSALA LÄN</t>
        </is>
      </c>
      <c r="G340" t="inlineStr">
        <is>
          <t>TIERP</t>
        </is>
      </c>
      <c r="H340" t="inlineStr">
        <is>
          <t>Bergvik skog öst AB</t>
        </is>
      </c>
      <c r="I340" t="n">
        <v>11.5</v>
      </c>
      <c r="J340" t="n">
        <v>0</v>
      </c>
      <c r="K340" t="n">
        <v>0</v>
      </c>
      <c r="L340" t="n">
        <v>0</v>
      </c>
      <c r="M340" t="n">
        <v>0</v>
      </c>
      <c r="N340" t="n">
        <v>0</v>
      </c>
      <c r="O340" t="n">
        <v>0</v>
      </c>
      <c r="P340" t="n">
        <v>0</v>
      </c>
      <c r="Q340" t="n">
        <v>0</v>
      </c>
      <c r="R340" t="n">
        <v>0</v>
      </c>
      <c r="S340" t="n">
        <v>0</v>
      </c>
      <c r="T340" t="n">
        <v>0</v>
      </c>
      <c r="U340" s="2" t="inlineStr"/>
    </row>
    <row r="341" ht="15" customHeight="1">
      <c r="A341" t="inlineStr">
        <is>
          <t>A 32665-2023</t>
        </is>
      </c>
      <c r="B341" t="inlineStr">
        <is>
          <t>avverkningsanmälan</t>
        </is>
      </c>
      <c r="C341" t="inlineStr">
        <is>
          <t>Föryngringsavverkning</t>
        </is>
      </c>
      <c r="D341" s="1" t="n">
        <v>45121</v>
      </c>
      <c r="E341" s="1" t="n">
        <v>46216</v>
      </c>
      <c r="F341" t="inlineStr">
        <is>
          <t>UPPSALA LÄN</t>
        </is>
      </c>
      <c r="G341" t="inlineStr">
        <is>
          <t>TIERP</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53164-2025</t>
        </is>
      </c>
      <c r="B342" t="inlineStr">
        <is>
          <t>avverkningsanmälan</t>
        </is>
      </c>
      <c r="C342" t="inlineStr">
        <is>
          <t>Föryngringsavverkning</t>
        </is>
      </c>
      <c r="D342" s="1" t="n">
        <v>45957</v>
      </c>
      <c r="E342" s="1" t="n">
        <v>46216</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19523-2025</t>
        </is>
      </c>
      <c r="B343" t="inlineStr">
        <is>
          <t>avverkningsanmälan</t>
        </is>
      </c>
      <c r="C343" t="inlineStr">
        <is>
          <t>Föryngringsavverkning</t>
        </is>
      </c>
      <c r="D343" s="1" t="n">
        <v>45770</v>
      </c>
      <c r="E343" s="1" t="n">
        <v>46216</v>
      </c>
      <c r="F343" t="inlineStr">
        <is>
          <t>UPPSALA LÄN</t>
        </is>
      </c>
      <c r="G343" t="inlineStr">
        <is>
          <t>TIERP</t>
        </is>
      </c>
      <c r="H343" t="inlineStr">
        <is>
          <t>Bergvik skog öst AB</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52863-2025</t>
        </is>
      </c>
      <c r="B344" t="inlineStr">
        <is>
          <t>avverkningsanmälan</t>
        </is>
      </c>
      <c r="C344" t="inlineStr">
        <is>
          <t>Föryngringsavverkning</t>
        </is>
      </c>
      <c r="D344" s="1" t="n">
        <v>45957</v>
      </c>
      <c r="E344" s="1" t="n">
        <v>46216</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52873-2025</t>
        </is>
      </c>
      <c r="B345" t="inlineStr">
        <is>
          <t>avverkningsanmälan</t>
        </is>
      </c>
      <c r="C345" t="inlineStr">
        <is>
          <t>Föryngringsavverkning</t>
        </is>
      </c>
      <c r="D345" s="1" t="n">
        <v>45957</v>
      </c>
      <c r="E345" s="1" t="n">
        <v>46216</v>
      </c>
      <c r="F345" t="inlineStr">
        <is>
          <t>UPPSALA LÄN</t>
        </is>
      </c>
      <c r="G345" t="inlineStr">
        <is>
          <t>TIERP</t>
        </is>
      </c>
      <c r="I345" t="n">
        <v>6.6</v>
      </c>
      <c r="J345" t="n">
        <v>0</v>
      </c>
      <c r="K345" t="n">
        <v>0</v>
      </c>
      <c r="L345" t="n">
        <v>0</v>
      </c>
      <c r="M345" t="n">
        <v>0</v>
      </c>
      <c r="N345" t="n">
        <v>0</v>
      </c>
      <c r="O345" t="n">
        <v>0</v>
      </c>
      <c r="P345" t="n">
        <v>0</v>
      </c>
      <c r="Q345" t="n">
        <v>0</v>
      </c>
      <c r="R345" t="n">
        <v>0</v>
      </c>
      <c r="S345" t="n">
        <v>0</v>
      </c>
      <c r="T345" t="n">
        <v>0</v>
      </c>
      <c r="U345" s="2" t="inlineStr"/>
    </row>
    <row r="346" ht="15" customHeight="1">
      <c r="A346" t="inlineStr">
        <is>
          <t>A 55423-2022</t>
        </is>
      </c>
      <c r="B346" t="inlineStr">
        <is>
          <t>avverkningsanmälan</t>
        </is>
      </c>
      <c r="C346" t="inlineStr">
        <is>
          <t>Föryngringsavverkning</t>
        </is>
      </c>
      <c r="D346" s="1" t="n">
        <v>44887</v>
      </c>
      <c r="E346" s="1" t="n">
        <v>46216</v>
      </c>
      <c r="F346" t="inlineStr">
        <is>
          <t>UPPSALA LÄN</t>
        </is>
      </c>
      <c r="G346" t="inlineStr">
        <is>
          <t>TIERP</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53199-2025</t>
        </is>
      </c>
      <c r="B347" t="inlineStr">
        <is>
          <t>avverkningsanmälan</t>
        </is>
      </c>
      <c r="C347" t="inlineStr">
        <is>
          <t>Föryngringsavverkning</t>
        </is>
      </c>
      <c r="D347" s="1" t="n">
        <v>45957</v>
      </c>
      <c r="E347" s="1" t="n">
        <v>46216</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52502-2025</t>
        </is>
      </c>
      <c r="B348" t="inlineStr">
        <is>
          <t>avverkningsanmälan</t>
        </is>
      </c>
      <c r="C348" t="inlineStr">
        <is>
          <t>Föryngringsavverkning</t>
        </is>
      </c>
      <c r="D348" s="1" t="n">
        <v>45954</v>
      </c>
      <c r="E348" s="1" t="n">
        <v>46216</v>
      </c>
      <c r="F348" t="inlineStr">
        <is>
          <t>UPPSALA LÄN</t>
        </is>
      </c>
      <c r="G348" t="inlineStr">
        <is>
          <t>TIERP</t>
        </is>
      </c>
      <c r="H348" t="inlineStr">
        <is>
          <t>Bergvik skog väst AB</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52790-2025</t>
        </is>
      </c>
      <c r="B349" t="inlineStr">
        <is>
          <t>avverkningsanmälan</t>
        </is>
      </c>
      <c r="C349" t="inlineStr">
        <is>
          <t>Föryngringsavverkning</t>
        </is>
      </c>
      <c r="D349" s="1" t="n">
        <v>45957</v>
      </c>
      <c r="E349" s="1" t="n">
        <v>46216</v>
      </c>
      <c r="F349" t="inlineStr">
        <is>
          <t>UPPSALA LÄN</t>
        </is>
      </c>
      <c r="G349" t="inlineStr">
        <is>
          <t>TIERP</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52490-2025</t>
        </is>
      </c>
      <c r="B350" t="inlineStr">
        <is>
          <t>avverkningsanmälan</t>
        </is>
      </c>
      <c r="C350" t="inlineStr">
        <is>
          <t>Föryngringsavverkning</t>
        </is>
      </c>
      <c r="D350" s="1" t="n">
        <v>45954</v>
      </c>
      <c r="E350" s="1" t="n">
        <v>46216</v>
      </c>
      <c r="F350" t="inlineStr">
        <is>
          <t>UPPSALA LÄN</t>
        </is>
      </c>
      <c r="G350" t="inlineStr">
        <is>
          <t>TIERP</t>
        </is>
      </c>
      <c r="H350" t="inlineStr">
        <is>
          <t>Bergvik skog väst AB</t>
        </is>
      </c>
      <c r="I350" t="n">
        <v>7</v>
      </c>
      <c r="J350" t="n">
        <v>0</v>
      </c>
      <c r="K350" t="n">
        <v>0</v>
      </c>
      <c r="L350" t="n">
        <v>0</v>
      </c>
      <c r="M350" t="n">
        <v>0</v>
      </c>
      <c r="N350" t="n">
        <v>0</v>
      </c>
      <c r="O350" t="n">
        <v>0</v>
      </c>
      <c r="P350" t="n">
        <v>0</v>
      </c>
      <c r="Q350" t="n">
        <v>0</v>
      </c>
      <c r="R350" t="n">
        <v>0</v>
      </c>
      <c r="S350" t="n">
        <v>0</v>
      </c>
      <c r="T350" t="n">
        <v>0</v>
      </c>
      <c r="U350" s="2" t="inlineStr"/>
    </row>
    <row r="351" ht="15" customHeight="1">
      <c r="A351" t="inlineStr">
        <is>
          <t>A 53036-2025</t>
        </is>
      </c>
      <c r="B351" t="inlineStr">
        <is>
          <t>avverkningsanmälan</t>
        </is>
      </c>
      <c r="C351" t="inlineStr">
        <is>
          <t>Föryngringsavverkning</t>
        </is>
      </c>
      <c r="D351" s="1" t="n">
        <v>45958</v>
      </c>
      <c r="E351" s="1" t="n">
        <v>46216</v>
      </c>
      <c r="F351" t="inlineStr">
        <is>
          <t>UPPSALA LÄN</t>
        </is>
      </c>
      <c r="G351" t="inlineStr">
        <is>
          <t>TIERP</t>
        </is>
      </c>
      <c r="I351" t="n">
        <v>12.3</v>
      </c>
      <c r="J351" t="n">
        <v>0</v>
      </c>
      <c r="K351" t="n">
        <v>0</v>
      </c>
      <c r="L351" t="n">
        <v>0</v>
      </c>
      <c r="M351" t="n">
        <v>0</v>
      </c>
      <c r="N351" t="n">
        <v>0</v>
      </c>
      <c r="O351" t="n">
        <v>0</v>
      </c>
      <c r="P351" t="n">
        <v>0</v>
      </c>
      <c r="Q351" t="n">
        <v>0</v>
      </c>
      <c r="R351" t="n">
        <v>0</v>
      </c>
      <c r="S351" t="n">
        <v>0</v>
      </c>
      <c r="T351" t="n">
        <v>0</v>
      </c>
      <c r="U351" s="2" t="inlineStr"/>
    </row>
    <row r="352" ht="15" customHeight="1">
      <c r="A352" t="inlineStr">
        <is>
          <t>A 63649-2023</t>
        </is>
      </c>
      <c r="B352" t="inlineStr">
        <is>
          <t>avverkningsanmälan</t>
        </is>
      </c>
      <c r="C352" t="inlineStr">
        <is>
          <t>Föryngringsavverkning</t>
        </is>
      </c>
      <c r="D352" s="1" t="n">
        <v>45275</v>
      </c>
      <c r="E352" s="1" t="n">
        <v>46216</v>
      </c>
      <c r="F352" t="inlineStr">
        <is>
          <t>UPPSALA LÄN</t>
        </is>
      </c>
      <c r="G352" t="inlineStr">
        <is>
          <t>TIERP</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53483-2025</t>
        </is>
      </c>
      <c r="B353" t="inlineStr">
        <is>
          <t>avverkningsanmälan</t>
        </is>
      </c>
      <c r="C353" t="inlineStr">
        <is>
          <t>Föryngringsavverkning</t>
        </is>
      </c>
      <c r="D353" s="1" t="n">
        <v>45959</v>
      </c>
      <c r="E353" s="1" t="n">
        <v>46216</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s="2" t="inlineStr"/>
    </row>
    <row r="354" ht="15" customHeight="1">
      <c r="A354" t="inlineStr">
        <is>
          <t>A 4706-2026</t>
        </is>
      </c>
      <c r="B354" t="inlineStr">
        <is>
          <t>avverkningsanmälan</t>
        </is>
      </c>
      <c r="C354" t="inlineStr">
        <is>
          <t>Föryngringsavverkning</t>
        </is>
      </c>
      <c r="D354" s="1" t="n">
        <v>46048</v>
      </c>
      <c r="E354" s="1" t="n">
        <v>46216</v>
      </c>
      <c r="F354" t="inlineStr">
        <is>
          <t>UPPSALA LÄN</t>
        </is>
      </c>
      <c r="G354" t="inlineStr">
        <is>
          <t>TIERP</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13691-2024</t>
        </is>
      </c>
      <c r="B355" t="inlineStr">
        <is>
          <t>avverkningsanmälan</t>
        </is>
      </c>
      <c r="C355" t="inlineStr">
        <is>
          <t>Föryngringsavverkning</t>
        </is>
      </c>
      <c r="D355" s="1" t="n">
        <v>45390</v>
      </c>
      <c r="E355" s="1" t="n">
        <v>46216</v>
      </c>
      <c r="F355" t="inlineStr">
        <is>
          <t>UPPSALA LÄN</t>
        </is>
      </c>
      <c r="G355" t="inlineStr">
        <is>
          <t>TIERP</t>
        </is>
      </c>
      <c r="H355" t="inlineStr">
        <is>
          <t>Bergvik skog väst AB</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54458-2025</t>
        </is>
      </c>
      <c r="B356" t="inlineStr">
        <is>
          <t>avverkningsanmälan</t>
        </is>
      </c>
      <c r="C356" t="inlineStr">
        <is>
          <t>Föryngringsavverkning</t>
        </is>
      </c>
      <c r="D356" s="1" t="n">
        <v>45965</v>
      </c>
      <c r="E356" s="1" t="n">
        <v>46216</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54553-2025</t>
        </is>
      </c>
      <c r="B357" t="inlineStr">
        <is>
          <t>avverkningsanmälan</t>
        </is>
      </c>
      <c r="C357" t="inlineStr">
        <is>
          <t>Föryngringsavverkning</t>
        </is>
      </c>
      <c r="D357" s="1" t="n">
        <v>45965</v>
      </c>
      <c r="E357" s="1" t="n">
        <v>46216</v>
      </c>
      <c r="F357" t="inlineStr">
        <is>
          <t>UPPSALA LÄN</t>
        </is>
      </c>
      <c r="G357" t="inlineStr">
        <is>
          <t>TIERP</t>
        </is>
      </c>
      <c r="H357" t="inlineStr">
        <is>
          <t>Bergvik skog väst AB</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16253-2022</t>
        </is>
      </c>
      <c r="B358" t="inlineStr">
        <is>
          <t>avverkningsanmälan</t>
        </is>
      </c>
      <c r="C358" t="inlineStr">
        <is>
          <t>Föryngringsavverkning</t>
        </is>
      </c>
      <c r="D358" s="1" t="n">
        <v>44670</v>
      </c>
      <c r="E358" s="1" t="n">
        <v>46216</v>
      </c>
      <c r="F358" t="inlineStr">
        <is>
          <t>UPPSALA LÄN</t>
        </is>
      </c>
      <c r="G358" t="inlineStr">
        <is>
          <t>TIERP</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54482-2025</t>
        </is>
      </c>
      <c r="B359" t="inlineStr">
        <is>
          <t>avverkningsanmälan</t>
        </is>
      </c>
      <c r="C359" t="inlineStr">
        <is>
          <t>Föryngringsavverkning</t>
        </is>
      </c>
      <c r="D359" s="1" t="n">
        <v>45965</v>
      </c>
      <c r="E359" s="1" t="n">
        <v>46216</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4716-2026</t>
        </is>
      </c>
      <c r="B360" t="inlineStr">
        <is>
          <t>avverkningsanmälan</t>
        </is>
      </c>
      <c r="C360" t="inlineStr">
        <is>
          <t>Föryngringsavverkning</t>
        </is>
      </c>
      <c r="D360" s="1" t="n">
        <v>46048</v>
      </c>
      <c r="E360" s="1" t="n">
        <v>46216</v>
      </c>
      <c r="F360" t="inlineStr">
        <is>
          <t>UPPSALA LÄN</t>
        </is>
      </c>
      <c r="G360" t="inlineStr">
        <is>
          <t>TIERP</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5727-2026</t>
        </is>
      </c>
      <c r="B361" t="inlineStr">
        <is>
          <t>avverkningsanmälan</t>
        </is>
      </c>
      <c r="C361" t="inlineStr">
        <is>
          <t>Föryngringsavverkning</t>
        </is>
      </c>
      <c r="D361" s="1" t="n">
        <v>46051</v>
      </c>
      <c r="E361" s="1" t="n">
        <v>46216</v>
      </c>
      <c r="F361" t="inlineStr">
        <is>
          <t>UPPSALA LÄN</t>
        </is>
      </c>
      <c r="G361" t="inlineStr">
        <is>
          <t>TIERP</t>
        </is>
      </c>
      <c r="I361" t="n">
        <v>5.1</v>
      </c>
      <c r="J361" t="n">
        <v>0</v>
      </c>
      <c r="K361" t="n">
        <v>0</v>
      </c>
      <c r="L361" t="n">
        <v>0</v>
      </c>
      <c r="M361" t="n">
        <v>0</v>
      </c>
      <c r="N361" t="n">
        <v>0</v>
      </c>
      <c r="O361" t="n">
        <v>0</v>
      </c>
      <c r="P361" t="n">
        <v>0</v>
      </c>
      <c r="Q361" t="n">
        <v>0</v>
      </c>
      <c r="R361" t="n">
        <v>0</v>
      </c>
      <c r="S361" t="n">
        <v>0</v>
      </c>
      <c r="T361" t="n">
        <v>0</v>
      </c>
      <c r="U361" s="2" t="inlineStr"/>
    </row>
    <row r="362" ht="15" customHeight="1">
      <c r="A362" t="inlineStr">
        <is>
          <t>A 5735-2026</t>
        </is>
      </c>
      <c r="B362" t="inlineStr">
        <is>
          <t>avverkningsanmälan</t>
        </is>
      </c>
      <c r="C362" t="inlineStr">
        <is>
          <t>Föryngringsavverkning</t>
        </is>
      </c>
      <c r="D362" s="1" t="n">
        <v>46051</v>
      </c>
      <c r="E362" s="1" t="n">
        <v>46216</v>
      </c>
      <c r="F362" t="inlineStr">
        <is>
          <t>UPPSALA LÄN</t>
        </is>
      </c>
      <c r="G362" t="inlineStr">
        <is>
          <t>TIERP</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5741-2026</t>
        </is>
      </c>
      <c r="B363" t="inlineStr">
        <is>
          <t>avverkningsanmälan</t>
        </is>
      </c>
      <c r="C363" t="inlineStr">
        <is>
          <t>Föryngringsavverkning</t>
        </is>
      </c>
      <c r="D363" s="1" t="n">
        <v>46051</v>
      </c>
      <c r="E363" s="1" t="n">
        <v>46216</v>
      </c>
      <c r="F363" t="inlineStr">
        <is>
          <t>UPPSALA LÄN</t>
        </is>
      </c>
      <c r="G363" t="inlineStr">
        <is>
          <t>TIERP</t>
        </is>
      </c>
      <c r="I363" t="n">
        <v>5.8</v>
      </c>
      <c r="J363" t="n">
        <v>0</v>
      </c>
      <c r="K363" t="n">
        <v>0</v>
      </c>
      <c r="L363" t="n">
        <v>0</v>
      </c>
      <c r="M363" t="n">
        <v>0</v>
      </c>
      <c r="N363" t="n">
        <v>0</v>
      </c>
      <c r="O363" t="n">
        <v>0</v>
      </c>
      <c r="P363" t="n">
        <v>0</v>
      </c>
      <c r="Q363" t="n">
        <v>0</v>
      </c>
      <c r="R363" t="n">
        <v>0</v>
      </c>
      <c r="S363" t="n">
        <v>0</v>
      </c>
      <c r="T363" t="n">
        <v>0</v>
      </c>
      <c r="U363" s="2" t="inlineStr"/>
    </row>
    <row r="364" ht="15" customHeight="1">
      <c r="A364" t="inlineStr">
        <is>
          <t>A 46681-2022</t>
        </is>
      </c>
      <c r="B364" t="inlineStr">
        <is>
          <t>avverkningsanmälan</t>
        </is>
      </c>
      <c r="C364" t="inlineStr">
        <is>
          <t>Föryngringsavverkning</t>
        </is>
      </c>
      <c r="D364" s="1" t="n">
        <v>44843</v>
      </c>
      <c r="E364" s="1" t="n">
        <v>46216</v>
      </c>
      <c r="F364" t="inlineStr">
        <is>
          <t>UPPSALA LÄN</t>
        </is>
      </c>
      <c r="G364" t="inlineStr">
        <is>
          <t>TIERP</t>
        </is>
      </c>
      <c r="I364" t="n">
        <v>5.9</v>
      </c>
      <c r="J364" t="n">
        <v>0</v>
      </c>
      <c r="K364" t="n">
        <v>0</v>
      </c>
      <c r="L364" t="n">
        <v>0</v>
      </c>
      <c r="M364" t="n">
        <v>0</v>
      </c>
      <c r="N364" t="n">
        <v>0</v>
      </c>
      <c r="O364" t="n">
        <v>0</v>
      </c>
      <c r="P364" t="n">
        <v>0</v>
      </c>
      <c r="Q364" t="n">
        <v>0</v>
      </c>
      <c r="R364" t="n">
        <v>0</v>
      </c>
      <c r="S364" t="n">
        <v>0</v>
      </c>
      <c r="T364" t="n">
        <v>0</v>
      </c>
      <c r="U364" s="2" t="inlineStr"/>
    </row>
    <row r="365" ht="15" customHeight="1">
      <c r="A365" t="inlineStr">
        <is>
          <t>A 5662-2026</t>
        </is>
      </c>
      <c r="B365" t="inlineStr">
        <is>
          <t>avverkningsanmälan</t>
        </is>
      </c>
      <c r="C365" t="inlineStr">
        <is>
          <t>Föryngringsavverkning</t>
        </is>
      </c>
      <c r="D365" s="1" t="n">
        <v>46051</v>
      </c>
      <c r="E365" s="1" t="n">
        <v>46216</v>
      </c>
      <c r="F365" t="inlineStr">
        <is>
          <t>UPPSALA LÄN</t>
        </is>
      </c>
      <c r="G365" t="inlineStr">
        <is>
          <t>TIERP</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5794-2026</t>
        </is>
      </c>
      <c r="B366" t="inlineStr">
        <is>
          <t>avverkningsanmälan</t>
        </is>
      </c>
      <c r="C366" t="inlineStr">
        <is>
          <t>Föryngringsavverkning</t>
        </is>
      </c>
      <c r="D366" s="1" t="n">
        <v>46051</v>
      </c>
      <c r="E366" s="1" t="n">
        <v>46216</v>
      </c>
      <c r="F366" t="inlineStr">
        <is>
          <t>UPPSALA LÄN</t>
        </is>
      </c>
      <c r="G366" t="inlineStr">
        <is>
          <t>TIERP</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54626-2025</t>
        </is>
      </c>
      <c r="B367" t="inlineStr">
        <is>
          <t>avverkningsanmälan</t>
        </is>
      </c>
      <c r="C367" t="inlineStr">
        <is>
          <t>Föryngringsavverkning</t>
        </is>
      </c>
      <c r="D367" s="1" t="n">
        <v>45966</v>
      </c>
      <c r="E367" s="1" t="n">
        <v>46216</v>
      </c>
      <c r="F367" t="inlineStr">
        <is>
          <t>UPPSALA LÄN</t>
        </is>
      </c>
      <c r="G367" t="inlineStr">
        <is>
          <t>TIERP</t>
        </is>
      </c>
      <c r="H367" t="inlineStr">
        <is>
          <t>Bergvik skog väst AB</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54634-2025</t>
        </is>
      </c>
      <c r="B368" t="inlineStr">
        <is>
          <t>avverkningsanmälan</t>
        </is>
      </c>
      <c r="C368" t="inlineStr">
        <is>
          <t>Föryngringsavverkning</t>
        </is>
      </c>
      <c r="D368" s="1" t="n">
        <v>45966</v>
      </c>
      <c r="E368" s="1" t="n">
        <v>46216</v>
      </c>
      <c r="F368" t="inlineStr">
        <is>
          <t>UPPSALA LÄN</t>
        </is>
      </c>
      <c r="G368" t="inlineStr">
        <is>
          <t>TIERP</t>
        </is>
      </c>
      <c r="H368" t="inlineStr">
        <is>
          <t>Bergvik skog väst AB</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5797-2026</t>
        </is>
      </c>
      <c r="B369" t="inlineStr">
        <is>
          <t>avverkningsanmälan</t>
        </is>
      </c>
      <c r="C369" t="inlineStr">
        <is>
          <t>Föryngringsavverkning</t>
        </is>
      </c>
      <c r="D369" s="1" t="n">
        <v>46051</v>
      </c>
      <c r="E369" s="1" t="n">
        <v>46216</v>
      </c>
      <c r="F369" t="inlineStr">
        <is>
          <t>UPPSALA LÄN</t>
        </is>
      </c>
      <c r="G369" t="inlineStr">
        <is>
          <t>TIERP</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58264-2024</t>
        </is>
      </c>
      <c r="B370" t="inlineStr">
        <is>
          <t>avverkningsanmälan</t>
        </is>
      </c>
      <c r="C370" t="inlineStr">
        <is>
          <t>Föryngringsavverkning</t>
        </is>
      </c>
      <c r="D370" s="1" t="n">
        <v>45632</v>
      </c>
      <c r="E370" s="1" t="n">
        <v>46216</v>
      </c>
      <c r="F370" t="inlineStr">
        <is>
          <t>UPPSALA LÄN</t>
        </is>
      </c>
      <c r="G370" t="inlineStr">
        <is>
          <t>TIERP</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6404-2026</t>
        </is>
      </c>
      <c r="B371" t="inlineStr">
        <is>
          <t>avverkningsanmälan</t>
        </is>
      </c>
      <c r="C371" t="inlineStr">
        <is>
          <t>Föryngringsavverkning</t>
        </is>
      </c>
      <c r="D371" s="1" t="n">
        <v>46055</v>
      </c>
      <c r="E371" s="1" t="n">
        <v>46216</v>
      </c>
      <c r="F371" t="inlineStr">
        <is>
          <t>UPPSALA LÄN</t>
        </is>
      </c>
      <c r="G371" t="inlineStr">
        <is>
          <t>TIERP</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6407-2026</t>
        </is>
      </c>
      <c r="B372" t="inlineStr">
        <is>
          <t>avverkningsanmälan</t>
        </is>
      </c>
      <c r="C372" t="inlineStr">
        <is>
          <t>Föryngringsavverkning</t>
        </is>
      </c>
      <c r="D372" s="1" t="n">
        <v>46055</v>
      </c>
      <c r="E372" s="1" t="n">
        <v>46216</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56051-2025</t>
        </is>
      </c>
      <c r="B373" t="inlineStr">
        <is>
          <t>avverkningsanmälan</t>
        </is>
      </c>
      <c r="C373" t="inlineStr">
        <is>
          <t>Föryngringsavverkning</t>
        </is>
      </c>
      <c r="D373" s="1" t="n">
        <v>45973</v>
      </c>
      <c r="E373" s="1" t="n">
        <v>46216</v>
      </c>
      <c r="F373" t="inlineStr">
        <is>
          <t>UPPSALA LÄN</t>
        </is>
      </c>
      <c r="G373" t="inlineStr">
        <is>
          <t>TIERP</t>
        </is>
      </c>
      <c r="H373" t="inlineStr">
        <is>
          <t>Bergvik skog väst AB</t>
        </is>
      </c>
      <c r="I373" t="n">
        <v>4.6</v>
      </c>
      <c r="J373" t="n">
        <v>0</v>
      </c>
      <c r="K373" t="n">
        <v>0</v>
      </c>
      <c r="L373" t="n">
        <v>0</v>
      </c>
      <c r="M373" t="n">
        <v>0</v>
      </c>
      <c r="N373" t="n">
        <v>0</v>
      </c>
      <c r="O373" t="n">
        <v>0</v>
      </c>
      <c r="P373" t="n">
        <v>0</v>
      </c>
      <c r="Q373" t="n">
        <v>0</v>
      </c>
      <c r="R373" t="n">
        <v>0</v>
      </c>
      <c r="S373" t="n">
        <v>0</v>
      </c>
      <c r="T373" t="n">
        <v>0</v>
      </c>
      <c r="U373" s="2" t="inlineStr"/>
    </row>
    <row r="374" ht="15" customHeight="1">
      <c r="A374" t="inlineStr">
        <is>
          <t>A 55719-2025</t>
        </is>
      </c>
      <c r="B374" t="inlineStr">
        <is>
          <t>avverkningsanmälan</t>
        </is>
      </c>
      <c r="C374" t="inlineStr">
        <is>
          <t>Föryngringsavverkning</t>
        </is>
      </c>
      <c r="D374" s="1" t="n">
        <v>45972</v>
      </c>
      <c r="E374" s="1" t="n">
        <v>46216</v>
      </c>
      <c r="F374" t="inlineStr">
        <is>
          <t>UPPSALA LÄN</t>
        </is>
      </c>
      <c r="G374" t="inlineStr">
        <is>
          <t>TIERP</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6709-2026</t>
        </is>
      </c>
      <c r="B375" t="inlineStr">
        <is>
          <t>avverkningsanmälan</t>
        </is>
      </c>
      <c r="C375" t="inlineStr">
        <is>
          <t>Föryngringsavverkning</t>
        </is>
      </c>
      <c r="D375" s="1" t="n">
        <v>46053</v>
      </c>
      <c r="E375" s="1" t="n">
        <v>46216</v>
      </c>
      <c r="F375" t="inlineStr">
        <is>
          <t>UPPSALA LÄN</t>
        </is>
      </c>
      <c r="G375" t="inlineStr">
        <is>
          <t>TIERP</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56044-2025</t>
        </is>
      </c>
      <c r="B376" t="inlineStr">
        <is>
          <t>avverkningsanmälan</t>
        </is>
      </c>
      <c r="C376" t="inlineStr">
        <is>
          <t>Föryngringsavverkning</t>
        </is>
      </c>
      <c r="D376" s="1" t="n">
        <v>45973</v>
      </c>
      <c r="E376" s="1" t="n">
        <v>46216</v>
      </c>
      <c r="F376" t="inlineStr">
        <is>
          <t>UPPSALA LÄN</t>
        </is>
      </c>
      <c r="G376" t="inlineStr">
        <is>
          <t>TIERP</t>
        </is>
      </c>
      <c r="H376" t="inlineStr">
        <is>
          <t>Bergvik skog väst AB</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55872-2025</t>
        </is>
      </c>
      <c r="B377" t="inlineStr">
        <is>
          <t>avverkningsanmälan</t>
        </is>
      </c>
      <c r="C377" t="inlineStr">
        <is>
          <t>Föryngringsavverkning</t>
        </is>
      </c>
      <c r="D377" s="1" t="n">
        <v>45973</v>
      </c>
      <c r="E377" s="1" t="n">
        <v>46216</v>
      </c>
      <c r="F377" t="inlineStr">
        <is>
          <t>UPPSALA LÄN</t>
        </is>
      </c>
      <c r="G377" t="inlineStr">
        <is>
          <t>TIERP</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18526-2025</t>
        </is>
      </c>
      <c r="B378" t="inlineStr">
        <is>
          <t>avverkningsanmälan</t>
        </is>
      </c>
      <c r="C378" t="inlineStr">
        <is>
          <t>Föryngringsavverkning</t>
        </is>
      </c>
      <c r="D378" s="1" t="n">
        <v>45763</v>
      </c>
      <c r="E378" s="1" t="n">
        <v>46216</v>
      </c>
      <c r="F378" t="inlineStr">
        <is>
          <t>UPPSALA LÄN</t>
        </is>
      </c>
      <c r="G378" t="inlineStr">
        <is>
          <t>TIERP</t>
        </is>
      </c>
      <c r="I378" t="n">
        <v>4.2</v>
      </c>
      <c r="J378" t="n">
        <v>0</v>
      </c>
      <c r="K378" t="n">
        <v>0</v>
      </c>
      <c r="L378" t="n">
        <v>0</v>
      </c>
      <c r="M378" t="n">
        <v>0</v>
      </c>
      <c r="N378" t="n">
        <v>0</v>
      </c>
      <c r="O378" t="n">
        <v>0</v>
      </c>
      <c r="P378" t="n">
        <v>0</v>
      </c>
      <c r="Q378" t="n">
        <v>0</v>
      </c>
      <c r="R378" t="n">
        <v>0</v>
      </c>
      <c r="S378" t="n">
        <v>0</v>
      </c>
      <c r="T378" t="n">
        <v>0</v>
      </c>
      <c r="U378" s="2" t="inlineStr"/>
    </row>
    <row r="379" ht="15" customHeight="1">
      <c r="A379" t="inlineStr">
        <is>
          <t>A 6696-2026</t>
        </is>
      </c>
      <c r="B379" t="inlineStr">
        <is>
          <t>avverkningsanmälan</t>
        </is>
      </c>
      <c r="C379" t="inlineStr">
        <is>
          <t>Föryngringsavverkning</t>
        </is>
      </c>
      <c r="D379" s="1" t="n">
        <v>46053</v>
      </c>
      <c r="E379" s="1" t="n">
        <v>46216</v>
      </c>
      <c r="F379" t="inlineStr">
        <is>
          <t>UPPSALA LÄN</t>
        </is>
      </c>
      <c r="G379" t="inlineStr">
        <is>
          <t>TIERP</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6081-2026</t>
        </is>
      </c>
      <c r="B380" t="inlineStr">
        <is>
          <t>avverkningsanmälan</t>
        </is>
      </c>
      <c r="C380" t="inlineStr">
        <is>
          <t>Föryngringsavverkning</t>
        </is>
      </c>
      <c r="D380" s="1" t="n">
        <v>46052</v>
      </c>
      <c r="E380" s="1" t="n">
        <v>46216</v>
      </c>
      <c r="F380" t="inlineStr">
        <is>
          <t>UPPSALA LÄN</t>
        </is>
      </c>
      <c r="G380" t="inlineStr">
        <is>
          <t>TIERP</t>
        </is>
      </c>
      <c r="I380" t="n">
        <v>8</v>
      </c>
      <c r="J380" t="n">
        <v>0</v>
      </c>
      <c r="K380" t="n">
        <v>0</v>
      </c>
      <c r="L380" t="n">
        <v>0</v>
      </c>
      <c r="M380" t="n">
        <v>0</v>
      </c>
      <c r="N380" t="n">
        <v>0</v>
      </c>
      <c r="O380" t="n">
        <v>0</v>
      </c>
      <c r="P380" t="n">
        <v>0</v>
      </c>
      <c r="Q380" t="n">
        <v>0</v>
      </c>
      <c r="R380" t="n">
        <v>0</v>
      </c>
      <c r="S380" t="n">
        <v>0</v>
      </c>
      <c r="T380" t="n">
        <v>0</v>
      </c>
      <c r="U380" s="2" t="inlineStr"/>
    </row>
    <row r="381" ht="15" customHeight="1">
      <c r="A381" t="inlineStr">
        <is>
          <t>A 56059-2025</t>
        </is>
      </c>
      <c r="B381" t="inlineStr">
        <is>
          <t>avverkningsanmälan</t>
        </is>
      </c>
      <c r="C381" t="inlineStr">
        <is>
          <t>Föryngringsavverkning</t>
        </is>
      </c>
      <c r="D381" s="1" t="n">
        <v>45973</v>
      </c>
      <c r="E381" s="1" t="n">
        <v>46216</v>
      </c>
      <c r="F381" t="inlineStr">
        <is>
          <t>UPPSALA LÄN</t>
        </is>
      </c>
      <c r="G381" t="inlineStr">
        <is>
          <t>TIERP</t>
        </is>
      </c>
      <c r="H381" t="inlineStr">
        <is>
          <t>Bergvik skog väst AB</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56067-2025</t>
        </is>
      </c>
      <c r="B382" t="inlineStr">
        <is>
          <t>avverkningsanmälan</t>
        </is>
      </c>
      <c r="C382" t="inlineStr">
        <is>
          <t>Föryngringsavverkning</t>
        </is>
      </c>
      <c r="D382" s="1" t="n">
        <v>45973</v>
      </c>
      <c r="E382" s="1" t="n">
        <v>46216</v>
      </c>
      <c r="F382" t="inlineStr">
        <is>
          <t>UPPSALA LÄN</t>
        </is>
      </c>
      <c r="G382" t="inlineStr">
        <is>
          <t>TIERP</t>
        </is>
      </c>
      <c r="H382" t="inlineStr">
        <is>
          <t>Bergvik skog väst AB</t>
        </is>
      </c>
      <c r="I382" t="n">
        <v>8.6</v>
      </c>
      <c r="J382" t="n">
        <v>0</v>
      </c>
      <c r="K382" t="n">
        <v>0</v>
      </c>
      <c r="L382" t="n">
        <v>0</v>
      </c>
      <c r="M382" t="n">
        <v>0</v>
      </c>
      <c r="N382" t="n">
        <v>0</v>
      </c>
      <c r="O382" t="n">
        <v>0</v>
      </c>
      <c r="P382" t="n">
        <v>0</v>
      </c>
      <c r="Q382" t="n">
        <v>0</v>
      </c>
      <c r="R382" t="n">
        <v>0</v>
      </c>
      <c r="S382" t="n">
        <v>0</v>
      </c>
      <c r="T382" t="n">
        <v>0</v>
      </c>
      <c r="U382" s="2" t="inlineStr"/>
    </row>
    <row r="383" ht="15" customHeight="1">
      <c r="A383" t="inlineStr">
        <is>
          <t>A 6036-2026</t>
        </is>
      </c>
      <c r="B383" t="inlineStr">
        <is>
          <t>avverkningsanmälan</t>
        </is>
      </c>
      <c r="C383" t="inlineStr">
        <is>
          <t>Föryngringsavverkning</t>
        </is>
      </c>
      <c r="D383" s="1" t="n">
        <v>46052</v>
      </c>
      <c r="E383" s="1" t="n">
        <v>46216</v>
      </c>
      <c r="F383" t="inlineStr">
        <is>
          <t>UPPSALA LÄN</t>
        </is>
      </c>
      <c r="G383" t="inlineStr">
        <is>
          <t>TIERP</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6707-2026</t>
        </is>
      </c>
      <c r="B384" t="inlineStr">
        <is>
          <t>avverkningsanmälan</t>
        </is>
      </c>
      <c r="C384" t="inlineStr">
        <is>
          <t>Föryngringsavverkning</t>
        </is>
      </c>
      <c r="D384" s="1" t="n">
        <v>46053</v>
      </c>
      <c r="E384" s="1" t="n">
        <v>46216</v>
      </c>
      <c r="F384" t="inlineStr">
        <is>
          <t>UPPSALA LÄN</t>
        </is>
      </c>
      <c r="G384" t="inlineStr">
        <is>
          <t>TIERP</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6410-2026</t>
        </is>
      </c>
      <c r="B385" t="inlineStr">
        <is>
          <t>avverkningsanmälan</t>
        </is>
      </c>
      <c r="C385" t="inlineStr">
        <is>
          <t>Föryngringsavverkning</t>
        </is>
      </c>
      <c r="D385" s="1" t="n">
        <v>46055</v>
      </c>
      <c r="E385" s="1" t="n">
        <v>46216</v>
      </c>
      <c r="F385" t="inlineStr">
        <is>
          <t>UPPSALA LÄN</t>
        </is>
      </c>
      <c r="G385" t="inlineStr">
        <is>
          <t>TIERP</t>
        </is>
      </c>
      <c r="I385" t="n">
        <v>3.7</v>
      </c>
      <c r="J385" t="n">
        <v>0</v>
      </c>
      <c r="K385" t="n">
        <v>0</v>
      </c>
      <c r="L385" t="n">
        <v>0</v>
      </c>
      <c r="M385" t="n">
        <v>0</v>
      </c>
      <c r="N385" t="n">
        <v>0</v>
      </c>
      <c r="O385" t="n">
        <v>0</v>
      </c>
      <c r="P385" t="n">
        <v>0</v>
      </c>
      <c r="Q385" t="n">
        <v>0</v>
      </c>
      <c r="R385" t="n">
        <v>0</v>
      </c>
      <c r="S385" t="n">
        <v>0</v>
      </c>
      <c r="T385" t="n">
        <v>0</v>
      </c>
      <c r="U385" s="2" t="inlineStr"/>
    </row>
    <row r="386" ht="15" customHeight="1">
      <c r="A386" t="inlineStr">
        <is>
          <t>A 45146-2021</t>
        </is>
      </c>
      <c r="B386" t="inlineStr">
        <is>
          <t>avverkningsanmälan</t>
        </is>
      </c>
      <c r="C386" t="inlineStr">
        <is>
          <t>Föryngringsavverkning</t>
        </is>
      </c>
      <c r="D386" s="1" t="n">
        <v>44439</v>
      </c>
      <c r="E386" s="1" t="n">
        <v>46216</v>
      </c>
      <c r="F386" t="inlineStr">
        <is>
          <t>UPPSALA LÄN</t>
        </is>
      </c>
      <c r="G386" t="inlineStr">
        <is>
          <t>TIERP</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59267-2024</t>
        </is>
      </c>
      <c r="B387" t="inlineStr">
        <is>
          <t>avverkningsanmälan</t>
        </is>
      </c>
      <c r="C387" t="inlineStr">
        <is>
          <t>Föryngringsavverkning</t>
        </is>
      </c>
      <c r="D387" s="1" t="n">
        <v>45637</v>
      </c>
      <c r="E387" s="1" t="n">
        <v>46216</v>
      </c>
      <c r="F387" t="inlineStr">
        <is>
          <t>UPPSALA LÄN</t>
        </is>
      </c>
      <c r="G387" t="inlineStr">
        <is>
          <t>TIERP</t>
        </is>
      </c>
      <c r="I387" t="n">
        <v>4.1</v>
      </c>
      <c r="J387" t="n">
        <v>0</v>
      </c>
      <c r="K387" t="n">
        <v>0</v>
      </c>
      <c r="L387" t="n">
        <v>0</v>
      </c>
      <c r="M387" t="n">
        <v>0</v>
      </c>
      <c r="N387" t="n">
        <v>0</v>
      </c>
      <c r="O387" t="n">
        <v>0</v>
      </c>
      <c r="P387" t="n">
        <v>0</v>
      </c>
      <c r="Q387" t="n">
        <v>0</v>
      </c>
      <c r="R387" t="n">
        <v>0</v>
      </c>
      <c r="S387" t="n">
        <v>0</v>
      </c>
      <c r="T387" t="n">
        <v>0</v>
      </c>
      <c r="U387" s="2" t="inlineStr"/>
    </row>
    <row r="388" ht="15" customHeight="1">
      <c r="A388" t="inlineStr">
        <is>
          <t>A 57064-2025</t>
        </is>
      </c>
      <c r="B388" t="inlineStr">
        <is>
          <t>avverkningsanmälan</t>
        </is>
      </c>
      <c r="C388" t="inlineStr">
        <is>
          <t>Föryngringsavverkning</t>
        </is>
      </c>
      <c r="D388" s="1" t="n">
        <v>45979</v>
      </c>
      <c r="E388" s="1" t="n">
        <v>46216</v>
      </c>
      <c r="F388" t="inlineStr">
        <is>
          <t>UPPSALA LÄN</t>
        </is>
      </c>
      <c r="G388" t="inlineStr">
        <is>
          <t>TIERP</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61677-2023</t>
        </is>
      </c>
      <c r="B389" t="inlineStr">
        <is>
          <t>avverkningsanmälan</t>
        </is>
      </c>
      <c r="C389" t="inlineStr">
        <is>
          <t>Föryngringsavverkning</t>
        </is>
      </c>
      <c r="D389" s="1" t="n">
        <v>45265</v>
      </c>
      <c r="E389" s="1" t="n">
        <v>46216</v>
      </c>
      <c r="F389" t="inlineStr">
        <is>
          <t>UPPSALA LÄN</t>
        </is>
      </c>
      <c r="G389" t="inlineStr">
        <is>
          <t>TIERP</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57657-2025</t>
        </is>
      </c>
      <c r="B390" t="inlineStr">
        <is>
          <t>avverkningsanmälan</t>
        </is>
      </c>
      <c r="C390" t="inlineStr">
        <is>
          <t>Föryngringsavverkning</t>
        </is>
      </c>
      <c r="D390" s="1" t="n">
        <v>45981</v>
      </c>
      <c r="E390" s="1" t="n">
        <v>46216</v>
      </c>
      <c r="F390" t="inlineStr">
        <is>
          <t>UPPSALA LÄN</t>
        </is>
      </c>
      <c r="G390" t="inlineStr">
        <is>
          <t>TIERP</t>
        </is>
      </c>
      <c r="H390" t="inlineStr">
        <is>
          <t>Bergvik skog väst AB</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7591-2023</t>
        </is>
      </c>
      <c r="B391" t="inlineStr">
        <is>
          <t>avverkningsanmälan</t>
        </is>
      </c>
      <c r="C391" t="inlineStr">
        <is>
          <t>Föryngringsavverkning</t>
        </is>
      </c>
      <c r="D391" s="1" t="n">
        <v>44972</v>
      </c>
      <c r="E391" s="1" t="n">
        <v>46216</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18130-2022</t>
        </is>
      </c>
      <c r="B392" t="inlineStr">
        <is>
          <t>avverkningsanmälan</t>
        </is>
      </c>
      <c r="C392" t="inlineStr">
        <is>
          <t>Föryngringsavverkning</t>
        </is>
      </c>
      <c r="D392" s="1" t="n">
        <v>44684</v>
      </c>
      <c r="E392" s="1" t="n">
        <v>46216</v>
      </c>
      <c r="F392" t="inlineStr">
        <is>
          <t>UPPSALA LÄN</t>
        </is>
      </c>
      <c r="G392" t="inlineStr">
        <is>
          <t>TIERP</t>
        </is>
      </c>
      <c r="I392" t="n">
        <v>7.6</v>
      </c>
      <c r="J392" t="n">
        <v>0</v>
      </c>
      <c r="K392" t="n">
        <v>0</v>
      </c>
      <c r="L392" t="n">
        <v>0</v>
      </c>
      <c r="M392" t="n">
        <v>0</v>
      </c>
      <c r="N392" t="n">
        <v>0</v>
      </c>
      <c r="O392" t="n">
        <v>0</v>
      </c>
      <c r="P392" t="n">
        <v>0</v>
      </c>
      <c r="Q392" t="n">
        <v>0</v>
      </c>
      <c r="R392" t="n">
        <v>0</v>
      </c>
      <c r="S392" t="n">
        <v>0</v>
      </c>
      <c r="T392" t="n">
        <v>0</v>
      </c>
      <c r="U392" s="2" t="inlineStr"/>
    </row>
    <row r="393" ht="15" customHeight="1">
      <c r="A393" t="inlineStr">
        <is>
          <t>A 58134-2025</t>
        </is>
      </c>
      <c r="B393" t="inlineStr">
        <is>
          <t>avverkningsanmälan</t>
        </is>
      </c>
      <c r="C393" t="inlineStr">
        <is>
          <t>Föryngringsavverkning</t>
        </is>
      </c>
      <c r="D393" s="1" t="n">
        <v>45982</v>
      </c>
      <c r="E393" s="1" t="n">
        <v>46216</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30509-2024</t>
        </is>
      </c>
      <c r="B394" t="inlineStr">
        <is>
          <t>avverkningsanmälan</t>
        </is>
      </c>
      <c r="C394" t="inlineStr">
        <is>
          <t>Föryngringsavverkning</t>
        </is>
      </c>
      <c r="D394" s="1" t="n">
        <v>45492</v>
      </c>
      <c r="E394" s="1" t="n">
        <v>46216</v>
      </c>
      <c r="F394" t="inlineStr">
        <is>
          <t>UPPSALA LÄN</t>
        </is>
      </c>
      <c r="G394" t="inlineStr">
        <is>
          <t>TIERP</t>
        </is>
      </c>
      <c r="H394" t="inlineStr">
        <is>
          <t>Bergvik skog öst AB</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40624-2023</t>
        </is>
      </c>
      <c r="B395" t="inlineStr">
        <is>
          <t>avverkningsanmälan</t>
        </is>
      </c>
      <c r="C395" t="inlineStr">
        <is>
          <t>Avverkning för att bevara och utveckla /försöksver</t>
        </is>
      </c>
      <c r="D395" s="1" t="n">
        <v>45170</v>
      </c>
      <c r="E395" s="1" t="n">
        <v>46216</v>
      </c>
      <c r="F395" t="inlineStr">
        <is>
          <t>UPPSALA LÄN</t>
        </is>
      </c>
      <c r="G395" t="inlineStr">
        <is>
          <t>TIERP</t>
        </is>
      </c>
      <c r="H395" t="inlineStr">
        <is>
          <t>Bergvik skog väst AB</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57944-2025</t>
        </is>
      </c>
      <c r="B396" t="inlineStr">
        <is>
          <t>avverkningsanmälan</t>
        </is>
      </c>
      <c r="C396" t="inlineStr">
        <is>
          <t>Föryngringsavverkning</t>
        </is>
      </c>
      <c r="D396" s="1" t="n">
        <v>45982</v>
      </c>
      <c r="E396" s="1" t="n">
        <v>46216</v>
      </c>
      <c r="F396" t="inlineStr">
        <is>
          <t>UPPSALA LÄN</t>
        </is>
      </c>
      <c r="G396" t="inlineStr">
        <is>
          <t>TIERP</t>
        </is>
      </c>
      <c r="H396" t="inlineStr">
        <is>
          <t>Övriga Aktiebolag</t>
        </is>
      </c>
      <c r="I396" t="n">
        <v>6.2</v>
      </c>
      <c r="J396" t="n">
        <v>0</v>
      </c>
      <c r="K396" t="n">
        <v>0</v>
      </c>
      <c r="L396" t="n">
        <v>0</v>
      </c>
      <c r="M396" t="n">
        <v>0</v>
      </c>
      <c r="N396" t="n">
        <v>0</v>
      </c>
      <c r="O396" t="n">
        <v>0</v>
      </c>
      <c r="P396" t="n">
        <v>0</v>
      </c>
      <c r="Q396" t="n">
        <v>0</v>
      </c>
      <c r="R396" t="n">
        <v>0</v>
      </c>
      <c r="S396" t="n">
        <v>0</v>
      </c>
      <c r="T396" t="n">
        <v>0</v>
      </c>
      <c r="U396" s="2" t="inlineStr"/>
    </row>
    <row r="397" ht="15" customHeight="1">
      <c r="A397" t="inlineStr">
        <is>
          <t>A 58842-2025</t>
        </is>
      </c>
      <c r="B397" t="inlineStr">
        <is>
          <t>avverkningsanmälan</t>
        </is>
      </c>
      <c r="C397" t="inlineStr">
        <is>
          <t>Föryngringsavverkning</t>
        </is>
      </c>
      <c r="D397" s="1" t="n">
        <v>45987</v>
      </c>
      <c r="E397" s="1" t="n">
        <v>46216</v>
      </c>
      <c r="F397" t="inlineStr">
        <is>
          <t>UPPSALA LÄN</t>
        </is>
      </c>
      <c r="G397" t="inlineStr">
        <is>
          <t>TIERP</t>
        </is>
      </c>
      <c r="I397" t="n">
        <v>5.6</v>
      </c>
      <c r="J397" t="n">
        <v>0</v>
      </c>
      <c r="K397" t="n">
        <v>0</v>
      </c>
      <c r="L397" t="n">
        <v>0</v>
      </c>
      <c r="M397" t="n">
        <v>0</v>
      </c>
      <c r="N397" t="n">
        <v>0</v>
      </c>
      <c r="O397" t="n">
        <v>0</v>
      </c>
      <c r="P397" t="n">
        <v>0</v>
      </c>
      <c r="Q397" t="n">
        <v>0</v>
      </c>
      <c r="R397" t="n">
        <v>0</v>
      </c>
      <c r="S397" t="n">
        <v>0</v>
      </c>
      <c r="T397" t="n">
        <v>0</v>
      </c>
      <c r="U397" s="2" t="inlineStr"/>
    </row>
    <row r="398" ht="15" customHeight="1">
      <c r="A398" t="inlineStr">
        <is>
          <t>A 53090-2025</t>
        </is>
      </c>
      <c r="B398" t="inlineStr">
        <is>
          <t>avverkningsanmälan</t>
        </is>
      </c>
      <c r="C398" t="inlineStr">
        <is>
          <t>Föryngringsavverkning</t>
        </is>
      </c>
      <c r="D398" s="1" t="n">
        <v>45958</v>
      </c>
      <c r="E398" s="1" t="n">
        <v>46216</v>
      </c>
      <c r="F398" t="inlineStr">
        <is>
          <t>UPPSALA LÄN</t>
        </is>
      </c>
      <c r="G398" t="inlineStr">
        <is>
          <t>TIERP</t>
        </is>
      </c>
      <c r="H398" t="inlineStr">
        <is>
          <t>Bergvik skog öst AB</t>
        </is>
      </c>
      <c r="I398" t="n">
        <v>0.4</v>
      </c>
      <c r="J398" t="n">
        <v>0</v>
      </c>
      <c r="K398" t="n">
        <v>0</v>
      </c>
      <c r="L398" t="n">
        <v>0</v>
      </c>
      <c r="M398" t="n">
        <v>0</v>
      </c>
      <c r="N398" t="n">
        <v>0</v>
      </c>
      <c r="O398" t="n">
        <v>0</v>
      </c>
      <c r="P398" t="n">
        <v>0</v>
      </c>
      <c r="Q398" t="n">
        <v>0</v>
      </c>
      <c r="R398" t="n">
        <v>0</v>
      </c>
      <c r="S398" t="n">
        <v>0</v>
      </c>
      <c r="T398" t="n">
        <v>0</v>
      </c>
      <c r="U398" s="2" t="inlineStr"/>
    </row>
    <row r="399" ht="15" customHeight="1">
      <c r="A399" t="inlineStr">
        <is>
          <t>A 58661-2025</t>
        </is>
      </c>
      <c r="B399" t="inlineStr">
        <is>
          <t>avverkningsanmälan</t>
        </is>
      </c>
      <c r="C399" t="inlineStr">
        <is>
          <t>Föryngringsavverkning</t>
        </is>
      </c>
      <c r="D399" s="1" t="n">
        <v>45986</v>
      </c>
      <c r="E399" s="1" t="n">
        <v>46216</v>
      </c>
      <c r="F399" t="inlineStr">
        <is>
          <t>UPPSALA LÄN</t>
        </is>
      </c>
      <c r="G399" t="inlineStr">
        <is>
          <t>TIERP</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53784-2025</t>
        </is>
      </c>
      <c r="B400" t="inlineStr">
        <is>
          <t>avverkningsanmälan</t>
        </is>
      </c>
      <c r="C400" t="inlineStr">
        <is>
          <t>Föryngringsavverkning</t>
        </is>
      </c>
      <c r="D400" s="1" t="n">
        <v>45960</v>
      </c>
      <c r="E400" s="1" t="n">
        <v>46216</v>
      </c>
      <c r="F400" t="inlineStr">
        <is>
          <t>UPPSALA LÄN</t>
        </is>
      </c>
      <c r="G400" t="inlineStr">
        <is>
          <t>TIERP</t>
        </is>
      </c>
      <c r="H400" t="inlineStr">
        <is>
          <t>Bergvik skog öst AB</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53798-2025</t>
        </is>
      </c>
      <c r="B401" t="inlineStr">
        <is>
          <t>avverkningsanmälan</t>
        </is>
      </c>
      <c r="C401" t="inlineStr">
        <is>
          <t>Föryngringsavverkning</t>
        </is>
      </c>
      <c r="D401" s="1" t="n">
        <v>45960</v>
      </c>
      <c r="E401" s="1" t="n">
        <v>46216</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59388-2025</t>
        </is>
      </c>
      <c r="B402" t="inlineStr">
        <is>
          <t>avverkningsanmälan</t>
        </is>
      </c>
      <c r="C402" t="inlineStr">
        <is>
          <t>Föryngringsavverkning</t>
        </is>
      </c>
      <c r="D402" s="1" t="n">
        <v>45989</v>
      </c>
      <c r="E402" s="1" t="n">
        <v>46216</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6071-2023</t>
        </is>
      </c>
      <c r="B403" t="inlineStr">
        <is>
          <t>avverkningsanmälan</t>
        </is>
      </c>
      <c r="C403" t="inlineStr">
        <is>
          <t>Föryngringsavverkning</t>
        </is>
      </c>
      <c r="D403" s="1" t="n">
        <v>44964</v>
      </c>
      <c r="E403" s="1" t="n">
        <v>46216</v>
      </c>
      <c r="F403" t="inlineStr">
        <is>
          <t>UPPSALA LÄN</t>
        </is>
      </c>
      <c r="G403" t="inlineStr">
        <is>
          <t>TIERP</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59555-2025</t>
        </is>
      </c>
      <c r="B404" t="inlineStr">
        <is>
          <t>avverkningsanmälan</t>
        </is>
      </c>
      <c r="C404" t="inlineStr">
        <is>
          <t>Föryngringsavverkning</t>
        </is>
      </c>
      <c r="D404" s="1" t="n">
        <v>45991</v>
      </c>
      <c r="E404" s="1" t="n">
        <v>46216</v>
      </c>
      <c r="F404" t="inlineStr">
        <is>
          <t>UPPSALA LÄN</t>
        </is>
      </c>
      <c r="G404" t="inlineStr">
        <is>
          <t>TIERP</t>
        </is>
      </c>
      <c r="H404" t="inlineStr">
        <is>
          <t>Bergvik skog väst AB</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52869-2025</t>
        </is>
      </c>
      <c r="B405" t="inlineStr">
        <is>
          <t>avverkningsanmälan</t>
        </is>
      </c>
      <c r="C405" t="inlineStr">
        <is>
          <t>Avverkning för annat ändamål</t>
        </is>
      </c>
      <c r="D405" s="1" t="n">
        <v>45957</v>
      </c>
      <c r="E405" s="1" t="n">
        <v>46216</v>
      </c>
      <c r="F405" t="inlineStr">
        <is>
          <t>UPPSALA LÄN</t>
        </is>
      </c>
      <c r="G405" t="inlineStr">
        <is>
          <t>TIERP</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60142-2025</t>
        </is>
      </c>
      <c r="B406" t="inlineStr">
        <is>
          <t>avverkningsanmälan</t>
        </is>
      </c>
      <c r="C406" t="inlineStr">
        <is>
          <t>Föryngringsavverkning</t>
        </is>
      </c>
      <c r="D406" s="1" t="n">
        <v>45994</v>
      </c>
      <c r="E406" s="1" t="n">
        <v>46216</v>
      </c>
      <c r="F406" t="inlineStr">
        <is>
          <t>UPPSALA LÄN</t>
        </is>
      </c>
      <c r="G406" t="inlineStr">
        <is>
          <t>TIERP</t>
        </is>
      </c>
      <c r="H406" t="inlineStr">
        <is>
          <t>Bergvik skog öst AB</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60139-2025</t>
        </is>
      </c>
      <c r="B407" t="inlineStr">
        <is>
          <t>avverkningsanmälan</t>
        </is>
      </c>
      <c r="C407" t="inlineStr">
        <is>
          <t>Föryngringsavverkning</t>
        </is>
      </c>
      <c r="D407" s="1" t="n">
        <v>45994</v>
      </c>
      <c r="E407" s="1" t="n">
        <v>46216</v>
      </c>
      <c r="F407" t="inlineStr">
        <is>
          <t>UPPSALA LÄN</t>
        </is>
      </c>
      <c r="G407" t="inlineStr">
        <is>
          <t>TIERP</t>
        </is>
      </c>
      <c r="H407" t="inlineStr">
        <is>
          <t>Bergvik skog öst AB</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9664-2023</t>
        </is>
      </c>
      <c r="B408" t="inlineStr">
        <is>
          <t>avverkningsanmälan</t>
        </is>
      </c>
      <c r="C408" t="inlineStr">
        <is>
          <t>Föryngringsavverkning</t>
        </is>
      </c>
      <c r="D408" s="1" t="n">
        <v>44984</v>
      </c>
      <c r="E408" s="1" t="n">
        <v>46216</v>
      </c>
      <c r="F408" t="inlineStr">
        <is>
          <t>UPPSALA LÄN</t>
        </is>
      </c>
      <c r="G408" t="inlineStr">
        <is>
          <t>TIERP</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60211-2025</t>
        </is>
      </c>
      <c r="B409" t="inlineStr">
        <is>
          <t>avverkningsanmälan</t>
        </is>
      </c>
      <c r="C409" t="inlineStr">
        <is>
          <t>Föryngringsavverkning</t>
        </is>
      </c>
      <c r="D409" s="1" t="n">
        <v>45994</v>
      </c>
      <c r="E409" s="1" t="n">
        <v>46216</v>
      </c>
      <c r="F409" t="inlineStr">
        <is>
          <t>UPPSALA LÄN</t>
        </is>
      </c>
      <c r="G409" t="inlineStr">
        <is>
          <t>TIERP</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60795-2025</t>
        </is>
      </c>
      <c r="B410" t="inlineStr">
        <is>
          <t>avverkningsanmälan</t>
        </is>
      </c>
      <c r="C410" t="inlineStr">
        <is>
          <t>Föryngringsavverkning</t>
        </is>
      </c>
      <c r="D410" s="1" t="n">
        <v>45999</v>
      </c>
      <c r="E410" s="1" t="n">
        <v>46216</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20496-2023</t>
        </is>
      </c>
      <c r="B411" t="inlineStr">
        <is>
          <t>avverkningsanmälan</t>
        </is>
      </c>
      <c r="C411" t="inlineStr">
        <is>
          <t>Föryngringsavverkning</t>
        </is>
      </c>
      <c r="D411" s="1" t="n">
        <v>45057</v>
      </c>
      <c r="E411" s="1" t="n">
        <v>46216</v>
      </c>
      <c r="F411" t="inlineStr">
        <is>
          <t>UPPSALA LÄN</t>
        </is>
      </c>
      <c r="G411" t="inlineStr">
        <is>
          <t>TIERP</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58772-2024</t>
        </is>
      </c>
      <c r="B412" t="inlineStr">
        <is>
          <t>avverkningsanmälan</t>
        </is>
      </c>
      <c r="C412" t="inlineStr">
        <is>
          <t>Föryngringsavverkning</t>
        </is>
      </c>
      <c r="D412" s="1" t="n">
        <v>45635</v>
      </c>
      <c r="E412" s="1" t="n">
        <v>46216</v>
      </c>
      <c r="F412" t="inlineStr">
        <is>
          <t>UPPSALA LÄN</t>
        </is>
      </c>
      <c r="G412" t="inlineStr">
        <is>
          <t>TIERP</t>
        </is>
      </c>
      <c r="I412" t="n">
        <v>4.7</v>
      </c>
      <c r="J412" t="n">
        <v>0</v>
      </c>
      <c r="K412" t="n">
        <v>0</v>
      </c>
      <c r="L412" t="n">
        <v>0</v>
      </c>
      <c r="M412" t="n">
        <v>0</v>
      </c>
      <c r="N412" t="n">
        <v>0</v>
      </c>
      <c r="O412" t="n">
        <v>0</v>
      </c>
      <c r="P412" t="n">
        <v>0</v>
      </c>
      <c r="Q412" t="n">
        <v>0</v>
      </c>
      <c r="R412" t="n">
        <v>0</v>
      </c>
      <c r="S412" t="n">
        <v>0</v>
      </c>
      <c r="T412" t="n">
        <v>0</v>
      </c>
      <c r="U412" s="2" t="inlineStr"/>
    </row>
    <row r="413" ht="15" customHeight="1">
      <c r="A413" t="inlineStr">
        <is>
          <t>A 61252-2025</t>
        </is>
      </c>
      <c r="B413" t="inlineStr">
        <is>
          <t>avverkningsanmälan</t>
        </is>
      </c>
      <c r="C413" t="inlineStr">
        <is>
          <t>Föryngringsavverkning</t>
        </is>
      </c>
      <c r="D413" s="1" t="n">
        <v>46000</v>
      </c>
      <c r="E413" s="1" t="n">
        <v>46216</v>
      </c>
      <c r="F413" t="inlineStr">
        <is>
          <t>UPPSALA LÄN</t>
        </is>
      </c>
      <c r="G413" t="inlineStr">
        <is>
          <t>TIERP</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53991-2025</t>
        </is>
      </c>
      <c r="B414" t="inlineStr">
        <is>
          <t>avverkningsanmälan</t>
        </is>
      </c>
      <c r="C414" t="inlineStr">
        <is>
          <t>Föryngringsavverkning</t>
        </is>
      </c>
      <c r="D414" s="1" t="n">
        <v>45961</v>
      </c>
      <c r="E414" s="1" t="n">
        <v>46216</v>
      </c>
      <c r="F414" t="inlineStr">
        <is>
          <t>UPPSALA LÄN</t>
        </is>
      </c>
      <c r="G414" t="inlineStr">
        <is>
          <t>TIERP</t>
        </is>
      </c>
      <c r="H414" t="inlineStr">
        <is>
          <t>Bergvik skog öst AB</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10211-2026</t>
        </is>
      </c>
      <c r="B415" t="inlineStr">
        <is>
          <t>avverkningsanmälan</t>
        </is>
      </c>
      <c r="C415" t="inlineStr">
        <is>
          <t>Föryngringsavverkning</t>
        </is>
      </c>
      <c r="D415" s="1" t="n">
        <v>46076</v>
      </c>
      <c r="E415" s="1" t="n">
        <v>46216</v>
      </c>
      <c r="F415" t="inlineStr">
        <is>
          <t>UPPSALA LÄN</t>
        </is>
      </c>
      <c r="G415" t="inlineStr">
        <is>
          <t>TIERP</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54006-2025</t>
        </is>
      </c>
      <c r="B416" t="inlineStr">
        <is>
          <t>avverkningsanmälan</t>
        </is>
      </c>
      <c r="C416" t="inlineStr">
        <is>
          <t>Föryngringsavverkning</t>
        </is>
      </c>
      <c r="D416" s="1" t="n">
        <v>45961</v>
      </c>
      <c r="E416" s="1" t="n">
        <v>46216</v>
      </c>
      <c r="F416" t="inlineStr">
        <is>
          <t>UPPSALA LÄN</t>
        </is>
      </c>
      <c r="G416" t="inlineStr">
        <is>
          <t>TIERP</t>
        </is>
      </c>
      <c r="H416" t="inlineStr">
        <is>
          <t>Bergvik skog öst AB</t>
        </is>
      </c>
      <c r="I416" t="n">
        <v>3.5</v>
      </c>
      <c r="J416" t="n">
        <v>0</v>
      </c>
      <c r="K416" t="n">
        <v>0</v>
      </c>
      <c r="L416" t="n">
        <v>0</v>
      </c>
      <c r="M416" t="n">
        <v>0</v>
      </c>
      <c r="N416" t="n">
        <v>0</v>
      </c>
      <c r="O416" t="n">
        <v>0</v>
      </c>
      <c r="P416" t="n">
        <v>0</v>
      </c>
      <c r="Q416" t="n">
        <v>0</v>
      </c>
      <c r="R416" t="n">
        <v>0</v>
      </c>
      <c r="S416" t="n">
        <v>0</v>
      </c>
      <c r="T416" t="n">
        <v>0</v>
      </c>
      <c r="U416" s="2" t="inlineStr"/>
    </row>
    <row r="417" ht="15" customHeight="1">
      <c r="A417" t="inlineStr">
        <is>
          <t>A 61928-2025</t>
        </is>
      </c>
      <c r="B417" t="inlineStr">
        <is>
          <t>avverkningsanmälan</t>
        </is>
      </c>
      <c r="C417" t="inlineStr">
        <is>
          <t>Föryngringsavverkning</t>
        </is>
      </c>
      <c r="D417" s="1" t="n">
        <v>46003</v>
      </c>
      <c r="E417" s="1" t="n">
        <v>46216</v>
      </c>
      <c r="F417" t="inlineStr">
        <is>
          <t>UPPSALA LÄN</t>
        </is>
      </c>
      <c r="G417" t="inlineStr">
        <is>
          <t>TIERP</t>
        </is>
      </c>
      <c r="H417" t="inlineStr">
        <is>
          <t>Övriga Aktiebolag</t>
        </is>
      </c>
      <c r="I417" t="n">
        <v>9.1</v>
      </c>
      <c r="J417" t="n">
        <v>0</v>
      </c>
      <c r="K417" t="n">
        <v>0</v>
      </c>
      <c r="L417" t="n">
        <v>0</v>
      </c>
      <c r="M417" t="n">
        <v>0</v>
      </c>
      <c r="N417" t="n">
        <v>0</v>
      </c>
      <c r="O417" t="n">
        <v>0</v>
      </c>
      <c r="P417" t="n">
        <v>0</v>
      </c>
      <c r="Q417" t="n">
        <v>0</v>
      </c>
      <c r="R417" t="n">
        <v>0</v>
      </c>
      <c r="S417" t="n">
        <v>0</v>
      </c>
      <c r="T417" t="n">
        <v>0</v>
      </c>
      <c r="U417" s="2" t="inlineStr"/>
    </row>
    <row r="418" ht="15" customHeight="1">
      <c r="A418" t="inlineStr">
        <is>
          <t>A 2454-2024</t>
        </is>
      </c>
      <c r="B418" t="inlineStr">
        <is>
          <t>avverkningsanmälan</t>
        </is>
      </c>
      <c r="C418" t="inlineStr">
        <is>
          <t>Föryngringsavverkning</t>
        </is>
      </c>
      <c r="D418" s="1" t="n">
        <v>45312</v>
      </c>
      <c r="E418" s="1" t="n">
        <v>46216</v>
      </c>
      <c r="F418" t="inlineStr">
        <is>
          <t>UPPSALA LÄN</t>
        </is>
      </c>
      <c r="G418" t="inlineStr">
        <is>
          <t>TIERP</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61672-2025</t>
        </is>
      </c>
      <c r="B419" t="inlineStr">
        <is>
          <t>avverkningsanmälan</t>
        </is>
      </c>
      <c r="C419" t="inlineStr">
        <is>
          <t>Föryngringsavverkning</t>
        </is>
      </c>
      <c r="D419" s="1" t="n">
        <v>46002</v>
      </c>
      <c r="E419" s="1" t="n">
        <v>46216</v>
      </c>
      <c r="F419" t="inlineStr">
        <is>
          <t>UPPSALA LÄN</t>
        </is>
      </c>
      <c r="G419" t="inlineStr">
        <is>
          <t>TIERP</t>
        </is>
      </c>
      <c r="H419" t="inlineStr">
        <is>
          <t>Bergvik skog öst AB</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61671-2025</t>
        </is>
      </c>
      <c r="B420" t="inlineStr">
        <is>
          <t>avverkningsanmälan</t>
        </is>
      </c>
      <c r="C420" t="inlineStr">
        <is>
          <t>Föryngringsavverkning</t>
        </is>
      </c>
      <c r="D420" s="1" t="n">
        <v>46002</v>
      </c>
      <c r="E420" s="1" t="n">
        <v>46216</v>
      </c>
      <c r="F420" t="inlineStr">
        <is>
          <t>UPPSALA LÄN</t>
        </is>
      </c>
      <c r="G420" t="inlineStr">
        <is>
          <t>TIERP</t>
        </is>
      </c>
      <c r="H420" t="inlineStr">
        <is>
          <t>Bergvik skog öst AB</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61674-2025</t>
        </is>
      </c>
      <c r="B421" t="inlineStr">
        <is>
          <t>avverkningsanmälan</t>
        </is>
      </c>
      <c r="C421" t="inlineStr">
        <is>
          <t>Föryngringsavverkning</t>
        </is>
      </c>
      <c r="D421" s="1" t="n">
        <v>46002</v>
      </c>
      <c r="E421" s="1" t="n">
        <v>46216</v>
      </c>
      <c r="F421" t="inlineStr">
        <is>
          <t>UPPSALA LÄN</t>
        </is>
      </c>
      <c r="G421" t="inlineStr">
        <is>
          <t>TIERP</t>
        </is>
      </c>
      <c r="H421" t="inlineStr">
        <is>
          <t>Bergvik skog öst AB</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61599-2025</t>
        </is>
      </c>
      <c r="B422" t="inlineStr">
        <is>
          <t>avverkningsanmälan</t>
        </is>
      </c>
      <c r="C422" t="inlineStr">
        <is>
          <t>Föryngringsavverkning</t>
        </is>
      </c>
      <c r="D422" s="1" t="n">
        <v>46002</v>
      </c>
      <c r="E422" s="1" t="n">
        <v>46216</v>
      </c>
      <c r="F422" t="inlineStr">
        <is>
          <t>UPPSALA LÄN</t>
        </is>
      </c>
      <c r="G422" t="inlineStr">
        <is>
          <t>TIERP</t>
        </is>
      </c>
      <c r="H422" t="inlineStr">
        <is>
          <t>Övriga Aktiebolag</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62484-2025</t>
        </is>
      </c>
      <c r="B423" t="inlineStr">
        <is>
          <t>avverkningsanmälan</t>
        </is>
      </c>
      <c r="C423" t="inlineStr">
        <is>
          <t>Föryngringsavverkning</t>
        </is>
      </c>
      <c r="D423" s="1" t="n">
        <v>46007</v>
      </c>
      <c r="E423" s="1" t="n">
        <v>46216</v>
      </c>
      <c r="F423" t="inlineStr">
        <is>
          <t>UPPSALA LÄN</t>
        </is>
      </c>
      <c r="G423" t="inlineStr">
        <is>
          <t>TIERP</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10207-2026</t>
        </is>
      </c>
      <c r="B424" t="inlineStr">
        <is>
          <t>avverkningsanmälan</t>
        </is>
      </c>
      <c r="C424" t="inlineStr">
        <is>
          <t>Föryngringsavverkning</t>
        </is>
      </c>
      <c r="D424" s="1" t="n">
        <v>46076</v>
      </c>
      <c r="E424" s="1" t="n">
        <v>46216</v>
      </c>
      <c r="F424" t="inlineStr">
        <is>
          <t>UPPSALA LÄN</t>
        </is>
      </c>
      <c r="G424" t="inlineStr">
        <is>
          <t>TIERP</t>
        </is>
      </c>
      <c r="I424" t="n">
        <v>4.2</v>
      </c>
      <c r="J424" t="n">
        <v>0</v>
      </c>
      <c r="K424" t="n">
        <v>0</v>
      </c>
      <c r="L424" t="n">
        <v>0</v>
      </c>
      <c r="M424" t="n">
        <v>0</v>
      </c>
      <c r="N424" t="n">
        <v>0</v>
      </c>
      <c r="O424" t="n">
        <v>0</v>
      </c>
      <c r="P424" t="n">
        <v>0</v>
      </c>
      <c r="Q424" t="n">
        <v>0</v>
      </c>
      <c r="R424" t="n">
        <v>0</v>
      </c>
      <c r="S424" t="n">
        <v>0</v>
      </c>
      <c r="T424" t="n">
        <v>0</v>
      </c>
      <c r="U424" s="2" t="inlineStr"/>
    </row>
    <row r="425" ht="15" customHeight="1">
      <c r="A425" t="inlineStr">
        <is>
          <t>A 60989-2023</t>
        </is>
      </c>
      <c r="B425" t="inlineStr">
        <is>
          <t>avverkningsanmälan</t>
        </is>
      </c>
      <c r="C425" t="inlineStr">
        <is>
          <t>Föryngringsavverkning</t>
        </is>
      </c>
      <c r="D425" s="1" t="n">
        <v>45259</v>
      </c>
      <c r="E425" s="1" t="n">
        <v>46216</v>
      </c>
      <c r="F425" t="inlineStr">
        <is>
          <t>UPPSALA LÄN</t>
        </is>
      </c>
      <c r="G425" t="inlineStr">
        <is>
          <t>TIERP</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5126-2024</t>
        </is>
      </c>
      <c r="B426" t="inlineStr">
        <is>
          <t>avverkningsanmälan</t>
        </is>
      </c>
      <c r="C426" t="inlineStr">
        <is>
          <t>Föryngringsavverkning</t>
        </is>
      </c>
      <c r="D426" s="1" t="n">
        <v>45330</v>
      </c>
      <c r="E426" s="1" t="n">
        <v>46216</v>
      </c>
      <c r="F426" t="inlineStr">
        <is>
          <t>UPPSALA LÄN</t>
        </is>
      </c>
      <c r="G426" t="inlineStr">
        <is>
          <t>TIERP</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3503-2024</t>
        </is>
      </c>
      <c r="B427" t="inlineStr">
        <is>
          <t>avverkningsanmälan</t>
        </is>
      </c>
      <c r="C427" t="inlineStr">
        <is>
          <t>Föryngringsavverkning</t>
        </is>
      </c>
      <c r="D427" s="1" t="n">
        <v>45320</v>
      </c>
      <c r="E427" s="1" t="n">
        <v>46216</v>
      </c>
      <c r="F427" t="inlineStr">
        <is>
          <t>UPPSALA LÄN</t>
        </is>
      </c>
      <c r="G427" t="inlineStr">
        <is>
          <t>TIERP</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63066-2025</t>
        </is>
      </c>
      <c r="B428" t="inlineStr">
        <is>
          <t>avverkningsanmälan</t>
        </is>
      </c>
      <c r="C428" t="inlineStr">
        <is>
          <t>Föryngringsavverkning</t>
        </is>
      </c>
      <c r="D428" s="1" t="n">
        <v>46009</v>
      </c>
      <c r="E428" s="1" t="n">
        <v>46216</v>
      </c>
      <c r="F428" t="inlineStr">
        <is>
          <t>UPPSALA LÄN</t>
        </is>
      </c>
      <c r="G428" t="inlineStr">
        <is>
          <t>TIERP</t>
        </is>
      </c>
      <c r="I428" t="n">
        <v>3</v>
      </c>
      <c r="J428" t="n">
        <v>0</v>
      </c>
      <c r="K428" t="n">
        <v>0</v>
      </c>
      <c r="L428" t="n">
        <v>0</v>
      </c>
      <c r="M428" t="n">
        <v>0</v>
      </c>
      <c r="N428" t="n">
        <v>0</v>
      </c>
      <c r="O428" t="n">
        <v>0</v>
      </c>
      <c r="P428" t="n">
        <v>0</v>
      </c>
      <c r="Q428" t="n">
        <v>0</v>
      </c>
      <c r="R428" t="n">
        <v>0</v>
      </c>
      <c r="S428" t="n">
        <v>0</v>
      </c>
      <c r="T428" t="n">
        <v>0</v>
      </c>
      <c r="U428" s="2" t="inlineStr"/>
    </row>
    <row r="429" ht="15" customHeight="1">
      <c r="A429" t="inlineStr">
        <is>
          <t>A 10945-2026</t>
        </is>
      </c>
      <c r="B429" t="inlineStr">
        <is>
          <t>avverkningsanmälan</t>
        </is>
      </c>
      <c r="C429" t="inlineStr">
        <is>
          <t>Föryngringsavverkning</t>
        </is>
      </c>
      <c r="D429" s="1" t="n">
        <v>46079</v>
      </c>
      <c r="E429" s="1" t="n">
        <v>46216</v>
      </c>
      <c r="F429" t="inlineStr">
        <is>
          <t>UPPSALA LÄN</t>
        </is>
      </c>
      <c r="G429" t="inlineStr">
        <is>
          <t>TIERP</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62872-2025</t>
        </is>
      </c>
      <c r="B430" t="inlineStr">
        <is>
          <t>avverkningsanmälan</t>
        </is>
      </c>
      <c r="C430" t="inlineStr">
        <is>
          <t>Föryngringsavverkning</t>
        </is>
      </c>
      <c r="D430" s="1" t="n">
        <v>46008</v>
      </c>
      <c r="E430" s="1" t="n">
        <v>46216</v>
      </c>
      <c r="F430" t="inlineStr">
        <is>
          <t>UPPSALA LÄN</t>
        </is>
      </c>
      <c r="G430" t="inlineStr">
        <is>
          <t>TIERP</t>
        </is>
      </c>
      <c r="I430" t="n">
        <v>2.7</v>
      </c>
      <c r="J430" t="n">
        <v>0</v>
      </c>
      <c r="K430" t="n">
        <v>0</v>
      </c>
      <c r="L430" t="n">
        <v>0</v>
      </c>
      <c r="M430" t="n">
        <v>0</v>
      </c>
      <c r="N430" t="n">
        <v>0</v>
      </c>
      <c r="O430" t="n">
        <v>0</v>
      </c>
      <c r="P430" t="n">
        <v>0</v>
      </c>
      <c r="Q430" t="n">
        <v>0</v>
      </c>
      <c r="R430" t="n">
        <v>0</v>
      </c>
      <c r="S430" t="n">
        <v>0</v>
      </c>
      <c r="T430" t="n">
        <v>0</v>
      </c>
      <c r="U430" s="2" t="inlineStr"/>
    </row>
    <row r="431" ht="15" customHeight="1">
      <c r="A431" t="inlineStr">
        <is>
          <t>A 62874-2025</t>
        </is>
      </c>
      <c r="B431" t="inlineStr">
        <is>
          <t>avverkningsanmälan</t>
        </is>
      </c>
      <c r="C431" t="inlineStr">
        <is>
          <t>Föryngringsavverkning</t>
        </is>
      </c>
      <c r="D431" s="1" t="n">
        <v>46008</v>
      </c>
      <c r="E431" s="1" t="n">
        <v>46216</v>
      </c>
      <c r="F431" t="inlineStr">
        <is>
          <t>UPPSALA LÄN</t>
        </is>
      </c>
      <c r="G431" t="inlineStr">
        <is>
          <t>TIERP</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62855-2025</t>
        </is>
      </c>
      <c r="B432" t="inlineStr">
        <is>
          <t>avverkningsanmälan</t>
        </is>
      </c>
      <c r="C432" t="inlineStr">
        <is>
          <t>Föryngringsavverkning</t>
        </is>
      </c>
      <c r="D432" s="1" t="n">
        <v>46008</v>
      </c>
      <c r="E432" s="1" t="n">
        <v>46216</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63331-2025</t>
        </is>
      </c>
      <c r="B433" t="inlineStr">
        <is>
          <t>avverkningsanmälan</t>
        </is>
      </c>
      <c r="C433" t="inlineStr">
        <is>
          <t>Föryngringsavverkning</t>
        </is>
      </c>
      <c r="D433" s="1" t="n">
        <v>46010</v>
      </c>
      <c r="E433" s="1" t="n">
        <v>46216</v>
      </c>
      <c r="F433" t="inlineStr">
        <is>
          <t>UPPSALA LÄN</t>
        </is>
      </c>
      <c r="G433" t="inlineStr">
        <is>
          <t>TIERP</t>
        </is>
      </c>
      <c r="H433" t="inlineStr">
        <is>
          <t>Bergvik skog öst AB</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63263-2025</t>
        </is>
      </c>
      <c r="B434" t="inlineStr">
        <is>
          <t>avverkningsanmälan</t>
        </is>
      </c>
      <c r="C434" t="inlineStr">
        <is>
          <t>Föryngringsavverkning</t>
        </is>
      </c>
      <c r="D434" s="1" t="n">
        <v>46010</v>
      </c>
      <c r="E434" s="1" t="n">
        <v>46216</v>
      </c>
      <c r="F434" t="inlineStr">
        <is>
          <t>UPPSALA LÄN</t>
        </is>
      </c>
      <c r="G434" t="inlineStr">
        <is>
          <t>TIERP</t>
        </is>
      </c>
      <c r="H434" t="inlineStr">
        <is>
          <t>Bergvik skog öst AB</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18544-2025</t>
        </is>
      </c>
      <c r="B435" t="inlineStr">
        <is>
          <t>avverkningsanmälan</t>
        </is>
      </c>
      <c r="C435" t="inlineStr">
        <is>
          <t>Föryngringsavverkning</t>
        </is>
      </c>
      <c r="D435" s="1" t="n">
        <v>45763</v>
      </c>
      <c r="E435" s="1" t="n">
        <v>46216</v>
      </c>
      <c r="F435" t="inlineStr">
        <is>
          <t>UPPSALA LÄN</t>
        </is>
      </c>
      <c r="G435" t="inlineStr">
        <is>
          <t>TIERP</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4139-2026</t>
        </is>
      </c>
      <c r="B436" t="inlineStr">
        <is>
          <t>avverkningsanmälan</t>
        </is>
      </c>
      <c r="C436" t="inlineStr">
        <is>
          <t>Föryngringsavverkning</t>
        </is>
      </c>
      <c r="D436" s="1" t="n">
        <v>46044</v>
      </c>
      <c r="E436" s="1" t="n">
        <v>46216</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9195-2026</t>
        </is>
      </c>
      <c r="B437" t="inlineStr">
        <is>
          <t>avverkningsanmälan</t>
        </is>
      </c>
      <c r="C437" t="inlineStr">
        <is>
          <t>Föryngringsavverkning</t>
        </is>
      </c>
      <c r="D437" s="1" t="n">
        <v>46070</v>
      </c>
      <c r="E437" s="1" t="n">
        <v>46216</v>
      </c>
      <c r="F437" t="inlineStr">
        <is>
          <t>UPPSALA LÄN</t>
        </is>
      </c>
      <c r="G437" t="inlineStr">
        <is>
          <t>TIERP</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63258-2025</t>
        </is>
      </c>
      <c r="B438" t="inlineStr">
        <is>
          <t>avverkningsanmälan</t>
        </is>
      </c>
      <c r="C438" t="inlineStr">
        <is>
          <t>Föryngringsavverkning</t>
        </is>
      </c>
      <c r="D438" s="1" t="n">
        <v>46010</v>
      </c>
      <c r="E438" s="1" t="n">
        <v>46216</v>
      </c>
      <c r="F438" t="inlineStr">
        <is>
          <t>UPPSALA LÄN</t>
        </is>
      </c>
      <c r="G438" t="inlineStr">
        <is>
          <t>TIERP</t>
        </is>
      </c>
      <c r="H438" t="inlineStr">
        <is>
          <t>Bergvik skog öst AB</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63259-2025</t>
        </is>
      </c>
      <c r="B439" t="inlineStr">
        <is>
          <t>avverkningsanmälan</t>
        </is>
      </c>
      <c r="C439" t="inlineStr">
        <is>
          <t>Föryngringsavverkning</t>
        </is>
      </c>
      <c r="D439" s="1" t="n">
        <v>46010</v>
      </c>
      <c r="E439" s="1" t="n">
        <v>46216</v>
      </c>
      <c r="F439" t="inlineStr">
        <is>
          <t>UPPSALA LÄN</t>
        </is>
      </c>
      <c r="G439" t="inlineStr">
        <is>
          <t>TIERP</t>
        </is>
      </c>
      <c r="H439" t="inlineStr">
        <is>
          <t>Bergvik skog öst AB</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63262-2025</t>
        </is>
      </c>
      <c r="B440" t="inlineStr">
        <is>
          <t>avverkningsanmälan</t>
        </is>
      </c>
      <c r="C440" t="inlineStr">
        <is>
          <t>Föryngringsavverkning</t>
        </is>
      </c>
      <c r="D440" s="1" t="n">
        <v>46010</v>
      </c>
      <c r="E440" s="1" t="n">
        <v>46216</v>
      </c>
      <c r="F440" t="inlineStr">
        <is>
          <t>UPPSALA LÄN</t>
        </is>
      </c>
      <c r="G440" t="inlineStr">
        <is>
          <t>TIERP</t>
        </is>
      </c>
      <c r="H440" t="inlineStr">
        <is>
          <t>Bergvik skog öst AB</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408-2024</t>
        </is>
      </c>
      <c r="B441" t="inlineStr">
        <is>
          <t>avverkningsanmälan</t>
        </is>
      </c>
      <c r="C441" t="inlineStr">
        <is>
          <t>Föryngringsavverkning</t>
        </is>
      </c>
      <c r="D441" s="1" t="n">
        <v>45296</v>
      </c>
      <c r="E441" s="1" t="n">
        <v>46216</v>
      </c>
      <c r="F441" t="inlineStr">
        <is>
          <t>UPPSALA LÄN</t>
        </is>
      </c>
      <c r="G441" t="inlineStr">
        <is>
          <t>TIERP</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63631-2025</t>
        </is>
      </c>
      <c r="B442" t="inlineStr">
        <is>
          <t>avverkningsanmälan</t>
        </is>
      </c>
      <c r="C442" t="inlineStr">
        <is>
          <t>Föryngringsavverkning</t>
        </is>
      </c>
      <c r="D442" s="1" t="n">
        <v>46014</v>
      </c>
      <c r="E442" s="1" t="n">
        <v>46216</v>
      </c>
      <c r="F442" t="inlineStr">
        <is>
          <t>UPPSALA LÄN</t>
        </is>
      </c>
      <c r="G442" t="inlineStr">
        <is>
          <t>TIERP</t>
        </is>
      </c>
      <c r="H442" t="inlineStr">
        <is>
          <t>Övriga Aktiebolag</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6417-2026</t>
        </is>
      </c>
      <c r="B443" t="inlineStr">
        <is>
          <t>avverkningsanmälan</t>
        </is>
      </c>
      <c r="C443" t="inlineStr">
        <is>
          <t>Föryngringsavverkning</t>
        </is>
      </c>
      <c r="D443" s="1" t="n">
        <v>46055</v>
      </c>
      <c r="E443" s="1" t="n">
        <v>46216</v>
      </c>
      <c r="F443" t="inlineStr">
        <is>
          <t>UPPSALA LÄN</t>
        </is>
      </c>
      <c r="G443" t="inlineStr">
        <is>
          <t>TIERP</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29115-2023</t>
        </is>
      </c>
      <c r="B444" t="inlineStr">
        <is>
          <t>avverkningsanmälan</t>
        </is>
      </c>
      <c r="C444" t="inlineStr">
        <is>
          <t>Föryngringsavverkning</t>
        </is>
      </c>
      <c r="D444" s="1" t="n">
        <v>45105</v>
      </c>
      <c r="E444" s="1" t="n">
        <v>46216</v>
      </c>
      <c r="F444" t="inlineStr">
        <is>
          <t>UPPSALA LÄN</t>
        </is>
      </c>
      <c r="G444" t="inlineStr">
        <is>
          <t>TIERP</t>
        </is>
      </c>
      <c r="I444" t="n">
        <v>3.1</v>
      </c>
      <c r="J444" t="n">
        <v>0</v>
      </c>
      <c r="K444" t="n">
        <v>0</v>
      </c>
      <c r="L444" t="n">
        <v>0</v>
      </c>
      <c r="M444" t="n">
        <v>0</v>
      </c>
      <c r="N444" t="n">
        <v>0</v>
      </c>
      <c r="O444" t="n">
        <v>0</v>
      </c>
      <c r="P444" t="n">
        <v>0</v>
      </c>
      <c r="Q444" t="n">
        <v>0</v>
      </c>
      <c r="R444" t="n">
        <v>0</v>
      </c>
      <c r="S444" t="n">
        <v>0</v>
      </c>
      <c r="T444" t="n">
        <v>0</v>
      </c>
      <c r="U444" s="2" t="inlineStr"/>
    </row>
    <row r="445" ht="15" customHeight="1">
      <c r="A445" t="inlineStr">
        <is>
          <t>A 11774-2026</t>
        </is>
      </c>
      <c r="B445" t="inlineStr">
        <is>
          <t>avverkningsanmälan</t>
        </is>
      </c>
      <c r="C445" t="inlineStr">
        <is>
          <t>Föryngringsavverkning</t>
        </is>
      </c>
      <c r="D445" s="1" t="n">
        <v>46084</v>
      </c>
      <c r="E445" s="1" t="n">
        <v>46216</v>
      </c>
      <c r="F445" t="inlineStr">
        <is>
          <t>UPPSALA LÄN</t>
        </is>
      </c>
      <c r="G445" t="inlineStr">
        <is>
          <t>TIERP</t>
        </is>
      </c>
      <c r="I445" t="n">
        <v>4.6</v>
      </c>
      <c r="J445" t="n">
        <v>0</v>
      </c>
      <c r="K445" t="n">
        <v>0</v>
      </c>
      <c r="L445" t="n">
        <v>0</v>
      </c>
      <c r="M445" t="n">
        <v>0</v>
      </c>
      <c r="N445" t="n">
        <v>0</v>
      </c>
      <c r="O445" t="n">
        <v>0</v>
      </c>
      <c r="P445" t="n">
        <v>0</v>
      </c>
      <c r="Q445" t="n">
        <v>0</v>
      </c>
      <c r="R445" t="n">
        <v>0</v>
      </c>
      <c r="S445" t="n">
        <v>0</v>
      </c>
      <c r="T445" t="n">
        <v>0</v>
      </c>
      <c r="U445" s="2" t="inlineStr"/>
    </row>
    <row r="446" ht="15" customHeight="1">
      <c r="A446" t="inlineStr">
        <is>
          <t>A 63747-2025</t>
        </is>
      </c>
      <c r="B446" t="inlineStr">
        <is>
          <t>avverkningsanmälan</t>
        </is>
      </c>
      <c r="C446" t="inlineStr">
        <is>
          <t>Föryngringsavverkning</t>
        </is>
      </c>
      <c r="D446" s="1" t="n">
        <v>46017</v>
      </c>
      <c r="E446" s="1" t="n">
        <v>46216</v>
      </c>
      <c r="F446" t="inlineStr">
        <is>
          <t>UPPSALA LÄN</t>
        </is>
      </c>
      <c r="G446" t="inlineStr">
        <is>
          <t>TIERP</t>
        </is>
      </c>
      <c r="H446" t="inlineStr">
        <is>
          <t>Bergvik skog öst AB</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51712-2025</t>
        </is>
      </c>
      <c r="B447" t="inlineStr">
        <is>
          <t>avverkningsanmälan</t>
        </is>
      </c>
      <c r="C447" t="inlineStr">
        <is>
          <t>Föryngringsavverkning</t>
        </is>
      </c>
      <c r="D447" s="1" t="n">
        <v>45951</v>
      </c>
      <c r="E447" s="1" t="n">
        <v>46216</v>
      </c>
      <c r="F447" t="inlineStr">
        <is>
          <t>UPPSALA LÄN</t>
        </is>
      </c>
      <c r="G447" t="inlineStr">
        <is>
          <t>TIERP</t>
        </is>
      </c>
      <c r="H447" t="inlineStr">
        <is>
          <t>Bergvik skog väst AB</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43260-2025</t>
        </is>
      </c>
      <c r="B448" t="inlineStr">
        <is>
          <t>avverkningsanmälan</t>
        </is>
      </c>
      <c r="C448" t="inlineStr">
        <is>
          <t>Föryngringsavverkning</t>
        </is>
      </c>
      <c r="D448" s="1" t="n">
        <v>45910</v>
      </c>
      <c r="E448" s="1" t="n">
        <v>46216</v>
      </c>
      <c r="F448" t="inlineStr">
        <is>
          <t>UPPSALA LÄN</t>
        </is>
      </c>
      <c r="G448" t="inlineStr">
        <is>
          <t>TIERP</t>
        </is>
      </c>
      <c r="H448" t="inlineStr">
        <is>
          <t>Bergvik skog väst AB</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21782-2025</t>
        </is>
      </c>
      <c r="B449" t="inlineStr">
        <is>
          <t>avverkningsanmälan</t>
        </is>
      </c>
      <c r="C449" t="inlineStr">
        <is>
          <t>Föryngringsavverkning</t>
        </is>
      </c>
      <c r="D449" s="1" t="n">
        <v>45783</v>
      </c>
      <c r="E449" s="1" t="n">
        <v>46216</v>
      </c>
      <c r="F449" t="inlineStr">
        <is>
          <t>UPPSALA LÄN</t>
        </is>
      </c>
      <c r="G449" t="inlineStr">
        <is>
          <t>TIERP</t>
        </is>
      </c>
      <c r="H449" t="inlineStr">
        <is>
          <t>Bergvik skog öst AB</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43378-2025</t>
        </is>
      </c>
      <c r="B450" t="inlineStr">
        <is>
          <t>avverkningsanmälan</t>
        </is>
      </c>
      <c r="C450" t="inlineStr">
        <is>
          <t>Föryngringsavverkning</t>
        </is>
      </c>
      <c r="D450" s="1" t="n">
        <v>45911</v>
      </c>
      <c r="E450" s="1" t="n">
        <v>46216</v>
      </c>
      <c r="F450" t="inlineStr">
        <is>
          <t>UPPSALA LÄN</t>
        </is>
      </c>
      <c r="G450" t="inlineStr">
        <is>
          <t>TIERP</t>
        </is>
      </c>
      <c r="H450" t="inlineStr">
        <is>
          <t>Bergvik skog väst AB</t>
        </is>
      </c>
      <c r="I450" t="n">
        <v>2.7</v>
      </c>
      <c r="J450" t="n">
        <v>0</v>
      </c>
      <c r="K450" t="n">
        <v>0</v>
      </c>
      <c r="L450" t="n">
        <v>0</v>
      </c>
      <c r="M450" t="n">
        <v>0</v>
      </c>
      <c r="N450" t="n">
        <v>0</v>
      </c>
      <c r="O450" t="n">
        <v>0</v>
      </c>
      <c r="P450" t="n">
        <v>0</v>
      </c>
      <c r="Q450" t="n">
        <v>0</v>
      </c>
      <c r="R450" t="n">
        <v>0</v>
      </c>
      <c r="S450" t="n">
        <v>0</v>
      </c>
      <c r="T450" t="n">
        <v>0</v>
      </c>
      <c r="U450" s="2" t="inlineStr"/>
    </row>
    <row r="451" ht="15" customHeight="1">
      <c r="A451" t="inlineStr">
        <is>
          <t>A 39790-2025</t>
        </is>
      </c>
      <c r="B451" t="inlineStr">
        <is>
          <t>avverkningsanmälan</t>
        </is>
      </c>
      <c r="C451" t="inlineStr">
        <is>
          <t>Föryngringsavverkning</t>
        </is>
      </c>
      <c r="D451" s="1" t="n">
        <v>45891</v>
      </c>
      <c r="E451" s="1" t="n">
        <v>46216</v>
      </c>
      <c r="F451" t="inlineStr">
        <is>
          <t>UPPSALA LÄN</t>
        </is>
      </c>
      <c r="G451" t="inlineStr">
        <is>
          <t>TIERP</t>
        </is>
      </c>
      <c r="H451" t="inlineStr">
        <is>
          <t>Bergvik skog väst AB</t>
        </is>
      </c>
      <c r="I451" t="n">
        <v>2.2</v>
      </c>
      <c r="J451" t="n">
        <v>0</v>
      </c>
      <c r="K451" t="n">
        <v>0</v>
      </c>
      <c r="L451" t="n">
        <v>0</v>
      </c>
      <c r="M451" t="n">
        <v>0</v>
      </c>
      <c r="N451" t="n">
        <v>0</v>
      </c>
      <c r="O451" t="n">
        <v>0</v>
      </c>
      <c r="P451" t="n">
        <v>0</v>
      </c>
      <c r="Q451" t="n">
        <v>0</v>
      </c>
      <c r="R451" t="n">
        <v>0</v>
      </c>
      <c r="S451" t="n">
        <v>0</v>
      </c>
      <c r="T451" t="n">
        <v>0</v>
      </c>
      <c r="U451" s="2" t="inlineStr"/>
    </row>
    <row r="452" ht="15" customHeight="1">
      <c r="A452" t="inlineStr">
        <is>
          <t>A 63883-2025</t>
        </is>
      </c>
      <c r="B452" t="inlineStr">
        <is>
          <t>avverkningsanmälan</t>
        </is>
      </c>
      <c r="C452" t="inlineStr">
        <is>
          <t>Föryngringsavverkning</t>
        </is>
      </c>
      <c r="D452" s="1" t="n">
        <v>46020</v>
      </c>
      <c r="E452" s="1" t="n">
        <v>46216</v>
      </c>
      <c r="F452" t="inlineStr">
        <is>
          <t>UPPSALA LÄN</t>
        </is>
      </c>
      <c r="G452" t="inlineStr">
        <is>
          <t>TIERP</t>
        </is>
      </c>
      <c r="H452" t="inlineStr">
        <is>
          <t>Bergvik skog öst AB</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51756-2023</t>
        </is>
      </c>
      <c r="B453" t="inlineStr">
        <is>
          <t>avverkningsanmälan</t>
        </is>
      </c>
      <c r="C453" t="inlineStr">
        <is>
          <t>Föryngringsavverkning</t>
        </is>
      </c>
      <c r="D453" s="1" t="n">
        <v>45222</v>
      </c>
      <c r="E453" s="1" t="n">
        <v>46216</v>
      </c>
      <c r="F453" t="inlineStr">
        <is>
          <t>UPPSALA LÄN</t>
        </is>
      </c>
      <c r="G453" t="inlineStr">
        <is>
          <t>TIERP</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11775-2026</t>
        </is>
      </c>
      <c r="B454" t="inlineStr">
        <is>
          <t>avverkningsanmälan</t>
        </is>
      </c>
      <c r="C454" t="inlineStr">
        <is>
          <t>Föryngringsavverkning</t>
        </is>
      </c>
      <c r="D454" s="1" t="n">
        <v>46084</v>
      </c>
      <c r="E454" s="1" t="n">
        <v>46216</v>
      </c>
      <c r="F454" t="inlineStr">
        <is>
          <t>UPPSALA LÄN</t>
        </is>
      </c>
      <c r="G454" t="inlineStr">
        <is>
          <t>TIERP</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12612-2026</t>
        </is>
      </c>
      <c r="B455" t="inlineStr">
        <is>
          <t>avverkningsanmälan</t>
        </is>
      </c>
      <c r="C455" t="inlineStr">
        <is>
          <t>Föryngringsavverkning</t>
        </is>
      </c>
      <c r="D455" s="1" t="n">
        <v>46091</v>
      </c>
      <c r="E455" s="1" t="n">
        <v>46216</v>
      </c>
      <c r="F455" t="inlineStr">
        <is>
          <t>UPPSALA LÄN</t>
        </is>
      </c>
      <c r="G455" t="inlineStr">
        <is>
          <t>TIERP</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4531-2023</t>
        </is>
      </c>
      <c r="B456" t="inlineStr">
        <is>
          <t>avverkningsanmälan</t>
        </is>
      </c>
      <c r="C456" t="inlineStr">
        <is>
          <t>Föryngringsavverkning</t>
        </is>
      </c>
      <c r="D456" s="1" t="n">
        <v>44956</v>
      </c>
      <c r="E456" s="1" t="n">
        <v>46216</v>
      </c>
      <c r="F456" t="inlineStr">
        <is>
          <t>UPPSALA LÄN</t>
        </is>
      </c>
      <c r="G456" t="inlineStr">
        <is>
          <t>TIERP</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6254-2022</t>
        </is>
      </c>
      <c r="B457" t="inlineStr">
        <is>
          <t>avverkningsanmälan</t>
        </is>
      </c>
      <c r="C457" t="inlineStr">
        <is>
          <t>Föryngringsavverkning</t>
        </is>
      </c>
      <c r="D457" s="1" t="n">
        <v>44600</v>
      </c>
      <c r="E457" s="1" t="n">
        <v>46216</v>
      </c>
      <c r="F457" t="inlineStr">
        <is>
          <t>UPPSALA LÄN</t>
        </is>
      </c>
      <c r="G457" t="inlineStr">
        <is>
          <t>TIERP</t>
        </is>
      </c>
      <c r="H457" t="inlineStr">
        <is>
          <t>Bergvik skog öst AB</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18781-2022</t>
        </is>
      </c>
      <c r="B458" t="inlineStr">
        <is>
          <t>avverkningsanmälan</t>
        </is>
      </c>
      <c r="C458" t="inlineStr">
        <is>
          <t>Föryngringsavverkning</t>
        </is>
      </c>
      <c r="D458" s="1" t="n">
        <v>44689</v>
      </c>
      <c r="E458" s="1" t="n">
        <v>46216</v>
      </c>
      <c r="F458" t="inlineStr">
        <is>
          <t>UPPSALA LÄN</t>
        </is>
      </c>
      <c r="G458" t="inlineStr">
        <is>
          <t>TIERP</t>
        </is>
      </c>
      <c r="H458" t="inlineStr">
        <is>
          <t>Kyrkan</t>
        </is>
      </c>
      <c r="I458" t="n">
        <v>8.4</v>
      </c>
      <c r="J458" t="n">
        <v>0</v>
      </c>
      <c r="K458" t="n">
        <v>0</v>
      </c>
      <c r="L458" t="n">
        <v>0</v>
      </c>
      <c r="M458" t="n">
        <v>0</v>
      </c>
      <c r="N458" t="n">
        <v>0</v>
      </c>
      <c r="O458" t="n">
        <v>0</v>
      </c>
      <c r="P458" t="n">
        <v>0</v>
      </c>
      <c r="Q458" t="n">
        <v>0</v>
      </c>
      <c r="R458" t="n">
        <v>0</v>
      </c>
      <c r="S458" t="n">
        <v>0</v>
      </c>
      <c r="T458" t="n">
        <v>0</v>
      </c>
      <c r="U458" s="2" t="inlineStr"/>
    </row>
    <row r="459" ht="15" customHeight="1">
      <c r="A459" t="inlineStr">
        <is>
          <t>A 13986-2026</t>
        </is>
      </c>
      <c r="B459" t="inlineStr">
        <is>
          <t>avverkningsanmälan</t>
        </is>
      </c>
      <c r="C459" t="inlineStr">
        <is>
          <t>Föryngringsavverkning</t>
        </is>
      </c>
      <c r="D459" s="1" t="n">
        <v>46098</v>
      </c>
      <c r="E459" s="1" t="n">
        <v>46216</v>
      </c>
      <c r="F459" t="inlineStr">
        <is>
          <t>UPPSALA LÄN</t>
        </is>
      </c>
      <c r="G459" t="inlineStr">
        <is>
          <t>TIERP</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13984-2026</t>
        </is>
      </c>
      <c r="B460" t="inlineStr">
        <is>
          <t>avverkningsanmälan</t>
        </is>
      </c>
      <c r="C460" t="inlineStr">
        <is>
          <t>Föryngringsavverkning</t>
        </is>
      </c>
      <c r="D460" s="1" t="n">
        <v>46098</v>
      </c>
      <c r="E460" s="1" t="n">
        <v>46216</v>
      </c>
      <c r="F460" t="inlineStr">
        <is>
          <t>UPPSALA LÄN</t>
        </is>
      </c>
      <c r="G460" t="inlineStr">
        <is>
          <t>TIERP</t>
        </is>
      </c>
      <c r="I460" t="n">
        <v>5.4</v>
      </c>
      <c r="J460" t="n">
        <v>0</v>
      </c>
      <c r="K460" t="n">
        <v>0</v>
      </c>
      <c r="L460" t="n">
        <v>0</v>
      </c>
      <c r="M460" t="n">
        <v>0</v>
      </c>
      <c r="N460" t="n">
        <v>0</v>
      </c>
      <c r="O460" t="n">
        <v>0</v>
      </c>
      <c r="P460" t="n">
        <v>0</v>
      </c>
      <c r="Q460" t="n">
        <v>0</v>
      </c>
      <c r="R460" t="n">
        <v>0</v>
      </c>
      <c r="S460" t="n">
        <v>0</v>
      </c>
      <c r="T460" t="n">
        <v>0</v>
      </c>
      <c r="U460" s="2" t="inlineStr"/>
    </row>
    <row r="461" ht="15" customHeight="1">
      <c r="A461" t="inlineStr">
        <is>
          <t>A 14544-2026</t>
        </is>
      </c>
      <c r="B461" t="inlineStr">
        <is>
          <t>avverkningsanmälan</t>
        </is>
      </c>
      <c r="C461" t="inlineStr">
        <is>
          <t>Föryngringsavverkning</t>
        </is>
      </c>
      <c r="D461" s="1" t="n">
        <v>46100</v>
      </c>
      <c r="E461" s="1" t="n">
        <v>46216</v>
      </c>
      <c r="F461" t="inlineStr">
        <is>
          <t>UPPSALA LÄN</t>
        </is>
      </c>
      <c r="G461" t="inlineStr">
        <is>
          <t>TIERP</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14542-2026</t>
        </is>
      </c>
      <c r="B462" t="inlineStr">
        <is>
          <t>avverkningsanmälan</t>
        </is>
      </c>
      <c r="C462" t="inlineStr">
        <is>
          <t>Föryngringsavverkning</t>
        </is>
      </c>
      <c r="D462" s="1" t="n">
        <v>46100</v>
      </c>
      <c r="E462" s="1" t="n">
        <v>46216</v>
      </c>
      <c r="F462" t="inlineStr">
        <is>
          <t>UPPSALA LÄN</t>
        </is>
      </c>
      <c r="G462" t="inlineStr">
        <is>
          <t>TIERP</t>
        </is>
      </c>
      <c r="I462" t="n">
        <v>5.1</v>
      </c>
      <c r="J462" t="n">
        <v>0</v>
      </c>
      <c r="K462" t="n">
        <v>0</v>
      </c>
      <c r="L462" t="n">
        <v>0</v>
      </c>
      <c r="M462" t="n">
        <v>0</v>
      </c>
      <c r="N462" t="n">
        <v>0</v>
      </c>
      <c r="O462" t="n">
        <v>0</v>
      </c>
      <c r="P462" t="n">
        <v>0</v>
      </c>
      <c r="Q462" t="n">
        <v>0</v>
      </c>
      <c r="R462" t="n">
        <v>0</v>
      </c>
      <c r="S462" t="n">
        <v>0</v>
      </c>
      <c r="T462" t="n">
        <v>0</v>
      </c>
      <c r="U462" s="2" t="inlineStr"/>
    </row>
    <row r="463" ht="15" customHeight="1">
      <c r="A463" t="inlineStr">
        <is>
          <t>A 55818-2023</t>
        </is>
      </c>
      <c r="B463" t="inlineStr">
        <is>
          <t>avverkningsanmälan</t>
        </is>
      </c>
      <c r="C463" t="inlineStr">
        <is>
          <t>Föryngringsavverkning</t>
        </is>
      </c>
      <c r="D463" s="1" t="n">
        <v>45239</v>
      </c>
      <c r="E463" s="1" t="n">
        <v>46216</v>
      </c>
      <c r="F463" t="inlineStr">
        <is>
          <t>UPPSALA LÄN</t>
        </is>
      </c>
      <c r="G463" t="inlineStr">
        <is>
          <t>TIERP</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14943-2026</t>
        </is>
      </c>
      <c r="B464" t="inlineStr">
        <is>
          <t>avverkningsanmälan</t>
        </is>
      </c>
      <c r="C464" t="inlineStr">
        <is>
          <t>Föryngringsavverkning</t>
        </is>
      </c>
      <c r="D464" s="1" t="n">
        <v>46104</v>
      </c>
      <c r="E464" s="1" t="n">
        <v>46216</v>
      </c>
      <c r="F464" t="inlineStr">
        <is>
          <t>UPPSALA LÄN</t>
        </is>
      </c>
      <c r="G464" t="inlineStr">
        <is>
          <t>TIERP</t>
        </is>
      </c>
      <c r="H464" t="inlineStr">
        <is>
          <t>Bergvik skog öst AB</t>
        </is>
      </c>
      <c r="I464" t="n">
        <v>6.1</v>
      </c>
      <c r="J464" t="n">
        <v>0</v>
      </c>
      <c r="K464" t="n">
        <v>0</v>
      </c>
      <c r="L464" t="n">
        <v>0</v>
      </c>
      <c r="M464" t="n">
        <v>0</v>
      </c>
      <c r="N464" t="n">
        <v>0</v>
      </c>
      <c r="O464" t="n">
        <v>0</v>
      </c>
      <c r="P464" t="n">
        <v>0</v>
      </c>
      <c r="Q464" t="n">
        <v>0</v>
      </c>
      <c r="R464" t="n">
        <v>0</v>
      </c>
      <c r="S464" t="n">
        <v>0</v>
      </c>
      <c r="T464" t="n">
        <v>0</v>
      </c>
      <c r="U464" s="2" t="inlineStr"/>
    </row>
    <row r="465" ht="15" customHeight="1">
      <c r="A465" t="inlineStr">
        <is>
          <t>A 59244-2024</t>
        </is>
      </c>
      <c r="B465" t="inlineStr">
        <is>
          <t>avverkningsanmälan</t>
        </is>
      </c>
      <c r="C465" t="inlineStr">
        <is>
          <t>Föryngringsavverkning</t>
        </is>
      </c>
      <c r="D465" s="1" t="n">
        <v>45637</v>
      </c>
      <c r="E465" s="1" t="n">
        <v>46216</v>
      </c>
      <c r="F465" t="inlineStr">
        <is>
          <t>UPPSALA LÄN</t>
        </is>
      </c>
      <c r="G465" t="inlineStr">
        <is>
          <t>TIERP</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14086-2023</t>
        </is>
      </c>
      <c r="B466" t="inlineStr">
        <is>
          <t>avverkningsanmälan</t>
        </is>
      </c>
      <c r="C466" t="inlineStr">
        <is>
          <t>Föryngringsavverkning</t>
        </is>
      </c>
      <c r="D466" s="1" t="n">
        <v>45009</v>
      </c>
      <c r="E466" s="1" t="n">
        <v>46216</v>
      </c>
      <c r="F466" t="inlineStr">
        <is>
          <t>UPPSALA LÄN</t>
        </is>
      </c>
      <c r="G466" t="inlineStr">
        <is>
          <t>TIERP</t>
        </is>
      </c>
      <c r="H466" t="inlineStr">
        <is>
          <t>Bergvik skog väst AB</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15966-2026</t>
        </is>
      </c>
      <c r="B467" t="inlineStr">
        <is>
          <t>avverkningsanmälan</t>
        </is>
      </c>
      <c r="C467" t="inlineStr">
        <is>
          <t>Föryngringsavverkning</t>
        </is>
      </c>
      <c r="D467" s="1" t="n">
        <v>46108</v>
      </c>
      <c r="E467" s="1" t="n">
        <v>46216</v>
      </c>
      <c r="F467" t="inlineStr">
        <is>
          <t>UPPSALA LÄN</t>
        </is>
      </c>
      <c r="G467" t="inlineStr">
        <is>
          <t>TIERP</t>
        </is>
      </c>
      <c r="H467" t="inlineStr">
        <is>
          <t>Bergvik skog öst AB</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15959-2026</t>
        </is>
      </c>
      <c r="B468" t="inlineStr">
        <is>
          <t>avverkningsanmälan</t>
        </is>
      </c>
      <c r="C468" t="inlineStr">
        <is>
          <t>Föryngringsavverkning</t>
        </is>
      </c>
      <c r="D468" s="1" t="n">
        <v>46108</v>
      </c>
      <c r="E468" s="1" t="n">
        <v>46216</v>
      </c>
      <c r="F468" t="inlineStr">
        <is>
          <t>UPPSALA LÄN</t>
        </is>
      </c>
      <c r="G468" t="inlineStr">
        <is>
          <t>TIERP</t>
        </is>
      </c>
      <c r="H468" t="inlineStr">
        <is>
          <t>Bergvik skog öst AB</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48483-2022</t>
        </is>
      </c>
      <c r="B469" t="inlineStr">
        <is>
          <t>avverkningsanmälan</t>
        </is>
      </c>
      <c r="C469" t="inlineStr">
        <is>
          <t>Föryngringsavverkning</t>
        </is>
      </c>
      <c r="D469" s="1" t="n">
        <v>44858</v>
      </c>
      <c r="E469" s="1" t="n">
        <v>46216</v>
      </c>
      <c r="F469" t="inlineStr">
        <is>
          <t>UPPSALA LÄN</t>
        </is>
      </c>
      <c r="G469" t="inlineStr">
        <is>
          <t>TIERP</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16020-2026</t>
        </is>
      </c>
      <c r="B470" t="inlineStr">
        <is>
          <t>avverkningsanmälan</t>
        </is>
      </c>
      <c r="C470" t="inlineStr">
        <is>
          <t>Föryngringsavverkning</t>
        </is>
      </c>
      <c r="D470" s="1" t="n">
        <v>46108</v>
      </c>
      <c r="E470" s="1" t="n">
        <v>46216</v>
      </c>
      <c r="F470" t="inlineStr">
        <is>
          <t>UPPSALA LÄN</t>
        </is>
      </c>
      <c r="G470" t="inlineStr">
        <is>
          <t>TIERP</t>
        </is>
      </c>
      <c r="H470" t="inlineStr">
        <is>
          <t>Bergvik skog öst AB</t>
        </is>
      </c>
      <c r="I470" t="n">
        <v>4.3</v>
      </c>
      <c r="J470" t="n">
        <v>0</v>
      </c>
      <c r="K470" t="n">
        <v>0</v>
      </c>
      <c r="L470" t="n">
        <v>0</v>
      </c>
      <c r="M470" t="n">
        <v>0</v>
      </c>
      <c r="N470" t="n">
        <v>0</v>
      </c>
      <c r="O470" t="n">
        <v>0</v>
      </c>
      <c r="P470" t="n">
        <v>0</v>
      </c>
      <c r="Q470" t="n">
        <v>0</v>
      </c>
      <c r="R470" t="n">
        <v>0</v>
      </c>
      <c r="S470" t="n">
        <v>0</v>
      </c>
      <c r="T470" t="n">
        <v>0</v>
      </c>
      <c r="U470" s="2" t="inlineStr"/>
    </row>
    <row r="471" ht="15" customHeight="1">
      <c r="A471" t="inlineStr">
        <is>
          <t>A 16217-2026</t>
        </is>
      </c>
      <c r="B471" t="inlineStr">
        <is>
          <t>avverkningsanmälan</t>
        </is>
      </c>
      <c r="C471" t="inlineStr">
        <is>
          <t>Föryngringsavverkning</t>
        </is>
      </c>
      <c r="D471" s="1" t="n">
        <v>46111</v>
      </c>
      <c r="E471" s="1" t="n">
        <v>46216</v>
      </c>
      <c r="F471" t="inlineStr">
        <is>
          <t>UPPSALA LÄN</t>
        </is>
      </c>
      <c r="G471" t="inlineStr">
        <is>
          <t>TIERP</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20860-2024</t>
        </is>
      </c>
      <c r="B472" t="inlineStr">
        <is>
          <t>avverkningsanmälan</t>
        </is>
      </c>
      <c r="C472" t="inlineStr">
        <is>
          <t>Föryngringsavverkning</t>
        </is>
      </c>
      <c r="D472" s="1" t="n">
        <v>45439</v>
      </c>
      <c r="E472" s="1" t="n">
        <v>46216</v>
      </c>
      <c r="F472" t="inlineStr">
        <is>
          <t>UPPSALA LÄN</t>
        </is>
      </c>
      <c r="G472" t="inlineStr">
        <is>
          <t>TIERP</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58252-2024</t>
        </is>
      </c>
      <c r="B473" t="inlineStr">
        <is>
          <t>avverkningsanmälan</t>
        </is>
      </c>
      <c r="C473" t="inlineStr">
        <is>
          <t>Föryngringsavverkning</t>
        </is>
      </c>
      <c r="D473" s="1" t="n">
        <v>45632</v>
      </c>
      <c r="E473" s="1" t="n">
        <v>46216</v>
      </c>
      <c r="F473" t="inlineStr">
        <is>
          <t>UPPSALA LÄN</t>
        </is>
      </c>
      <c r="G473" t="inlineStr">
        <is>
          <t>TIERP</t>
        </is>
      </c>
      <c r="I473" t="n">
        <v>3.2</v>
      </c>
      <c r="J473" t="n">
        <v>0</v>
      </c>
      <c r="K473" t="n">
        <v>0</v>
      </c>
      <c r="L473" t="n">
        <v>0</v>
      </c>
      <c r="M473" t="n">
        <v>0</v>
      </c>
      <c r="N473" t="n">
        <v>0</v>
      </c>
      <c r="O473" t="n">
        <v>0</v>
      </c>
      <c r="P473" t="n">
        <v>0</v>
      </c>
      <c r="Q473" t="n">
        <v>0</v>
      </c>
      <c r="R473" t="n">
        <v>0</v>
      </c>
      <c r="S473" t="n">
        <v>0</v>
      </c>
      <c r="T473" t="n">
        <v>0</v>
      </c>
      <c r="U473" s="2" t="inlineStr"/>
    </row>
    <row r="474" ht="15" customHeight="1">
      <c r="A474" t="inlineStr">
        <is>
          <t>A 59961-2023</t>
        </is>
      </c>
      <c r="B474" t="inlineStr">
        <is>
          <t>avverkningsanmälan</t>
        </is>
      </c>
      <c r="C474" t="inlineStr">
        <is>
          <t>Föryngringsavverkning</t>
        </is>
      </c>
      <c r="D474" s="1" t="n">
        <v>45257</v>
      </c>
      <c r="E474" s="1" t="n">
        <v>46216</v>
      </c>
      <c r="F474" t="inlineStr">
        <is>
          <t>UPPSALA LÄN</t>
        </is>
      </c>
      <c r="G474" t="inlineStr">
        <is>
          <t>TIERP</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55711-2023</t>
        </is>
      </c>
      <c r="B475" t="inlineStr">
        <is>
          <t>avverkningsanmälan</t>
        </is>
      </c>
      <c r="C475" t="inlineStr">
        <is>
          <t>Föryngringsavverkning</t>
        </is>
      </c>
      <c r="D475" s="1" t="n">
        <v>45239</v>
      </c>
      <c r="E475" s="1" t="n">
        <v>46216</v>
      </c>
      <c r="F475" t="inlineStr">
        <is>
          <t>UPPSALA LÄN</t>
        </is>
      </c>
      <c r="G475" t="inlineStr">
        <is>
          <t>TIERP</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26404-2024</t>
        </is>
      </c>
      <c r="B476" t="inlineStr">
        <is>
          <t>avverkningsanmälan</t>
        </is>
      </c>
      <c r="C476" t="inlineStr">
        <is>
          <t>Föryngringsavverkning</t>
        </is>
      </c>
      <c r="D476" s="1" t="n">
        <v>45469</v>
      </c>
      <c r="E476" s="1" t="n">
        <v>46216</v>
      </c>
      <c r="F476" t="inlineStr">
        <is>
          <t>UPPSALA LÄN</t>
        </is>
      </c>
      <c r="G476" t="inlineStr">
        <is>
          <t>TIERP</t>
        </is>
      </c>
      <c r="I476" t="n">
        <v>3.4</v>
      </c>
      <c r="J476" t="n">
        <v>0</v>
      </c>
      <c r="K476" t="n">
        <v>0</v>
      </c>
      <c r="L476" t="n">
        <v>0</v>
      </c>
      <c r="M476" t="n">
        <v>0</v>
      </c>
      <c r="N476" t="n">
        <v>0</v>
      </c>
      <c r="O476" t="n">
        <v>0</v>
      </c>
      <c r="P476" t="n">
        <v>0</v>
      </c>
      <c r="Q476" t="n">
        <v>0</v>
      </c>
      <c r="R476" t="n">
        <v>0</v>
      </c>
      <c r="S476" t="n">
        <v>0</v>
      </c>
      <c r="T476" t="n">
        <v>0</v>
      </c>
      <c r="U476" s="2" t="inlineStr"/>
    </row>
    <row r="477" ht="15" customHeight="1">
      <c r="A477" t="inlineStr">
        <is>
          <t>A 33307-2023</t>
        </is>
      </c>
      <c r="B477" t="inlineStr">
        <is>
          <t>avverkningsanmälan</t>
        </is>
      </c>
      <c r="C477" t="inlineStr">
        <is>
          <t>Föryngringsavverkning</t>
        </is>
      </c>
      <c r="D477" s="1" t="n">
        <v>45127</v>
      </c>
      <c r="E477" s="1" t="n">
        <v>46216</v>
      </c>
      <c r="F477" t="inlineStr">
        <is>
          <t>UPPSALA LÄN</t>
        </is>
      </c>
      <c r="G477" t="inlineStr">
        <is>
          <t>TIERP</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17354-2026</t>
        </is>
      </c>
      <c r="B478" t="inlineStr">
        <is>
          <t>avverkningsanmälan</t>
        </is>
      </c>
      <c r="C478" t="inlineStr">
        <is>
          <t>Föryngringsavverkning</t>
        </is>
      </c>
      <c r="D478" s="1" t="n">
        <v>46119</v>
      </c>
      <c r="E478" s="1" t="n">
        <v>46216</v>
      </c>
      <c r="F478" t="inlineStr">
        <is>
          <t>UPPSALA LÄN</t>
        </is>
      </c>
      <c r="G478" t="inlineStr">
        <is>
          <t>TIERP</t>
        </is>
      </c>
      <c r="H478" t="inlineStr">
        <is>
          <t>Bergvik skog öst AB</t>
        </is>
      </c>
      <c r="I478" t="n">
        <v>14.7</v>
      </c>
      <c r="J478" t="n">
        <v>0</v>
      </c>
      <c r="K478" t="n">
        <v>0</v>
      </c>
      <c r="L478" t="n">
        <v>0</v>
      </c>
      <c r="M478" t="n">
        <v>0</v>
      </c>
      <c r="N478" t="n">
        <v>0</v>
      </c>
      <c r="O478" t="n">
        <v>0</v>
      </c>
      <c r="P478" t="n">
        <v>0</v>
      </c>
      <c r="Q478" t="n">
        <v>0</v>
      </c>
      <c r="R478" t="n">
        <v>0</v>
      </c>
      <c r="S478" t="n">
        <v>0</v>
      </c>
      <c r="T478" t="n">
        <v>0</v>
      </c>
      <c r="U478" s="2" t="inlineStr"/>
    </row>
    <row r="479" ht="15" customHeight="1">
      <c r="A479" t="inlineStr">
        <is>
          <t>A 15662-2025</t>
        </is>
      </c>
      <c r="B479" t="inlineStr">
        <is>
          <t>avverkningsanmälan</t>
        </is>
      </c>
      <c r="C479" t="inlineStr">
        <is>
          <t>Föryngringsavverkning</t>
        </is>
      </c>
      <c r="D479" s="1" t="n">
        <v>45748</v>
      </c>
      <c r="E479" s="1" t="n">
        <v>46216</v>
      </c>
      <c r="F479" t="inlineStr">
        <is>
          <t>UPPSALA LÄN</t>
        </is>
      </c>
      <c r="G479" t="inlineStr">
        <is>
          <t>TIERP</t>
        </is>
      </c>
      <c r="H479" t="inlineStr">
        <is>
          <t>Kyrkan</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24341-2022</t>
        </is>
      </c>
      <c r="B480" t="inlineStr">
        <is>
          <t>avverkningsanmälan</t>
        </is>
      </c>
      <c r="C480" t="inlineStr">
        <is>
          <t>Föryngringsavverkning</t>
        </is>
      </c>
      <c r="D480" s="1" t="n">
        <v>44726</v>
      </c>
      <c r="E480" s="1" t="n">
        <v>46216</v>
      </c>
      <c r="F480" t="inlineStr">
        <is>
          <t>UPPSALA LÄN</t>
        </is>
      </c>
      <c r="G480" t="inlineStr">
        <is>
          <t>TIERP</t>
        </is>
      </c>
      <c r="H480" t="inlineStr">
        <is>
          <t>Bergvik skog väst AB</t>
        </is>
      </c>
      <c r="I480" t="n">
        <v>8.4</v>
      </c>
      <c r="J480" t="n">
        <v>0</v>
      </c>
      <c r="K480" t="n">
        <v>0</v>
      </c>
      <c r="L480" t="n">
        <v>0</v>
      </c>
      <c r="M480" t="n">
        <v>0</v>
      </c>
      <c r="N480" t="n">
        <v>0</v>
      </c>
      <c r="O480" t="n">
        <v>0</v>
      </c>
      <c r="P480" t="n">
        <v>0</v>
      </c>
      <c r="Q480" t="n">
        <v>0</v>
      </c>
      <c r="R480" t="n">
        <v>0</v>
      </c>
      <c r="S480" t="n">
        <v>0</v>
      </c>
      <c r="T480" t="n">
        <v>0</v>
      </c>
      <c r="U480" s="2" t="inlineStr"/>
    </row>
    <row r="481" ht="15" customHeight="1">
      <c r="A481" t="inlineStr">
        <is>
          <t>A 17677-2026</t>
        </is>
      </c>
      <c r="B481" t="inlineStr">
        <is>
          <t>avverkningsanmälan</t>
        </is>
      </c>
      <c r="C481" t="inlineStr">
        <is>
          <t>Föryngringsavverkning</t>
        </is>
      </c>
      <c r="D481" s="1" t="n">
        <v>46120</v>
      </c>
      <c r="E481" s="1" t="n">
        <v>46216</v>
      </c>
      <c r="F481" t="inlineStr">
        <is>
          <t>UPPSALA LÄN</t>
        </is>
      </c>
      <c r="G481" t="inlineStr">
        <is>
          <t>TIERP</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25476-2022</t>
        </is>
      </c>
      <c r="B482" t="inlineStr">
        <is>
          <t>avverkningsanmälan</t>
        </is>
      </c>
      <c r="C482" t="inlineStr">
        <is>
          <t>Föryngringsavverkning</t>
        </is>
      </c>
      <c r="D482" s="1" t="n">
        <v>44732</v>
      </c>
      <c r="E482" s="1" t="n">
        <v>46216</v>
      </c>
      <c r="F482" t="inlineStr">
        <is>
          <t>UPPSALA LÄN</t>
        </is>
      </c>
      <c r="G482" t="inlineStr">
        <is>
          <t>TIERP</t>
        </is>
      </c>
      <c r="H482" t="inlineStr">
        <is>
          <t>Bergvik skog öst AB</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17656-2026</t>
        </is>
      </c>
      <c r="B483" t="inlineStr">
        <is>
          <t>avverkningsanmälan</t>
        </is>
      </c>
      <c r="C483" t="inlineStr">
        <is>
          <t>Föryngringsavverkning</t>
        </is>
      </c>
      <c r="D483" s="1" t="n">
        <v>46120</v>
      </c>
      <c r="E483" s="1" t="n">
        <v>46216</v>
      </c>
      <c r="F483" t="inlineStr">
        <is>
          <t>UPPSALA LÄN</t>
        </is>
      </c>
      <c r="G483" t="inlineStr">
        <is>
          <t>TIERP</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7352-2023</t>
        </is>
      </c>
      <c r="B484" t="inlineStr">
        <is>
          <t>avverkningsanmälan</t>
        </is>
      </c>
      <c r="C484" t="inlineStr">
        <is>
          <t>Föryngringsavverkning</t>
        </is>
      </c>
      <c r="D484" s="1" t="n">
        <v>44966</v>
      </c>
      <c r="E484" s="1" t="n">
        <v>46216</v>
      </c>
      <c r="F484" t="inlineStr">
        <is>
          <t>UPPSALA LÄN</t>
        </is>
      </c>
      <c r="G484" t="inlineStr">
        <is>
          <t>TIERP</t>
        </is>
      </c>
      <c r="I484" t="n">
        <v>3.5</v>
      </c>
      <c r="J484" t="n">
        <v>0</v>
      </c>
      <c r="K484" t="n">
        <v>0</v>
      </c>
      <c r="L484" t="n">
        <v>0</v>
      </c>
      <c r="M484" t="n">
        <v>0</v>
      </c>
      <c r="N484" t="n">
        <v>0</v>
      </c>
      <c r="O484" t="n">
        <v>0</v>
      </c>
      <c r="P484" t="n">
        <v>0</v>
      </c>
      <c r="Q484" t="n">
        <v>0</v>
      </c>
      <c r="R484" t="n">
        <v>0</v>
      </c>
      <c r="S484" t="n">
        <v>0</v>
      </c>
      <c r="T484" t="n">
        <v>0</v>
      </c>
      <c r="U484" s="2" t="inlineStr"/>
    </row>
    <row r="485" ht="15" customHeight="1">
      <c r="A485" t="inlineStr">
        <is>
          <t>A 18386-2026</t>
        </is>
      </c>
      <c r="B485" t="inlineStr">
        <is>
          <t>avverkningsanmälan</t>
        </is>
      </c>
      <c r="C485" t="inlineStr">
        <is>
          <t>Föryngringsavverkning</t>
        </is>
      </c>
      <c r="D485" s="1" t="n">
        <v>46126</v>
      </c>
      <c r="E485" s="1" t="n">
        <v>46216</v>
      </c>
      <c r="F485" t="inlineStr">
        <is>
          <t>UPPSALA LÄN</t>
        </is>
      </c>
      <c r="G485" t="inlineStr">
        <is>
          <t>TIERP</t>
        </is>
      </c>
      <c r="I485" t="n">
        <v>3.5</v>
      </c>
      <c r="J485" t="n">
        <v>0</v>
      </c>
      <c r="K485" t="n">
        <v>0</v>
      </c>
      <c r="L485" t="n">
        <v>0</v>
      </c>
      <c r="M485" t="n">
        <v>0</v>
      </c>
      <c r="N485" t="n">
        <v>0</v>
      </c>
      <c r="O485" t="n">
        <v>0</v>
      </c>
      <c r="P485" t="n">
        <v>0</v>
      </c>
      <c r="Q485" t="n">
        <v>0</v>
      </c>
      <c r="R485" t="n">
        <v>0</v>
      </c>
      <c r="S485" t="n">
        <v>0</v>
      </c>
      <c r="T485" t="n">
        <v>0</v>
      </c>
      <c r="U485" s="2" t="inlineStr"/>
    </row>
    <row r="486" ht="15" customHeight="1">
      <c r="A486" t="inlineStr">
        <is>
          <t>A 60151-2022</t>
        </is>
      </c>
      <c r="B486" t="inlineStr">
        <is>
          <t>avverkningsanmälan</t>
        </is>
      </c>
      <c r="C486" t="inlineStr">
        <is>
          <t>Föryngringsavverkning</t>
        </is>
      </c>
      <c r="D486" s="1" t="n">
        <v>44909</v>
      </c>
      <c r="E486" s="1" t="n">
        <v>46216</v>
      </c>
      <c r="F486" t="inlineStr">
        <is>
          <t>UPPSALA LÄN</t>
        </is>
      </c>
      <c r="G486" t="inlineStr">
        <is>
          <t>TIERP</t>
        </is>
      </c>
      <c r="I486" t="n">
        <v>4.1</v>
      </c>
      <c r="J486" t="n">
        <v>0</v>
      </c>
      <c r="K486" t="n">
        <v>0</v>
      </c>
      <c r="L486" t="n">
        <v>0</v>
      </c>
      <c r="M486" t="n">
        <v>0</v>
      </c>
      <c r="N486" t="n">
        <v>0</v>
      </c>
      <c r="O486" t="n">
        <v>0</v>
      </c>
      <c r="P486" t="n">
        <v>0</v>
      </c>
      <c r="Q486" t="n">
        <v>0</v>
      </c>
      <c r="R486" t="n">
        <v>0</v>
      </c>
      <c r="S486" t="n">
        <v>0</v>
      </c>
      <c r="T486" t="n">
        <v>0</v>
      </c>
      <c r="U486" s="2" t="inlineStr"/>
    </row>
    <row r="487" ht="15" customHeight="1">
      <c r="A487" t="inlineStr">
        <is>
          <t>A 18547-2026</t>
        </is>
      </c>
      <c r="B487" t="inlineStr">
        <is>
          <t>avverkningsanmälan</t>
        </is>
      </c>
      <c r="C487" t="inlineStr">
        <is>
          <t>Föryngringsavverkning</t>
        </is>
      </c>
      <c r="D487" s="1" t="n">
        <v>46127</v>
      </c>
      <c r="E487" s="1" t="n">
        <v>46216</v>
      </c>
      <c r="F487" t="inlineStr">
        <is>
          <t>UPPSALA LÄN</t>
        </is>
      </c>
      <c r="G487" t="inlineStr">
        <is>
          <t>TIERP</t>
        </is>
      </c>
      <c r="H487" t="inlineStr">
        <is>
          <t>Bergvik skog öst AB</t>
        </is>
      </c>
      <c r="I487" t="n">
        <v>5.5</v>
      </c>
      <c r="J487" t="n">
        <v>0</v>
      </c>
      <c r="K487" t="n">
        <v>0</v>
      </c>
      <c r="L487" t="n">
        <v>0</v>
      </c>
      <c r="M487" t="n">
        <v>0</v>
      </c>
      <c r="N487" t="n">
        <v>0</v>
      </c>
      <c r="O487" t="n">
        <v>0</v>
      </c>
      <c r="P487" t="n">
        <v>0</v>
      </c>
      <c r="Q487" t="n">
        <v>0</v>
      </c>
      <c r="R487" t="n">
        <v>0</v>
      </c>
      <c r="S487" t="n">
        <v>0</v>
      </c>
      <c r="T487" t="n">
        <v>0</v>
      </c>
      <c r="U487" s="2" t="inlineStr"/>
    </row>
    <row r="488" ht="15" customHeight="1">
      <c r="A488" t="inlineStr">
        <is>
          <t>A 18534-2026</t>
        </is>
      </c>
      <c r="B488" t="inlineStr">
        <is>
          <t>avverkningsanmälan</t>
        </is>
      </c>
      <c r="C488" t="inlineStr">
        <is>
          <t>Föryngringsavverkning</t>
        </is>
      </c>
      <c r="D488" s="1" t="n">
        <v>46127</v>
      </c>
      <c r="E488" s="1" t="n">
        <v>46216</v>
      </c>
      <c r="F488" t="inlineStr">
        <is>
          <t>UPPSALA LÄN</t>
        </is>
      </c>
      <c r="G488" t="inlineStr">
        <is>
          <t>TIERP</t>
        </is>
      </c>
      <c r="H488" t="inlineStr">
        <is>
          <t>Bergvik skog öst AB</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18559-2026</t>
        </is>
      </c>
      <c r="B489" t="inlineStr">
        <is>
          <t>avverkningsanmälan</t>
        </is>
      </c>
      <c r="C489" t="inlineStr">
        <is>
          <t>Föryngringsavverkning</t>
        </is>
      </c>
      <c r="D489" s="1" t="n">
        <v>46127</v>
      </c>
      <c r="E489" s="1" t="n">
        <v>46216</v>
      </c>
      <c r="F489" t="inlineStr">
        <is>
          <t>UPPSALA LÄN</t>
        </is>
      </c>
      <c r="G489" t="inlineStr">
        <is>
          <t>TIERP</t>
        </is>
      </c>
      <c r="H489" t="inlineStr">
        <is>
          <t>Bergvik skog öst AB</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5289-2023</t>
        </is>
      </c>
      <c r="B490" t="inlineStr">
        <is>
          <t>avverkningsanmälan</t>
        </is>
      </c>
      <c r="C490" t="inlineStr">
        <is>
          <t>Föryngringsavverkning</t>
        </is>
      </c>
      <c r="D490" s="1" t="n">
        <v>44959</v>
      </c>
      <c r="E490" s="1" t="n">
        <v>46216</v>
      </c>
      <c r="F490" t="inlineStr">
        <is>
          <t>UPPSALA LÄN</t>
        </is>
      </c>
      <c r="G490" t="inlineStr">
        <is>
          <t>TIERP</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18498-2026</t>
        </is>
      </c>
      <c r="B491" t="inlineStr">
        <is>
          <t>avverkningsanmälan</t>
        </is>
      </c>
      <c r="C491" t="inlineStr">
        <is>
          <t>Föryngringsavverkning</t>
        </is>
      </c>
      <c r="D491" s="1" t="n">
        <v>46127</v>
      </c>
      <c r="E491" s="1" t="n">
        <v>46216</v>
      </c>
      <c r="F491" t="inlineStr">
        <is>
          <t>UPPSALA LÄN</t>
        </is>
      </c>
      <c r="G491" t="inlineStr">
        <is>
          <t>TIERP</t>
        </is>
      </c>
      <c r="H491" t="inlineStr">
        <is>
          <t>Bergvik skog öst AB</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18165-2026</t>
        </is>
      </c>
      <c r="B492" t="inlineStr">
        <is>
          <t>avverkningsanmälan</t>
        </is>
      </c>
      <c r="C492" t="inlineStr">
        <is>
          <t>Föryngringsavverkning</t>
        </is>
      </c>
      <c r="D492" s="1" t="n">
        <v>46125</v>
      </c>
      <c r="E492" s="1" t="n">
        <v>46216</v>
      </c>
      <c r="F492" t="inlineStr">
        <is>
          <t>UPPSALA LÄN</t>
        </is>
      </c>
      <c r="G492" t="inlineStr">
        <is>
          <t>TIERP</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47419-2022</t>
        </is>
      </c>
      <c r="B493" t="inlineStr">
        <is>
          <t>avverkningsanmälan</t>
        </is>
      </c>
      <c r="C493" t="inlineStr">
        <is>
          <t>Föryngringsavverkning</t>
        </is>
      </c>
      <c r="D493" s="1" t="n">
        <v>44853</v>
      </c>
      <c r="E493" s="1" t="n">
        <v>46216</v>
      </c>
      <c r="F493" t="inlineStr">
        <is>
          <t>UPPSALA LÄN</t>
        </is>
      </c>
      <c r="G493" t="inlineStr">
        <is>
          <t>TIERP</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58492-2023</t>
        </is>
      </c>
      <c r="B494" t="inlineStr">
        <is>
          <t>avverkningsanmälan</t>
        </is>
      </c>
      <c r="C494" t="inlineStr">
        <is>
          <t>Avverkning för annat ändamål</t>
        </is>
      </c>
      <c r="D494" s="1" t="n">
        <v>45251</v>
      </c>
      <c r="E494" s="1" t="n">
        <v>46216</v>
      </c>
      <c r="F494" t="inlineStr">
        <is>
          <t>UPPSALA LÄN</t>
        </is>
      </c>
      <c r="G494" t="inlineStr">
        <is>
          <t>TIERP</t>
        </is>
      </c>
      <c r="H494" t="inlineStr">
        <is>
          <t>Bergvik skog väst AB</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44775-2024</t>
        </is>
      </c>
      <c r="B495" t="inlineStr">
        <is>
          <t>avverkningsanmälan</t>
        </is>
      </c>
      <c r="C495" t="inlineStr">
        <is>
          <t>Föryngringsavverkning</t>
        </is>
      </c>
      <c r="D495" s="1" t="n">
        <v>45574</v>
      </c>
      <c r="E495" s="1" t="n">
        <v>46216</v>
      </c>
      <c r="F495" t="inlineStr">
        <is>
          <t>UPPSALA LÄN</t>
        </is>
      </c>
      <c r="G495" t="inlineStr">
        <is>
          <t>TIERP</t>
        </is>
      </c>
      <c r="H495" t="inlineStr">
        <is>
          <t>Bergvik skog öst AB</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2676-2024</t>
        </is>
      </c>
      <c r="B496" t="inlineStr">
        <is>
          <t>avverkningsanmälan</t>
        </is>
      </c>
      <c r="C496" t="inlineStr">
        <is>
          <t>Föryngringsavverkning</t>
        </is>
      </c>
      <c r="D496" s="1" t="n">
        <v>45314</v>
      </c>
      <c r="E496" s="1" t="n">
        <v>46216</v>
      </c>
      <c r="F496" t="inlineStr">
        <is>
          <t>UPPSALA LÄN</t>
        </is>
      </c>
      <c r="G496" t="inlineStr">
        <is>
          <t>TIERP</t>
        </is>
      </c>
      <c r="I496" t="n">
        <v>6.3</v>
      </c>
      <c r="J496" t="n">
        <v>0</v>
      </c>
      <c r="K496" t="n">
        <v>0</v>
      </c>
      <c r="L496" t="n">
        <v>0</v>
      </c>
      <c r="M496" t="n">
        <v>0</v>
      </c>
      <c r="N496" t="n">
        <v>0</v>
      </c>
      <c r="O496" t="n">
        <v>0</v>
      </c>
      <c r="P496" t="n">
        <v>0</v>
      </c>
      <c r="Q496" t="n">
        <v>0</v>
      </c>
      <c r="R496" t="n">
        <v>0</v>
      </c>
      <c r="S496" t="n">
        <v>0</v>
      </c>
      <c r="T496" t="n">
        <v>0</v>
      </c>
      <c r="U496" s="2" t="inlineStr"/>
    </row>
    <row r="497" ht="15" customHeight="1">
      <c r="A497" t="inlineStr">
        <is>
          <t>A 40793-2021</t>
        </is>
      </c>
      <c r="B497" t="inlineStr">
        <is>
          <t>avverkningsanmälan</t>
        </is>
      </c>
      <c r="C497" t="inlineStr">
        <is>
          <t>Föryngringsavverkning</t>
        </is>
      </c>
      <c r="D497" s="1" t="n">
        <v>44421</v>
      </c>
      <c r="E497" s="1" t="n">
        <v>46216</v>
      </c>
      <c r="F497" t="inlineStr">
        <is>
          <t>UPPSALA LÄN</t>
        </is>
      </c>
      <c r="G497" t="inlineStr">
        <is>
          <t>TIERP</t>
        </is>
      </c>
      <c r="H497" t="inlineStr">
        <is>
          <t>Kyrkan</t>
        </is>
      </c>
      <c r="I497" t="n">
        <v>3.4</v>
      </c>
      <c r="J497" t="n">
        <v>0</v>
      </c>
      <c r="K497" t="n">
        <v>0</v>
      </c>
      <c r="L497" t="n">
        <v>0</v>
      </c>
      <c r="M497" t="n">
        <v>0</v>
      </c>
      <c r="N497" t="n">
        <v>0</v>
      </c>
      <c r="O497" t="n">
        <v>0</v>
      </c>
      <c r="P497" t="n">
        <v>0</v>
      </c>
      <c r="Q497" t="n">
        <v>0</v>
      </c>
      <c r="R497" t="n">
        <v>0</v>
      </c>
      <c r="S497" t="n">
        <v>0</v>
      </c>
      <c r="T497" t="n">
        <v>0</v>
      </c>
      <c r="U497" s="2" t="inlineStr"/>
    </row>
    <row r="498" ht="15" customHeight="1">
      <c r="A498" t="inlineStr">
        <is>
          <t>A 25212-2026</t>
        </is>
      </c>
      <c r="B498" t="inlineStr">
        <is>
          <t>avverkningsanmälan</t>
        </is>
      </c>
      <c r="C498" t="inlineStr">
        <is>
          <t>Föryngringsavverkning</t>
        </is>
      </c>
      <c r="D498" s="1" t="n">
        <v>46175</v>
      </c>
      <c r="E498" s="1" t="n">
        <v>46216</v>
      </c>
      <c r="F498" t="inlineStr">
        <is>
          <t>UPPSALA LÄN</t>
        </is>
      </c>
      <c r="G498" t="inlineStr">
        <is>
          <t>TIERP</t>
        </is>
      </c>
      <c r="H498" t="inlineStr">
        <is>
          <t>Bergvik skog väst AB</t>
        </is>
      </c>
      <c r="I498" t="n">
        <v>32.5</v>
      </c>
      <c r="J498" t="n">
        <v>0</v>
      </c>
      <c r="K498" t="n">
        <v>0</v>
      </c>
      <c r="L498" t="n">
        <v>0</v>
      </c>
      <c r="M498" t="n">
        <v>0</v>
      </c>
      <c r="N498" t="n">
        <v>0</v>
      </c>
      <c r="O498" t="n">
        <v>0</v>
      </c>
      <c r="P498" t="n">
        <v>0</v>
      </c>
      <c r="Q498" t="n">
        <v>0</v>
      </c>
      <c r="R498" t="n">
        <v>0</v>
      </c>
      <c r="S498" t="n">
        <v>0</v>
      </c>
      <c r="T498" t="n">
        <v>0</v>
      </c>
      <c r="U498" s="2" t="inlineStr"/>
    </row>
    <row r="499" ht="15" customHeight="1">
      <c r="A499" t="inlineStr">
        <is>
          <t>A 61640-2023</t>
        </is>
      </c>
      <c r="B499" t="inlineStr">
        <is>
          <t>avverkningsanmälan</t>
        </is>
      </c>
      <c r="C499" t="inlineStr">
        <is>
          <t>Föryngringsavverkning</t>
        </is>
      </c>
      <c r="D499" s="1" t="n">
        <v>45265</v>
      </c>
      <c r="E499" s="1" t="n">
        <v>46216</v>
      </c>
      <c r="F499" t="inlineStr">
        <is>
          <t>UPPSALA LÄN</t>
        </is>
      </c>
      <c r="G499" t="inlineStr">
        <is>
          <t>TIERP</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19697-2026</t>
        </is>
      </c>
      <c r="B500" t="inlineStr">
        <is>
          <t>avverkningsanmälan</t>
        </is>
      </c>
      <c r="C500" t="inlineStr">
        <is>
          <t>Föryngringsavverkning</t>
        </is>
      </c>
      <c r="D500" s="1" t="n">
        <v>46134</v>
      </c>
      <c r="E500" s="1" t="n">
        <v>46216</v>
      </c>
      <c r="F500" t="inlineStr">
        <is>
          <t>UPPSALA LÄN</t>
        </is>
      </c>
      <c r="G500" t="inlineStr">
        <is>
          <t>TIERP</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19698-2026</t>
        </is>
      </c>
      <c r="B501" t="inlineStr">
        <is>
          <t>avverkningsanmälan</t>
        </is>
      </c>
      <c r="C501" t="inlineStr">
        <is>
          <t>Föryngringsavverkning</t>
        </is>
      </c>
      <c r="D501" s="1" t="n">
        <v>46134</v>
      </c>
      <c r="E501" s="1" t="n">
        <v>46216</v>
      </c>
      <c r="F501" t="inlineStr">
        <is>
          <t>UPPSALA LÄN</t>
        </is>
      </c>
      <c r="G501" t="inlineStr">
        <is>
          <t>TIERP</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25634-2026</t>
        </is>
      </c>
      <c r="B502" t="inlineStr">
        <is>
          <t>avverkningsanmälan</t>
        </is>
      </c>
      <c r="C502" t="inlineStr">
        <is>
          <t>Föryngringsavverkning</t>
        </is>
      </c>
      <c r="D502" s="1" t="n">
        <v>46177</v>
      </c>
      <c r="E502" s="1" t="n">
        <v>46216</v>
      </c>
      <c r="F502" t="inlineStr">
        <is>
          <t>UPPSALA LÄN</t>
        </is>
      </c>
      <c r="G502" t="inlineStr">
        <is>
          <t>TIERP</t>
        </is>
      </c>
      <c r="I502" t="n">
        <v>6</v>
      </c>
      <c r="J502" t="n">
        <v>0</v>
      </c>
      <c r="K502" t="n">
        <v>0</v>
      </c>
      <c r="L502" t="n">
        <v>0</v>
      </c>
      <c r="M502" t="n">
        <v>0</v>
      </c>
      <c r="N502" t="n">
        <v>0</v>
      </c>
      <c r="O502" t="n">
        <v>0</v>
      </c>
      <c r="P502" t="n">
        <v>0</v>
      </c>
      <c r="Q502" t="n">
        <v>0</v>
      </c>
      <c r="R502" t="n">
        <v>0</v>
      </c>
      <c r="S502" t="n">
        <v>0</v>
      </c>
      <c r="T502" t="n">
        <v>0</v>
      </c>
      <c r="U502" s="2" t="inlineStr"/>
    </row>
    <row r="503" ht="15" customHeight="1">
      <c r="A503" t="inlineStr">
        <is>
          <t>A 19678-2026</t>
        </is>
      </c>
      <c r="B503" t="inlineStr">
        <is>
          <t>avverkningsanmälan</t>
        </is>
      </c>
      <c r="C503" t="inlineStr">
        <is>
          <t>Föryngringsavverkning</t>
        </is>
      </c>
      <c r="D503" s="1" t="n">
        <v>46134</v>
      </c>
      <c r="E503" s="1" t="n">
        <v>46216</v>
      </c>
      <c r="F503" t="inlineStr">
        <is>
          <t>UPPSALA LÄN</t>
        </is>
      </c>
      <c r="G503" t="inlineStr">
        <is>
          <t>TIERP</t>
        </is>
      </c>
      <c r="H503" t="inlineStr">
        <is>
          <t>Bergvik skog öst AB</t>
        </is>
      </c>
      <c r="I503" t="n">
        <v>7.6</v>
      </c>
      <c r="J503" t="n">
        <v>0</v>
      </c>
      <c r="K503" t="n">
        <v>0</v>
      </c>
      <c r="L503" t="n">
        <v>0</v>
      </c>
      <c r="M503" t="n">
        <v>0</v>
      </c>
      <c r="N503" t="n">
        <v>0</v>
      </c>
      <c r="O503" t="n">
        <v>0</v>
      </c>
      <c r="P503" t="n">
        <v>0</v>
      </c>
      <c r="Q503" t="n">
        <v>0</v>
      </c>
      <c r="R503" t="n">
        <v>0</v>
      </c>
      <c r="S503" t="n">
        <v>0</v>
      </c>
      <c r="T503" t="n">
        <v>0</v>
      </c>
      <c r="U503" s="2" t="inlineStr"/>
    </row>
    <row r="504" ht="15" customHeight="1">
      <c r="A504" t="inlineStr">
        <is>
          <t>A 19696-2026</t>
        </is>
      </c>
      <c r="B504" t="inlineStr">
        <is>
          <t>avverkningsanmälan</t>
        </is>
      </c>
      <c r="C504" t="inlineStr">
        <is>
          <t>Föryngringsavverkning</t>
        </is>
      </c>
      <c r="D504" s="1" t="n">
        <v>46134</v>
      </c>
      <c r="E504" s="1" t="n">
        <v>46216</v>
      </c>
      <c r="F504" t="inlineStr">
        <is>
          <t>UPPSALA LÄN</t>
        </is>
      </c>
      <c r="G504" t="inlineStr">
        <is>
          <t>TIERP</t>
        </is>
      </c>
      <c r="I504" t="n">
        <v>0.2</v>
      </c>
      <c r="J504" t="n">
        <v>0</v>
      </c>
      <c r="K504" t="n">
        <v>0</v>
      </c>
      <c r="L504" t="n">
        <v>0</v>
      </c>
      <c r="M504" t="n">
        <v>0</v>
      </c>
      <c r="N504" t="n">
        <v>0</v>
      </c>
      <c r="O504" t="n">
        <v>0</v>
      </c>
      <c r="P504" t="n">
        <v>0</v>
      </c>
      <c r="Q504" t="n">
        <v>0</v>
      </c>
      <c r="R504" t="n">
        <v>0</v>
      </c>
      <c r="S504" t="n">
        <v>0</v>
      </c>
      <c r="T504" t="n">
        <v>0</v>
      </c>
      <c r="U504" s="2" t="inlineStr"/>
    </row>
    <row r="505" ht="15" customHeight="1">
      <c r="A505" t="inlineStr">
        <is>
          <t>A 25433-2026</t>
        </is>
      </c>
      <c r="B505" t="inlineStr">
        <is>
          <t>avverkningsanmälan</t>
        </is>
      </c>
      <c r="C505" t="inlineStr">
        <is>
          <t>Föryngringsavverkning</t>
        </is>
      </c>
      <c r="D505" s="1" t="n">
        <v>46177</v>
      </c>
      <c r="E505" s="1" t="n">
        <v>46216</v>
      </c>
      <c r="F505" t="inlineStr">
        <is>
          <t>UPPSALA LÄN</t>
        </is>
      </c>
      <c r="G505" t="inlineStr">
        <is>
          <t>TIERP</t>
        </is>
      </c>
      <c r="H505" t="inlineStr">
        <is>
          <t>Bergvik skog öst AB</t>
        </is>
      </c>
      <c r="I505" t="n">
        <v>4</v>
      </c>
      <c r="J505" t="n">
        <v>0</v>
      </c>
      <c r="K505" t="n">
        <v>0</v>
      </c>
      <c r="L505" t="n">
        <v>0</v>
      </c>
      <c r="M505" t="n">
        <v>0</v>
      </c>
      <c r="N505" t="n">
        <v>0</v>
      </c>
      <c r="O505" t="n">
        <v>0</v>
      </c>
      <c r="P505" t="n">
        <v>0</v>
      </c>
      <c r="Q505" t="n">
        <v>0</v>
      </c>
      <c r="R505" t="n">
        <v>0</v>
      </c>
      <c r="S505" t="n">
        <v>0</v>
      </c>
      <c r="T505" t="n">
        <v>0</v>
      </c>
      <c r="U505" s="2" t="inlineStr"/>
    </row>
    <row r="506" ht="15" customHeight="1">
      <c r="A506" t="inlineStr">
        <is>
          <t>A 49061-2021</t>
        </is>
      </c>
      <c r="B506" t="inlineStr">
        <is>
          <t>avverkningsanmälan</t>
        </is>
      </c>
      <c r="C506" t="inlineStr">
        <is>
          <t>Föryngringsavverkning</t>
        </is>
      </c>
      <c r="D506" s="1" t="n">
        <v>44453</v>
      </c>
      <c r="E506" s="1" t="n">
        <v>46216</v>
      </c>
      <c r="F506" t="inlineStr">
        <is>
          <t>UPPSALA LÄN</t>
        </is>
      </c>
      <c r="G506" t="inlineStr">
        <is>
          <t>TIERP</t>
        </is>
      </c>
      <c r="I506" t="n">
        <v>2.6</v>
      </c>
      <c r="J506" t="n">
        <v>0</v>
      </c>
      <c r="K506" t="n">
        <v>0</v>
      </c>
      <c r="L506" t="n">
        <v>0</v>
      </c>
      <c r="M506" t="n">
        <v>0</v>
      </c>
      <c r="N506" t="n">
        <v>0</v>
      </c>
      <c r="O506" t="n">
        <v>0</v>
      </c>
      <c r="P506" t="n">
        <v>0</v>
      </c>
      <c r="Q506" t="n">
        <v>0</v>
      </c>
      <c r="R506" t="n">
        <v>0</v>
      </c>
      <c r="S506" t="n">
        <v>0</v>
      </c>
      <c r="T506" t="n">
        <v>0</v>
      </c>
      <c r="U506" s="2" t="inlineStr"/>
    </row>
    <row r="507" ht="15" customHeight="1">
      <c r="A507" t="inlineStr">
        <is>
          <t>A 64128-2023</t>
        </is>
      </c>
      <c r="B507" t="inlineStr">
        <is>
          <t>avverkningsanmälan</t>
        </is>
      </c>
      <c r="C507" t="inlineStr">
        <is>
          <t>Föryngringsavverkning</t>
        </is>
      </c>
      <c r="D507" s="1" t="n">
        <v>45279</v>
      </c>
      <c r="E507" s="1" t="n">
        <v>46216</v>
      </c>
      <c r="F507" t="inlineStr">
        <is>
          <t>UPPSALA LÄN</t>
        </is>
      </c>
      <c r="G507" t="inlineStr">
        <is>
          <t>TIERP</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19665-2026</t>
        </is>
      </c>
      <c r="B508" t="inlineStr">
        <is>
          <t>avverkningsanmälan</t>
        </is>
      </c>
      <c r="C508" t="inlineStr">
        <is>
          <t>Föryngringsavverkning</t>
        </is>
      </c>
      <c r="D508" s="1" t="n">
        <v>46134</v>
      </c>
      <c r="E508" s="1" t="n">
        <v>46216</v>
      </c>
      <c r="F508" t="inlineStr">
        <is>
          <t>UPPSALA LÄN</t>
        </is>
      </c>
      <c r="G508" t="inlineStr">
        <is>
          <t>TIERP</t>
        </is>
      </c>
      <c r="H508" t="inlineStr">
        <is>
          <t>Bergvik skog öst AB</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25267-2026</t>
        </is>
      </c>
      <c r="B509" t="inlineStr">
        <is>
          <t>avverkningsanmälan</t>
        </is>
      </c>
      <c r="C509" t="inlineStr">
        <is>
          <t>Föryngringsavverkning</t>
        </is>
      </c>
      <c r="D509" s="1" t="n">
        <v>46176</v>
      </c>
      <c r="E509" s="1" t="n">
        <v>46216</v>
      </c>
      <c r="F509" t="inlineStr">
        <is>
          <t>UPPSALA LÄN</t>
        </is>
      </c>
      <c r="G509" t="inlineStr">
        <is>
          <t>TIERP</t>
        </is>
      </c>
      <c r="I509" t="n">
        <v>3.2</v>
      </c>
      <c r="J509" t="n">
        <v>0</v>
      </c>
      <c r="K509" t="n">
        <v>0</v>
      </c>
      <c r="L509" t="n">
        <v>0</v>
      </c>
      <c r="M509" t="n">
        <v>0</v>
      </c>
      <c r="N509" t="n">
        <v>0</v>
      </c>
      <c r="O509" t="n">
        <v>0</v>
      </c>
      <c r="P509" t="n">
        <v>0</v>
      </c>
      <c r="Q509" t="n">
        <v>0</v>
      </c>
      <c r="R509" t="n">
        <v>0</v>
      </c>
      <c r="S509" t="n">
        <v>0</v>
      </c>
      <c r="T509" t="n">
        <v>0</v>
      </c>
      <c r="U509" s="2" t="inlineStr"/>
    </row>
    <row r="510" ht="15" customHeight="1">
      <c r="A510" t="inlineStr">
        <is>
          <t>A 25627-2026</t>
        </is>
      </c>
      <c r="B510" t="inlineStr">
        <is>
          <t>avverkningsanmälan</t>
        </is>
      </c>
      <c r="C510" t="inlineStr">
        <is>
          <t>Föryngringsavverkning</t>
        </is>
      </c>
      <c r="D510" s="1" t="n">
        <v>46177</v>
      </c>
      <c r="E510" s="1" t="n">
        <v>46216</v>
      </c>
      <c r="F510" t="inlineStr">
        <is>
          <t>UPPSALA LÄN</t>
        </is>
      </c>
      <c r="G510" t="inlineStr">
        <is>
          <t>TIERP</t>
        </is>
      </c>
      <c r="I510" t="n">
        <v>3.8</v>
      </c>
      <c r="J510" t="n">
        <v>0</v>
      </c>
      <c r="K510" t="n">
        <v>0</v>
      </c>
      <c r="L510" t="n">
        <v>0</v>
      </c>
      <c r="M510" t="n">
        <v>0</v>
      </c>
      <c r="N510" t="n">
        <v>0</v>
      </c>
      <c r="O510" t="n">
        <v>0</v>
      </c>
      <c r="P510" t="n">
        <v>0</v>
      </c>
      <c r="Q510" t="n">
        <v>0</v>
      </c>
      <c r="R510" t="n">
        <v>0</v>
      </c>
      <c r="S510" t="n">
        <v>0</v>
      </c>
      <c r="T510" t="n">
        <v>0</v>
      </c>
      <c r="U510" s="2" t="inlineStr"/>
    </row>
    <row r="511" ht="15" customHeight="1">
      <c r="A511" t="inlineStr">
        <is>
          <t>A 19699-2026</t>
        </is>
      </c>
      <c r="B511" t="inlineStr">
        <is>
          <t>avverkningsanmälan</t>
        </is>
      </c>
      <c r="C511" t="inlineStr">
        <is>
          <t>Föryngringsavverkning</t>
        </is>
      </c>
      <c r="D511" s="1" t="n">
        <v>46134</v>
      </c>
      <c r="E511" s="1" t="n">
        <v>46216</v>
      </c>
      <c r="F511" t="inlineStr">
        <is>
          <t>UPPSALA LÄN</t>
        </is>
      </c>
      <c r="G511" t="inlineStr">
        <is>
          <t>TIERP</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16494-2025</t>
        </is>
      </c>
      <c r="B512" t="inlineStr">
        <is>
          <t>avverkningsanmälan</t>
        </is>
      </c>
      <c r="C512" t="inlineStr">
        <is>
          <t>Föryngringsavverkning</t>
        </is>
      </c>
      <c r="D512" s="1" t="n">
        <v>45751</v>
      </c>
      <c r="E512" s="1" t="n">
        <v>46216</v>
      </c>
      <c r="F512" t="inlineStr">
        <is>
          <t>UPPSALA LÄN</t>
        </is>
      </c>
      <c r="G512" t="inlineStr">
        <is>
          <t>TIERP</t>
        </is>
      </c>
      <c r="H512" t="inlineStr">
        <is>
          <t>Bergvik skog väst AB</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26040-2025</t>
        </is>
      </c>
      <c r="B513" t="inlineStr">
        <is>
          <t>avverkningsanmälan</t>
        </is>
      </c>
      <c r="C513" t="inlineStr">
        <is>
          <t>Föryngringsavverkning</t>
        </is>
      </c>
      <c r="D513" s="1" t="n">
        <v>45804</v>
      </c>
      <c r="E513" s="1" t="n">
        <v>46216</v>
      </c>
      <c r="F513" t="inlineStr">
        <is>
          <t>UPPSALA LÄN</t>
        </is>
      </c>
      <c r="G513" t="inlineStr">
        <is>
          <t>TIERP</t>
        </is>
      </c>
      <c r="H513" t="inlineStr">
        <is>
          <t>Bergvik skog öst AB</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17944-2023</t>
        </is>
      </c>
      <c r="B514" t="inlineStr">
        <is>
          <t>avverkningsanmälan</t>
        </is>
      </c>
      <c r="C514" t="inlineStr">
        <is>
          <t>Föryngringsavverkning</t>
        </is>
      </c>
      <c r="D514" s="1" t="n">
        <v>45040</v>
      </c>
      <c r="E514" s="1" t="n">
        <v>46216</v>
      </c>
      <c r="F514" t="inlineStr">
        <is>
          <t>UPPSALA LÄN</t>
        </is>
      </c>
      <c r="G514" t="inlineStr">
        <is>
          <t>TIERP</t>
        </is>
      </c>
      <c r="H514" t="inlineStr">
        <is>
          <t>Bergvik skog väst AB</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9572-2026</t>
        </is>
      </c>
      <c r="B515" t="inlineStr">
        <is>
          <t>avverkningsanmälan</t>
        </is>
      </c>
      <c r="C515" t="inlineStr">
        <is>
          <t>Föryngringsavverkning</t>
        </is>
      </c>
      <c r="D515" s="1" t="n">
        <v>46071</v>
      </c>
      <c r="E515" s="1" t="n">
        <v>46216</v>
      </c>
      <c r="F515" t="inlineStr">
        <is>
          <t>UPPSALA LÄN</t>
        </is>
      </c>
      <c r="G515" t="inlineStr">
        <is>
          <t>TIERP</t>
        </is>
      </c>
      <c r="H515" t="inlineStr">
        <is>
          <t>Bergvik skog öst AB</t>
        </is>
      </c>
      <c r="I515" t="n">
        <v>8.800000000000001</v>
      </c>
      <c r="J515" t="n">
        <v>0</v>
      </c>
      <c r="K515" t="n">
        <v>0</v>
      </c>
      <c r="L515" t="n">
        <v>0</v>
      </c>
      <c r="M515" t="n">
        <v>0</v>
      </c>
      <c r="N515" t="n">
        <v>0</v>
      </c>
      <c r="O515" t="n">
        <v>0</v>
      </c>
      <c r="P515" t="n">
        <v>0</v>
      </c>
      <c r="Q515" t="n">
        <v>0</v>
      </c>
      <c r="R515" t="n">
        <v>0</v>
      </c>
      <c r="S515" t="n">
        <v>0</v>
      </c>
      <c r="T515" t="n">
        <v>0</v>
      </c>
      <c r="U515" s="2" t="inlineStr"/>
    </row>
    <row r="516" ht="15" customHeight="1">
      <c r="A516" t="inlineStr">
        <is>
          <t>A 26051-2026</t>
        </is>
      </c>
      <c r="B516" t="inlineStr">
        <is>
          <t>avverkningsanmälan</t>
        </is>
      </c>
      <c r="C516" t="inlineStr">
        <is>
          <t>Föryngringsavverkning</t>
        </is>
      </c>
      <c r="D516" s="1" t="n">
        <v>46181</v>
      </c>
      <c r="E516" s="1" t="n">
        <v>46216</v>
      </c>
      <c r="F516" t="inlineStr">
        <is>
          <t>UPPSALA LÄN</t>
        </is>
      </c>
      <c r="G516" t="inlineStr">
        <is>
          <t>TIERP</t>
        </is>
      </c>
      <c r="H516" t="inlineStr">
        <is>
          <t>Bergvik skog öst AB</t>
        </is>
      </c>
      <c r="I516" t="n">
        <v>9.199999999999999</v>
      </c>
      <c r="J516" t="n">
        <v>0</v>
      </c>
      <c r="K516" t="n">
        <v>0</v>
      </c>
      <c r="L516" t="n">
        <v>0</v>
      </c>
      <c r="M516" t="n">
        <v>0</v>
      </c>
      <c r="N516" t="n">
        <v>0</v>
      </c>
      <c r="O516" t="n">
        <v>0</v>
      </c>
      <c r="P516" t="n">
        <v>0</v>
      </c>
      <c r="Q516" t="n">
        <v>0</v>
      </c>
      <c r="R516" t="n">
        <v>0</v>
      </c>
      <c r="S516" t="n">
        <v>0</v>
      </c>
      <c r="T516" t="n">
        <v>0</v>
      </c>
      <c r="U516" s="2" t="inlineStr"/>
    </row>
    <row r="517" ht="15" customHeight="1">
      <c r="A517" t="inlineStr">
        <is>
          <t>A 32326-2022</t>
        </is>
      </c>
      <c r="B517" t="inlineStr">
        <is>
          <t>avverkningsanmälan</t>
        </is>
      </c>
      <c r="C517" t="inlineStr">
        <is>
          <t>Föryngringsavverkning</t>
        </is>
      </c>
      <c r="D517" s="1" t="n">
        <v>44781</v>
      </c>
      <c r="E517" s="1" t="n">
        <v>46216</v>
      </c>
      <c r="F517" t="inlineStr">
        <is>
          <t>UPPSALA LÄN</t>
        </is>
      </c>
      <c r="G517" t="inlineStr">
        <is>
          <t>TIERP</t>
        </is>
      </c>
      <c r="I517" t="n">
        <v>3.6</v>
      </c>
      <c r="J517" t="n">
        <v>0</v>
      </c>
      <c r="K517" t="n">
        <v>0</v>
      </c>
      <c r="L517" t="n">
        <v>0</v>
      </c>
      <c r="M517" t="n">
        <v>0</v>
      </c>
      <c r="N517" t="n">
        <v>0</v>
      </c>
      <c r="O517" t="n">
        <v>0</v>
      </c>
      <c r="P517" t="n">
        <v>0</v>
      </c>
      <c r="Q517" t="n">
        <v>0</v>
      </c>
      <c r="R517" t="n">
        <v>0</v>
      </c>
      <c r="S517" t="n">
        <v>0</v>
      </c>
      <c r="T517" t="n">
        <v>0</v>
      </c>
      <c r="U517" s="2" t="inlineStr"/>
    </row>
    <row r="518" ht="15" customHeight="1">
      <c r="A518" t="inlineStr">
        <is>
          <t>A 18250-2026</t>
        </is>
      </c>
      <c r="B518" t="inlineStr">
        <is>
          <t>avverkningsanmälan</t>
        </is>
      </c>
      <c r="C518" t="inlineStr">
        <is>
          <t>Föryngringsavverkning</t>
        </is>
      </c>
      <c r="D518" s="1" t="n">
        <v>46126</v>
      </c>
      <c r="E518" s="1" t="n">
        <v>46216</v>
      </c>
      <c r="F518" t="inlineStr">
        <is>
          <t>UPPSALA LÄN</t>
        </is>
      </c>
      <c r="G518" t="inlineStr">
        <is>
          <t>TIERP</t>
        </is>
      </c>
      <c r="H518" t="inlineStr">
        <is>
          <t>Bergvik skog öst AB</t>
        </is>
      </c>
      <c r="I518" t="n">
        <v>7.5</v>
      </c>
      <c r="J518" t="n">
        <v>0</v>
      </c>
      <c r="K518" t="n">
        <v>0</v>
      </c>
      <c r="L518" t="n">
        <v>0</v>
      </c>
      <c r="M518" t="n">
        <v>0</v>
      </c>
      <c r="N518" t="n">
        <v>0</v>
      </c>
      <c r="O518" t="n">
        <v>0</v>
      </c>
      <c r="P518" t="n">
        <v>0</v>
      </c>
      <c r="Q518" t="n">
        <v>0</v>
      </c>
      <c r="R518" t="n">
        <v>0</v>
      </c>
      <c r="S518" t="n">
        <v>0</v>
      </c>
      <c r="T518" t="n">
        <v>0</v>
      </c>
      <c r="U518" s="2" t="inlineStr"/>
    </row>
    <row r="519" ht="15" customHeight="1">
      <c r="A519" t="inlineStr">
        <is>
          <t>A 29282-2025</t>
        </is>
      </c>
      <c r="B519" t="inlineStr">
        <is>
          <t>avverkningsanmälan</t>
        </is>
      </c>
      <c r="C519" t="inlineStr">
        <is>
          <t>Föryngringsavverkning</t>
        </is>
      </c>
      <c r="D519" s="1" t="n">
        <v>45824</v>
      </c>
      <c r="E519" s="1" t="n">
        <v>46216</v>
      </c>
      <c r="F519" t="inlineStr">
        <is>
          <t>UPPSALA LÄN</t>
        </is>
      </c>
      <c r="G519" t="inlineStr">
        <is>
          <t>TIERP</t>
        </is>
      </c>
      <c r="H519" t="inlineStr">
        <is>
          <t>Bergvik skog väst AB</t>
        </is>
      </c>
      <c r="I519" t="n">
        <v>3.3</v>
      </c>
      <c r="J519" t="n">
        <v>0</v>
      </c>
      <c r="K519" t="n">
        <v>0</v>
      </c>
      <c r="L519" t="n">
        <v>0</v>
      </c>
      <c r="M519" t="n">
        <v>0</v>
      </c>
      <c r="N519" t="n">
        <v>0</v>
      </c>
      <c r="O519" t="n">
        <v>0</v>
      </c>
      <c r="P519" t="n">
        <v>0</v>
      </c>
      <c r="Q519" t="n">
        <v>0</v>
      </c>
      <c r="R519" t="n">
        <v>0</v>
      </c>
      <c r="S519" t="n">
        <v>0</v>
      </c>
      <c r="T519" t="n">
        <v>0</v>
      </c>
      <c r="U519" s="2" t="inlineStr"/>
    </row>
    <row r="520" ht="15" customHeight="1">
      <c r="A520" t="inlineStr">
        <is>
          <t>A 59575-2025</t>
        </is>
      </c>
      <c r="B520" t="inlineStr">
        <is>
          <t>avverkningsanmälan</t>
        </is>
      </c>
      <c r="C520" t="inlineStr">
        <is>
          <t>Föryngringsavverkning</t>
        </is>
      </c>
      <c r="D520" s="1" t="n">
        <v>45992</v>
      </c>
      <c r="E520" s="1" t="n">
        <v>46216</v>
      </c>
      <c r="F520" t="inlineStr">
        <is>
          <t>UPPSALA LÄN</t>
        </is>
      </c>
      <c r="G520" t="inlineStr">
        <is>
          <t>TIERP</t>
        </is>
      </c>
      <c r="H520" t="inlineStr">
        <is>
          <t>Bergvik skog öst AB</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31549-2025</t>
        </is>
      </c>
      <c r="B521" t="inlineStr">
        <is>
          <t>avverkningsanmälan</t>
        </is>
      </c>
      <c r="C521" t="inlineStr">
        <is>
          <t>Föryngringsavverkning</t>
        </is>
      </c>
      <c r="D521" s="1" t="n">
        <v>45833</v>
      </c>
      <c r="E521" s="1" t="n">
        <v>46216</v>
      </c>
      <c r="F521" t="inlineStr">
        <is>
          <t>UPPSALA LÄN</t>
        </is>
      </c>
      <c r="G521" t="inlineStr">
        <is>
          <t>TIERP</t>
        </is>
      </c>
      <c r="H521" t="inlineStr">
        <is>
          <t>Bergvik skog öst AB</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15655-2025</t>
        </is>
      </c>
      <c r="B522" t="inlineStr">
        <is>
          <t>avverkningsanmälan</t>
        </is>
      </c>
      <c r="C522" t="inlineStr">
        <is>
          <t>Föryngringsavverkning</t>
        </is>
      </c>
      <c r="D522" s="1" t="n">
        <v>45748</v>
      </c>
      <c r="E522" s="1" t="n">
        <v>46216</v>
      </c>
      <c r="F522" t="inlineStr">
        <is>
          <t>UPPSALA LÄN</t>
        </is>
      </c>
      <c r="G522" t="inlineStr">
        <is>
          <t>TIERP</t>
        </is>
      </c>
      <c r="H522" t="inlineStr">
        <is>
          <t>Kyrkan</t>
        </is>
      </c>
      <c r="I522" t="n">
        <v>4.5</v>
      </c>
      <c r="J522" t="n">
        <v>0</v>
      </c>
      <c r="K522" t="n">
        <v>0</v>
      </c>
      <c r="L522" t="n">
        <v>0</v>
      </c>
      <c r="M522" t="n">
        <v>0</v>
      </c>
      <c r="N522" t="n">
        <v>0</v>
      </c>
      <c r="O522" t="n">
        <v>0</v>
      </c>
      <c r="P522" t="n">
        <v>0</v>
      </c>
      <c r="Q522" t="n">
        <v>0</v>
      </c>
      <c r="R522" t="n">
        <v>0</v>
      </c>
      <c r="S522" t="n">
        <v>0</v>
      </c>
      <c r="T522" t="n">
        <v>0</v>
      </c>
      <c r="U522" s="2" t="inlineStr"/>
    </row>
    <row r="523" ht="15" customHeight="1">
      <c r="A523" t="inlineStr">
        <is>
          <t>A 15193-2024</t>
        </is>
      </c>
      <c r="B523" t="inlineStr">
        <is>
          <t>avverkningsanmälan</t>
        </is>
      </c>
      <c r="C523" t="inlineStr">
        <is>
          <t>Föryngringsavverkning</t>
        </is>
      </c>
      <c r="D523" s="1" t="n">
        <v>45400</v>
      </c>
      <c r="E523" s="1" t="n">
        <v>46216</v>
      </c>
      <c r="F523" t="inlineStr">
        <is>
          <t>UPPSALA LÄN</t>
        </is>
      </c>
      <c r="G523" t="inlineStr">
        <is>
          <t>TIERP</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22663-2022</t>
        </is>
      </c>
      <c r="B524" t="inlineStr">
        <is>
          <t>avverkningsanmälan</t>
        </is>
      </c>
      <c r="C524" t="inlineStr">
        <is>
          <t>Föryngringsavverkning</t>
        </is>
      </c>
      <c r="D524" s="1" t="n">
        <v>44713</v>
      </c>
      <c r="E524" s="1" t="n">
        <v>46216</v>
      </c>
      <c r="F524" t="inlineStr">
        <is>
          <t>UPPSALA LÄN</t>
        </is>
      </c>
      <c r="G524" t="inlineStr">
        <is>
          <t>TIERP</t>
        </is>
      </c>
      <c r="H524" t="inlineStr">
        <is>
          <t>Bergvik skog väst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58969-2025</t>
        </is>
      </c>
      <c r="B525" t="inlineStr">
        <is>
          <t>avverkningsanmälan</t>
        </is>
      </c>
      <c r="C525" t="inlineStr">
        <is>
          <t>Föryngringsavverkning</t>
        </is>
      </c>
      <c r="D525" s="1" t="n">
        <v>45987</v>
      </c>
      <c r="E525" s="1" t="n">
        <v>46216</v>
      </c>
      <c r="F525" t="inlineStr">
        <is>
          <t>UPPSALA LÄN</t>
        </is>
      </c>
      <c r="G525" t="inlineStr">
        <is>
          <t>TIERP</t>
        </is>
      </c>
      <c r="H525" t="inlineStr">
        <is>
          <t>Bergvik skog öst AB</t>
        </is>
      </c>
      <c r="I525" t="n">
        <v>3</v>
      </c>
      <c r="J525" t="n">
        <v>0</v>
      </c>
      <c r="K525" t="n">
        <v>0</v>
      </c>
      <c r="L525" t="n">
        <v>0</v>
      </c>
      <c r="M525" t="n">
        <v>0</v>
      </c>
      <c r="N525" t="n">
        <v>0</v>
      </c>
      <c r="O525" t="n">
        <v>0</v>
      </c>
      <c r="P525" t="n">
        <v>0</v>
      </c>
      <c r="Q525" t="n">
        <v>0</v>
      </c>
      <c r="R525" t="n">
        <v>0</v>
      </c>
      <c r="S525" t="n">
        <v>0</v>
      </c>
      <c r="T525" t="n">
        <v>0</v>
      </c>
      <c r="U525" s="2" t="inlineStr"/>
    </row>
    <row r="526" ht="15" customHeight="1">
      <c r="A526" t="inlineStr">
        <is>
          <t>A 48523-2025</t>
        </is>
      </c>
      <c r="B526" t="inlineStr">
        <is>
          <t>avverkningsanmälan</t>
        </is>
      </c>
      <c r="C526" t="inlineStr">
        <is>
          <t>Föryngringsavverkning</t>
        </is>
      </c>
      <c r="D526" s="1" t="n">
        <v>45936</v>
      </c>
      <c r="E526" s="1" t="n">
        <v>46216</v>
      </c>
      <c r="F526" t="inlineStr">
        <is>
          <t>UPPSALA LÄN</t>
        </is>
      </c>
      <c r="G526" t="inlineStr">
        <is>
          <t>TIERP</t>
        </is>
      </c>
      <c r="H526" t="inlineStr">
        <is>
          <t>Bergvik skog väst AB</t>
        </is>
      </c>
      <c r="I526" t="n">
        <v>16.4</v>
      </c>
      <c r="J526" t="n">
        <v>0</v>
      </c>
      <c r="K526" t="n">
        <v>0</v>
      </c>
      <c r="L526" t="n">
        <v>0</v>
      </c>
      <c r="M526" t="n">
        <v>0</v>
      </c>
      <c r="N526" t="n">
        <v>0</v>
      </c>
      <c r="O526" t="n">
        <v>0</v>
      </c>
      <c r="P526" t="n">
        <v>0</v>
      </c>
      <c r="Q526" t="n">
        <v>0</v>
      </c>
      <c r="R526" t="n">
        <v>0</v>
      </c>
      <c r="S526" t="n">
        <v>0</v>
      </c>
      <c r="T526" t="n">
        <v>0</v>
      </c>
      <c r="U526" s="2" t="inlineStr"/>
    </row>
    <row r="527" ht="15" customHeight="1">
      <c r="A527" t="inlineStr">
        <is>
          <t>A 32190-2022</t>
        </is>
      </c>
      <c r="B527" t="inlineStr">
        <is>
          <t>avverkningsanmälan</t>
        </is>
      </c>
      <c r="C527" t="inlineStr">
        <is>
          <t>Föryngringsavverkning</t>
        </is>
      </c>
      <c r="D527" s="1" t="n">
        <v>44781</v>
      </c>
      <c r="E527" s="1" t="n">
        <v>46216</v>
      </c>
      <c r="F527" t="inlineStr">
        <is>
          <t>UPPSALA LÄN</t>
        </is>
      </c>
      <c r="G527" t="inlineStr">
        <is>
          <t>TIERP</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36420-2025</t>
        </is>
      </c>
      <c r="B528" t="inlineStr">
        <is>
          <t>avverkningsanmälan</t>
        </is>
      </c>
      <c r="C528" t="inlineStr">
        <is>
          <t>Föryngringsavverkning</t>
        </is>
      </c>
      <c r="D528" s="1" t="n">
        <v>45868</v>
      </c>
      <c r="E528" s="1" t="n">
        <v>46216</v>
      </c>
      <c r="F528" t="inlineStr">
        <is>
          <t>UPPSALA LÄN</t>
        </is>
      </c>
      <c r="G528" t="inlineStr">
        <is>
          <t>TIERP</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51331-2025</t>
        </is>
      </c>
      <c r="B529" t="inlineStr">
        <is>
          <t>avverkningsanmälan</t>
        </is>
      </c>
      <c r="C529" t="inlineStr">
        <is>
          <t>Föryngringsavverkning</t>
        </is>
      </c>
      <c r="D529" s="1" t="n">
        <v>45950</v>
      </c>
      <c r="E529" s="1" t="n">
        <v>46216</v>
      </c>
      <c r="F529" t="inlineStr">
        <is>
          <t>UPPSALA LÄN</t>
        </is>
      </c>
      <c r="G529" t="inlineStr">
        <is>
          <t>TIERP</t>
        </is>
      </c>
      <c r="I529" t="n">
        <v>8.9</v>
      </c>
      <c r="J529" t="n">
        <v>0</v>
      </c>
      <c r="K529" t="n">
        <v>0</v>
      </c>
      <c r="L529" t="n">
        <v>0</v>
      </c>
      <c r="M529" t="n">
        <v>0</v>
      </c>
      <c r="N529" t="n">
        <v>0</v>
      </c>
      <c r="O529" t="n">
        <v>0</v>
      </c>
      <c r="P529" t="n">
        <v>0</v>
      </c>
      <c r="Q529" t="n">
        <v>0</v>
      </c>
      <c r="R529" t="n">
        <v>0</v>
      </c>
      <c r="S529" t="n">
        <v>0</v>
      </c>
      <c r="T529" t="n">
        <v>0</v>
      </c>
      <c r="U529" s="2" t="inlineStr"/>
    </row>
    <row r="530" ht="15" customHeight="1">
      <c r="A530" t="inlineStr">
        <is>
          <t>A 26556-2025</t>
        </is>
      </c>
      <c r="B530" t="inlineStr">
        <is>
          <t>avverkningsanmälan</t>
        </is>
      </c>
      <c r="C530" t="inlineStr">
        <is>
          <t>Föryngringsavverkning</t>
        </is>
      </c>
      <c r="D530" s="1" t="n">
        <v>45807</v>
      </c>
      <c r="E530" s="1" t="n">
        <v>46216</v>
      </c>
      <c r="F530" t="inlineStr">
        <is>
          <t>UPPSALA LÄN</t>
        </is>
      </c>
      <c r="G530" t="inlineStr">
        <is>
          <t>TIERP</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8768-2023</t>
        </is>
      </c>
      <c r="B531" t="inlineStr">
        <is>
          <t>avverkningsanmälan</t>
        </is>
      </c>
      <c r="C531" t="inlineStr">
        <is>
          <t>Föryngringsavverkning</t>
        </is>
      </c>
      <c r="D531" s="1" t="n">
        <v>44978</v>
      </c>
      <c r="E531" s="1" t="n">
        <v>46216</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27382-2025</t>
        </is>
      </c>
      <c r="B532" t="inlineStr">
        <is>
          <t>avverkningsanmälan</t>
        </is>
      </c>
      <c r="C532" t="inlineStr">
        <is>
          <t>Föryngringsavverkning</t>
        </is>
      </c>
      <c r="D532" s="1" t="n">
        <v>45812</v>
      </c>
      <c r="E532" s="1" t="n">
        <v>46216</v>
      </c>
      <c r="F532" t="inlineStr">
        <is>
          <t>UPPSALA LÄN</t>
        </is>
      </c>
      <c r="G532" t="inlineStr">
        <is>
          <t>TIERP</t>
        </is>
      </c>
      <c r="H532" t="inlineStr">
        <is>
          <t>Bergvik skog väst AB</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A 5170-2022</t>
        </is>
      </c>
      <c r="B533" t="inlineStr">
        <is>
          <t>avverkningsanmälan</t>
        </is>
      </c>
      <c r="C533" t="inlineStr">
        <is>
          <t>Föryngringsavverkning</t>
        </is>
      </c>
      <c r="D533" s="1" t="n">
        <v>44594</v>
      </c>
      <c r="E533" s="1" t="n">
        <v>46216</v>
      </c>
      <c r="F533" t="inlineStr">
        <is>
          <t>UPPSALA LÄN</t>
        </is>
      </c>
      <c r="G533" t="inlineStr">
        <is>
          <t>TIERP</t>
        </is>
      </c>
      <c r="H533" t="inlineStr">
        <is>
          <t>Bergvik skog öst AB</t>
        </is>
      </c>
      <c r="I533" t="n">
        <v>3.5</v>
      </c>
      <c r="J533" t="n">
        <v>0</v>
      </c>
      <c r="K533" t="n">
        <v>0</v>
      </c>
      <c r="L533" t="n">
        <v>0</v>
      </c>
      <c r="M533" t="n">
        <v>0</v>
      </c>
      <c r="N533" t="n">
        <v>0</v>
      </c>
      <c r="O533" t="n">
        <v>0</v>
      </c>
      <c r="P533" t="n">
        <v>0</v>
      </c>
      <c r="Q533" t="n">
        <v>0</v>
      </c>
      <c r="R533" t="n">
        <v>0</v>
      </c>
      <c r="S533" t="n">
        <v>0</v>
      </c>
      <c r="T533" t="n">
        <v>0</v>
      </c>
      <c r="U533" s="2" t="inlineStr"/>
    </row>
    <row r="534" ht="15" customHeight="1">
      <c r="A534" t="inlineStr">
        <is>
          <t>A 5963-2023</t>
        </is>
      </c>
      <c r="B534" t="inlineStr">
        <is>
          <t>avverkningsanmälan</t>
        </is>
      </c>
      <c r="C534" t="inlineStr">
        <is>
          <t>Föryngringsavverkning</t>
        </is>
      </c>
      <c r="D534" s="1" t="n">
        <v>44964</v>
      </c>
      <c r="E534" s="1" t="n">
        <v>46216</v>
      </c>
      <c r="F534" t="inlineStr">
        <is>
          <t>UPPSALA LÄN</t>
        </is>
      </c>
      <c r="G534" t="inlineStr">
        <is>
          <t>TIERP</t>
        </is>
      </c>
      <c r="H534" t="inlineStr">
        <is>
          <t>Bergvik skog öst AB</t>
        </is>
      </c>
      <c r="I534" t="n">
        <v>4.1</v>
      </c>
      <c r="J534" t="n">
        <v>0</v>
      </c>
      <c r="K534" t="n">
        <v>0</v>
      </c>
      <c r="L534" t="n">
        <v>0</v>
      </c>
      <c r="M534" t="n">
        <v>0</v>
      </c>
      <c r="N534" t="n">
        <v>0</v>
      </c>
      <c r="O534" t="n">
        <v>0</v>
      </c>
      <c r="P534" t="n">
        <v>0</v>
      </c>
      <c r="Q534" t="n">
        <v>0</v>
      </c>
      <c r="R534" t="n">
        <v>0</v>
      </c>
      <c r="S534" t="n">
        <v>0</v>
      </c>
      <c r="T534" t="n">
        <v>0</v>
      </c>
      <c r="U534" s="2" t="inlineStr"/>
    </row>
    <row r="535" ht="15" customHeight="1">
      <c r="A535" t="inlineStr">
        <is>
          <t>A 28346-2022</t>
        </is>
      </c>
      <c r="B535" t="inlineStr">
        <is>
          <t>avverkningsanmälan</t>
        </is>
      </c>
      <c r="C535" t="inlineStr">
        <is>
          <t>Föryngringsavverkning</t>
        </is>
      </c>
      <c r="D535" s="1" t="n">
        <v>44747</v>
      </c>
      <c r="E535" s="1" t="n">
        <v>46216</v>
      </c>
      <c r="F535" t="inlineStr">
        <is>
          <t>UPPSALA LÄN</t>
        </is>
      </c>
      <c r="G535" t="inlineStr">
        <is>
          <t>TIERP</t>
        </is>
      </c>
      <c r="H535" t="inlineStr">
        <is>
          <t>Bergvik skog väst AB</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4055-2026</t>
        </is>
      </c>
      <c r="B536" t="inlineStr">
        <is>
          <t>avverkningsanmälan</t>
        </is>
      </c>
      <c r="C536" t="inlineStr">
        <is>
          <t>Föryngringsavverkning</t>
        </is>
      </c>
      <c r="D536" s="1" t="n">
        <v>46044</v>
      </c>
      <c r="E536" s="1" t="n">
        <v>46216</v>
      </c>
      <c r="F536" t="inlineStr">
        <is>
          <t>UPPSALA LÄN</t>
        </is>
      </c>
      <c r="G536" t="inlineStr">
        <is>
          <t>TIERP</t>
        </is>
      </c>
      <c r="I536" t="n">
        <v>5.3</v>
      </c>
      <c r="J536" t="n">
        <v>0</v>
      </c>
      <c r="K536" t="n">
        <v>0</v>
      </c>
      <c r="L536" t="n">
        <v>0</v>
      </c>
      <c r="M536" t="n">
        <v>0</v>
      </c>
      <c r="N536" t="n">
        <v>0</v>
      </c>
      <c r="O536" t="n">
        <v>0</v>
      </c>
      <c r="P536" t="n">
        <v>0</v>
      </c>
      <c r="Q536" t="n">
        <v>0</v>
      </c>
      <c r="R536" t="n">
        <v>0</v>
      </c>
      <c r="S536" t="n">
        <v>0</v>
      </c>
      <c r="T536" t="n">
        <v>0</v>
      </c>
      <c r="U536" s="2" t="inlineStr"/>
    </row>
    <row r="537" ht="15" customHeight="1">
      <c r="A537" t="inlineStr">
        <is>
          <t>A 43605-2023</t>
        </is>
      </c>
      <c r="B537" t="inlineStr">
        <is>
          <t>avverkningsanmälan</t>
        </is>
      </c>
      <c r="C537" t="inlineStr">
        <is>
          <t>Föryngringsavverkning</t>
        </is>
      </c>
      <c r="D537" s="1" t="n">
        <v>45181</v>
      </c>
      <c r="E537" s="1" t="n">
        <v>46216</v>
      </c>
      <c r="F537" t="inlineStr">
        <is>
          <t>UPPSALA LÄN</t>
        </is>
      </c>
      <c r="G537" t="inlineStr">
        <is>
          <t>TIERP</t>
        </is>
      </c>
      <c r="I537" t="n">
        <v>2.5</v>
      </c>
      <c r="J537" t="n">
        <v>0</v>
      </c>
      <c r="K537" t="n">
        <v>0</v>
      </c>
      <c r="L537" t="n">
        <v>0</v>
      </c>
      <c r="M537" t="n">
        <v>0</v>
      </c>
      <c r="N537" t="n">
        <v>0</v>
      </c>
      <c r="O537" t="n">
        <v>0</v>
      </c>
      <c r="P537" t="n">
        <v>0</v>
      </c>
      <c r="Q537" t="n">
        <v>0</v>
      </c>
      <c r="R537" t="n">
        <v>0</v>
      </c>
      <c r="S537" t="n">
        <v>0</v>
      </c>
      <c r="T537" t="n">
        <v>0</v>
      </c>
      <c r="U537" s="2" t="inlineStr"/>
    </row>
    <row r="538" ht="15" customHeight="1">
      <c r="A538" t="inlineStr">
        <is>
          <t>A 35112-2025</t>
        </is>
      </c>
      <c r="B538" t="inlineStr">
        <is>
          <t>avverkningsanmälan</t>
        </is>
      </c>
      <c r="C538" t="inlineStr">
        <is>
          <t>Föryngringsavverkning</t>
        </is>
      </c>
      <c r="D538" s="1" t="n">
        <v>45852</v>
      </c>
      <c r="E538" s="1" t="n">
        <v>46216</v>
      </c>
      <c r="F538" t="inlineStr">
        <is>
          <t>UPPSALA LÄN</t>
        </is>
      </c>
      <c r="G538" t="inlineStr">
        <is>
          <t>TIERP</t>
        </is>
      </c>
      <c r="H538" t="inlineStr">
        <is>
          <t>Bergvik skog väst AB</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20344-2026</t>
        </is>
      </c>
      <c r="B539" t="inlineStr">
        <is>
          <t>avverkningsanmälan</t>
        </is>
      </c>
      <c r="C539" t="inlineStr">
        <is>
          <t>Föryngringsavverkning</t>
        </is>
      </c>
      <c r="D539" s="1" t="n">
        <v>46139</v>
      </c>
      <c r="E539" s="1" t="n">
        <v>46216</v>
      </c>
      <c r="F539" t="inlineStr">
        <is>
          <t>UPPSALA LÄN</t>
        </is>
      </c>
      <c r="G539" t="inlineStr">
        <is>
          <t>TIERP</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35119-2025</t>
        </is>
      </c>
      <c r="B540" t="inlineStr">
        <is>
          <t>avverkningsanmälan</t>
        </is>
      </c>
      <c r="C540" t="inlineStr">
        <is>
          <t>Föryngringsavverkning</t>
        </is>
      </c>
      <c r="D540" s="1" t="n">
        <v>45852</v>
      </c>
      <c r="E540" s="1" t="n">
        <v>46216</v>
      </c>
      <c r="F540" t="inlineStr">
        <is>
          <t>UPPSALA LÄN</t>
        </is>
      </c>
      <c r="G540" t="inlineStr">
        <is>
          <t>TIERP</t>
        </is>
      </c>
      <c r="H540" t="inlineStr">
        <is>
          <t>Bergvik skog väst AB</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34455-2025</t>
        </is>
      </c>
      <c r="B541" t="inlineStr">
        <is>
          <t>avverkningsanmälan</t>
        </is>
      </c>
      <c r="C541" t="inlineStr">
        <is>
          <t>Föryngringsavverkning</t>
        </is>
      </c>
      <c r="D541" s="1" t="n">
        <v>45847</v>
      </c>
      <c r="E541" s="1" t="n">
        <v>46216</v>
      </c>
      <c r="F541" t="inlineStr">
        <is>
          <t>UPPSALA LÄN</t>
        </is>
      </c>
      <c r="G541" t="inlineStr">
        <is>
          <t>TIERP</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20296-2026</t>
        </is>
      </c>
      <c r="B542" t="inlineStr">
        <is>
          <t>avverkningsanmälan</t>
        </is>
      </c>
      <c r="C542" t="inlineStr">
        <is>
          <t>Föryngringsavverkning</t>
        </is>
      </c>
      <c r="D542" s="1" t="n">
        <v>46139</v>
      </c>
      <c r="E542" s="1" t="n">
        <v>46216</v>
      </c>
      <c r="F542" t="inlineStr">
        <is>
          <t>UPPSALA LÄN</t>
        </is>
      </c>
      <c r="G542" t="inlineStr">
        <is>
          <t>TIERP</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28285-2025</t>
        </is>
      </c>
      <c r="B543" t="inlineStr">
        <is>
          <t>avverkningsanmälan</t>
        </is>
      </c>
      <c r="C543" t="inlineStr">
        <is>
          <t>Föryngringsavverkning</t>
        </is>
      </c>
      <c r="D543" s="1" t="n">
        <v>45818</v>
      </c>
      <c r="E543" s="1" t="n">
        <v>46216</v>
      </c>
      <c r="F543" t="inlineStr">
        <is>
          <t>UPPSALA LÄN</t>
        </is>
      </c>
      <c r="G543" t="inlineStr">
        <is>
          <t>TIERP</t>
        </is>
      </c>
      <c r="H543" t="inlineStr">
        <is>
          <t>Bergvik skog öst AB</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24150-2025</t>
        </is>
      </c>
      <c r="B544" t="inlineStr">
        <is>
          <t>avverkningsanmälan</t>
        </is>
      </c>
      <c r="C544" t="inlineStr">
        <is>
          <t>Föryngringsavverkning</t>
        </is>
      </c>
      <c r="D544" s="1" t="n">
        <v>45796</v>
      </c>
      <c r="E544" s="1" t="n">
        <v>46216</v>
      </c>
      <c r="F544" t="inlineStr">
        <is>
          <t>UPPSALA LÄN</t>
        </is>
      </c>
      <c r="G544" t="inlineStr">
        <is>
          <t>TIERP</t>
        </is>
      </c>
      <c r="H544" t="inlineStr">
        <is>
          <t>Bergvik skog öst AB</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13214-2025</t>
        </is>
      </c>
      <c r="B545" t="inlineStr">
        <is>
          <t>avverkningsanmälan</t>
        </is>
      </c>
      <c r="C545" t="inlineStr">
        <is>
          <t>Föryngringsavverkning</t>
        </is>
      </c>
      <c r="D545" s="1" t="n">
        <v>45735</v>
      </c>
      <c r="E545" s="1" t="n">
        <v>46216</v>
      </c>
      <c r="F545" t="inlineStr">
        <is>
          <t>UPPSALA LÄN</t>
        </is>
      </c>
      <c r="G545" t="inlineStr">
        <is>
          <t>TIERP</t>
        </is>
      </c>
      <c r="I545" t="n">
        <v>1.9</v>
      </c>
      <c r="J545" t="n">
        <v>0</v>
      </c>
      <c r="K545" t="n">
        <v>0</v>
      </c>
      <c r="L545" t="n">
        <v>0</v>
      </c>
      <c r="M545" t="n">
        <v>0</v>
      </c>
      <c r="N545" t="n">
        <v>0</v>
      </c>
      <c r="O545" t="n">
        <v>0</v>
      </c>
      <c r="P545" t="n">
        <v>0</v>
      </c>
      <c r="Q545" t="n">
        <v>0</v>
      </c>
      <c r="R545" t="n">
        <v>0</v>
      </c>
      <c r="S545" t="n">
        <v>0</v>
      </c>
      <c r="T545" t="n">
        <v>0</v>
      </c>
      <c r="U545" s="2" t="inlineStr"/>
    </row>
    <row r="546" ht="15" customHeight="1">
      <c r="A546" t="inlineStr">
        <is>
          <t>A 60154-2022</t>
        </is>
      </c>
      <c r="B546" t="inlineStr">
        <is>
          <t>avverkningsanmälan</t>
        </is>
      </c>
      <c r="C546" t="inlineStr">
        <is>
          <t>Föryngringsavverkning</t>
        </is>
      </c>
      <c r="D546" s="1" t="n">
        <v>44909</v>
      </c>
      <c r="E546" s="1" t="n">
        <v>46216</v>
      </c>
      <c r="F546" t="inlineStr">
        <is>
          <t>UPPSALA LÄN</t>
        </is>
      </c>
      <c r="G546" t="inlineStr">
        <is>
          <t>TIERP</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10550-2024</t>
        </is>
      </c>
      <c r="B547" t="inlineStr">
        <is>
          <t>avverkningsanmälan</t>
        </is>
      </c>
      <c r="C547" t="inlineStr">
        <is>
          <t>Föryngringsavverkning</t>
        </is>
      </c>
      <c r="D547" s="1" t="n">
        <v>45366</v>
      </c>
      <c r="E547" s="1" t="n">
        <v>46216</v>
      </c>
      <c r="F547" t="inlineStr">
        <is>
          <t>UPPSALA LÄN</t>
        </is>
      </c>
      <c r="G547" t="inlineStr">
        <is>
          <t>TIERP</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6075-2023</t>
        </is>
      </c>
      <c r="B548" t="inlineStr">
        <is>
          <t>avverkningsanmälan</t>
        </is>
      </c>
      <c r="C548" t="inlineStr">
        <is>
          <t>Föryngringsavverkning</t>
        </is>
      </c>
      <c r="D548" s="1" t="n">
        <v>44964</v>
      </c>
      <c r="E548" s="1" t="n">
        <v>46216</v>
      </c>
      <c r="F548" t="inlineStr">
        <is>
          <t>UPPSALA LÄN</t>
        </is>
      </c>
      <c r="G548" t="inlineStr">
        <is>
          <t>TIERP</t>
        </is>
      </c>
      <c r="H548" t="inlineStr">
        <is>
          <t>Bergvik skog öst AB</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A 14516-2025</t>
        </is>
      </c>
      <c r="B549" t="inlineStr">
        <is>
          <t>avverkningsanmälan</t>
        </is>
      </c>
      <c r="C549" t="inlineStr">
        <is>
          <t>Föryngringsavverkning</t>
        </is>
      </c>
      <c r="D549" s="1" t="n">
        <v>45741</v>
      </c>
      <c r="E549" s="1" t="n">
        <v>46216</v>
      </c>
      <c r="F549" t="inlineStr">
        <is>
          <t>UPPSALA LÄN</t>
        </is>
      </c>
      <c r="G549" t="inlineStr">
        <is>
          <t>TIERP</t>
        </is>
      </c>
      <c r="H549" t="inlineStr">
        <is>
          <t>Bergvik skog väst AB</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401-2026</t>
        </is>
      </c>
      <c r="B550" t="inlineStr">
        <is>
          <t>avverkningsanmälan</t>
        </is>
      </c>
      <c r="C550" t="inlineStr">
        <is>
          <t>Föryngringsavverkning</t>
        </is>
      </c>
      <c r="D550" s="1" t="n">
        <v>46028</v>
      </c>
      <c r="E550" s="1" t="n">
        <v>46216</v>
      </c>
      <c r="F550" t="inlineStr">
        <is>
          <t>UPPSALA LÄN</t>
        </is>
      </c>
      <c r="G550" t="inlineStr">
        <is>
          <t>TIERP</t>
        </is>
      </c>
      <c r="H550" t="inlineStr">
        <is>
          <t>Bergvik skog öst AB</t>
        </is>
      </c>
      <c r="I550" t="n">
        <v>2.5</v>
      </c>
      <c r="J550" t="n">
        <v>0</v>
      </c>
      <c r="K550" t="n">
        <v>0</v>
      </c>
      <c r="L550" t="n">
        <v>0</v>
      </c>
      <c r="M550" t="n">
        <v>0</v>
      </c>
      <c r="N550" t="n">
        <v>0</v>
      </c>
      <c r="O550" t="n">
        <v>0</v>
      </c>
      <c r="P550" t="n">
        <v>0</v>
      </c>
      <c r="Q550" t="n">
        <v>0</v>
      </c>
      <c r="R550" t="n">
        <v>0</v>
      </c>
      <c r="S550" t="n">
        <v>0</v>
      </c>
      <c r="T550" t="n">
        <v>0</v>
      </c>
      <c r="U550" s="2" t="inlineStr"/>
    </row>
    <row r="551" ht="15" customHeight="1">
      <c r="A551" t="inlineStr">
        <is>
          <t>A 35105-2025</t>
        </is>
      </c>
      <c r="B551" t="inlineStr">
        <is>
          <t>avverkningsanmälan</t>
        </is>
      </c>
      <c r="C551" t="inlineStr">
        <is>
          <t>Föryngringsavverkning</t>
        </is>
      </c>
      <c r="D551" s="1" t="n">
        <v>45852</v>
      </c>
      <c r="E551" s="1" t="n">
        <v>46216</v>
      </c>
      <c r="F551" t="inlineStr">
        <is>
          <t>UPPSALA LÄN</t>
        </is>
      </c>
      <c r="G551" t="inlineStr">
        <is>
          <t>TIERP</t>
        </is>
      </c>
      <c r="H551" t="inlineStr">
        <is>
          <t>Bergvik skog väst AB</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57142-2023</t>
        </is>
      </c>
      <c r="B552" t="inlineStr">
        <is>
          <t>avverkningsanmälan</t>
        </is>
      </c>
      <c r="C552" t="inlineStr">
        <is>
          <t>Föryngringsavverkning</t>
        </is>
      </c>
      <c r="D552" s="1" t="n">
        <v>45245</v>
      </c>
      <c r="E552" s="1" t="n">
        <v>46216</v>
      </c>
      <c r="F552" t="inlineStr">
        <is>
          <t>UPPSALA LÄN</t>
        </is>
      </c>
      <c r="G552" t="inlineStr">
        <is>
          <t>TIERP</t>
        </is>
      </c>
      <c r="I552" t="n">
        <v>3.2</v>
      </c>
      <c r="J552" t="n">
        <v>0</v>
      </c>
      <c r="K552" t="n">
        <v>0</v>
      </c>
      <c r="L552" t="n">
        <v>0</v>
      </c>
      <c r="M552" t="n">
        <v>0</v>
      </c>
      <c r="N552" t="n">
        <v>0</v>
      </c>
      <c r="O552" t="n">
        <v>0</v>
      </c>
      <c r="P552" t="n">
        <v>0</v>
      </c>
      <c r="Q552" t="n">
        <v>0</v>
      </c>
      <c r="R552" t="n">
        <v>0</v>
      </c>
      <c r="S552" t="n">
        <v>0</v>
      </c>
      <c r="T552" t="n">
        <v>0</v>
      </c>
      <c r="U552" s="2" t="inlineStr"/>
    </row>
    <row r="553" ht="15" customHeight="1">
      <c r="A553" t="inlineStr">
        <is>
          <t>A 41389-2024</t>
        </is>
      </c>
      <c r="B553" t="inlineStr">
        <is>
          <t>avverkningsanmälan</t>
        </is>
      </c>
      <c r="C553" t="inlineStr">
        <is>
          <t>Föryngringsavverkning</t>
        </is>
      </c>
      <c r="D553" s="1" t="n">
        <v>45560</v>
      </c>
      <c r="E553" s="1" t="n">
        <v>46216</v>
      </c>
      <c r="F553" t="inlineStr">
        <is>
          <t>UPPSALA LÄN</t>
        </is>
      </c>
      <c r="G553" t="inlineStr">
        <is>
          <t>TIERP</t>
        </is>
      </c>
      <c r="H553" t="inlineStr">
        <is>
          <t>Bergvik skog öst AB</t>
        </is>
      </c>
      <c r="I553" t="n">
        <v>0.3</v>
      </c>
      <c r="J553" t="n">
        <v>0</v>
      </c>
      <c r="K553" t="n">
        <v>0</v>
      </c>
      <c r="L553" t="n">
        <v>0</v>
      </c>
      <c r="M553" t="n">
        <v>0</v>
      </c>
      <c r="N553" t="n">
        <v>0</v>
      </c>
      <c r="O553" t="n">
        <v>0</v>
      </c>
      <c r="P553" t="n">
        <v>0</v>
      </c>
      <c r="Q553" t="n">
        <v>0</v>
      </c>
      <c r="R553" t="n">
        <v>0</v>
      </c>
      <c r="S553" t="n">
        <v>0</v>
      </c>
      <c r="T553" t="n">
        <v>0</v>
      </c>
      <c r="U553" s="2" t="inlineStr"/>
    </row>
    <row r="554" ht="15" customHeight="1">
      <c r="A554" t="inlineStr">
        <is>
          <t>A 25767-2026</t>
        </is>
      </c>
      <c r="B554" t="inlineStr">
        <is>
          <t>avverkningsanmälan</t>
        </is>
      </c>
      <c r="C554" t="inlineStr">
        <is>
          <t>Föryngringsavverkning</t>
        </is>
      </c>
      <c r="D554" s="1" t="n">
        <v>46178</v>
      </c>
      <c r="E554" s="1" t="n">
        <v>46216</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34082-2023</t>
        </is>
      </c>
      <c r="B555" t="inlineStr">
        <is>
          <t>avverkningsanmälan</t>
        </is>
      </c>
      <c r="C555" t="inlineStr">
        <is>
          <t>Föryngringsavverkning</t>
        </is>
      </c>
      <c r="D555" s="1" t="n">
        <v>45135</v>
      </c>
      <c r="E555" s="1" t="n">
        <v>46216</v>
      </c>
      <c r="F555" t="inlineStr">
        <is>
          <t>UPPSALA LÄN</t>
        </is>
      </c>
      <c r="G555" t="inlineStr">
        <is>
          <t>TIERP</t>
        </is>
      </c>
      <c r="H555" t="inlineStr">
        <is>
          <t>Bergvik skog öst AB</t>
        </is>
      </c>
      <c r="I555" t="n">
        <v>2.2</v>
      </c>
      <c r="J555" t="n">
        <v>0</v>
      </c>
      <c r="K555" t="n">
        <v>0</v>
      </c>
      <c r="L555" t="n">
        <v>0</v>
      </c>
      <c r="M555" t="n">
        <v>0</v>
      </c>
      <c r="N555" t="n">
        <v>0</v>
      </c>
      <c r="O555" t="n">
        <v>0</v>
      </c>
      <c r="P555" t="n">
        <v>0</v>
      </c>
      <c r="Q555" t="n">
        <v>0</v>
      </c>
      <c r="R555" t="n">
        <v>0</v>
      </c>
      <c r="S555" t="n">
        <v>0</v>
      </c>
      <c r="T555" t="n">
        <v>0</v>
      </c>
      <c r="U555" s="2" t="inlineStr"/>
    </row>
    <row r="556" ht="15" customHeight="1">
      <c r="A556" t="inlineStr">
        <is>
          <t>A 54737-2023</t>
        </is>
      </c>
      <c r="B556" t="inlineStr">
        <is>
          <t>avverkningsanmälan</t>
        </is>
      </c>
      <c r="C556" t="inlineStr">
        <is>
          <t>Föryngringsavverkning</t>
        </is>
      </c>
      <c r="D556" s="1" t="n">
        <v>45229</v>
      </c>
      <c r="E556" s="1" t="n">
        <v>46216</v>
      </c>
      <c r="F556" t="inlineStr">
        <is>
          <t>UPPSALA LÄN</t>
        </is>
      </c>
      <c r="G556" t="inlineStr">
        <is>
          <t>TIERP</t>
        </is>
      </c>
      <c r="H556" t="inlineStr">
        <is>
          <t>Bergvik skog väst AB</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8774-2023</t>
        </is>
      </c>
      <c r="B557" t="inlineStr">
        <is>
          <t>avverkningsanmälan</t>
        </is>
      </c>
      <c r="C557" t="inlineStr">
        <is>
          <t>Föryngringsavverkning</t>
        </is>
      </c>
      <c r="D557" s="1" t="n">
        <v>44978</v>
      </c>
      <c r="E557" s="1" t="n">
        <v>46216</v>
      </c>
      <c r="F557" t="inlineStr">
        <is>
          <t>UPPSALA LÄN</t>
        </is>
      </c>
      <c r="G557" t="inlineStr">
        <is>
          <t>TIERP</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52969-2023</t>
        </is>
      </c>
      <c r="B558" t="inlineStr">
        <is>
          <t>avverkningsanmälan</t>
        </is>
      </c>
      <c r="C558" t="inlineStr">
        <is>
          <t>Föryngringsavverkning</t>
        </is>
      </c>
      <c r="D558" s="1" t="n">
        <v>45226</v>
      </c>
      <c r="E558" s="1" t="n">
        <v>46216</v>
      </c>
      <c r="F558" t="inlineStr">
        <is>
          <t>UPPSALA LÄN</t>
        </is>
      </c>
      <c r="G558" t="inlineStr">
        <is>
          <t>TIERP</t>
        </is>
      </c>
      <c r="I558" t="n">
        <v>5.3</v>
      </c>
      <c r="J558" t="n">
        <v>0</v>
      </c>
      <c r="K558" t="n">
        <v>0</v>
      </c>
      <c r="L558" t="n">
        <v>0</v>
      </c>
      <c r="M558" t="n">
        <v>0</v>
      </c>
      <c r="N558" t="n">
        <v>0</v>
      </c>
      <c r="O558" t="n">
        <v>0</v>
      </c>
      <c r="P558" t="n">
        <v>0</v>
      </c>
      <c r="Q558" t="n">
        <v>0</v>
      </c>
      <c r="R558" t="n">
        <v>0</v>
      </c>
      <c r="S558" t="n">
        <v>0</v>
      </c>
      <c r="T558" t="n">
        <v>0</v>
      </c>
      <c r="U558" s="2" t="inlineStr"/>
    </row>
    <row r="559" ht="15" customHeight="1">
      <c r="A559" t="inlineStr">
        <is>
          <t>A 20787-2026</t>
        </is>
      </c>
      <c r="B559" t="inlineStr">
        <is>
          <t>avverkningsanmälan</t>
        </is>
      </c>
      <c r="C559" t="inlineStr">
        <is>
          <t>Föryngringsavverkning</t>
        </is>
      </c>
      <c r="D559" s="1" t="n">
        <v>46141</v>
      </c>
      <c r="E559" s="1" t="n">
        <v>46216</v>
      </c>
      <c r="F559" t="inlineStr">
        <is>
          <t>UPPSALA LÄN</t>
        </is>
      </c>
      <c r="G559" t="inlineStr">
        <is>
          <t>TIERP</t>
        </is>
      </c>
      <c r="H559" t="inlineStr">
        <is>
          <t>Bergvik skog väst AB</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18110-2025</t>
        </is>
      </c>
      <c r="B560" t="inlineStr">
        <is>
          <t>avverkningsanmälan</t>
        </is>
      </c>
      <c r="C560" t="inlineStr">
        <is>
          <t>Föryngringsavverkning</t>
        </is>
      </c>
      <c r="D560" s="1" t="n">
        <v>45761</v>
      </c>
      <c r="E560" s="1" t="n">
        <v>46216</v>
      </c>
      <c r="F560" t="inlineStr">
        <is>
          <t>UPPSALA LÄN</t>
        </is>
      </c>
      <c r="G560" t="inlineStr">
        <is>
          <t>TIERP</t>
        </is>
      </c>
      <c r="H560" t="inlineStr">
        <is>
          <t>Bergvik skog väst AB</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20750-2023</t>
        </is>
      </c>
      <c r="B561" t="inlineStr">
        <is>
          <t>avverkningsanmälan</t>
        </is>
      </c>
      <c r="C561" t="inlineStr">
        <is>
          <t>Föryngringsavverkning</t>
        </is>
      </c>
      <c r="D561" s="1" t="n">
        <v>45058</v>
      </c>
      <c r="E561" s="1" t="n">
        <v>46216</v>
      </c>
      <c r="F561" t="inlineStr">
        <is>
          <t>UPPSALA LÄN</t>
        </is>
      </c>
      <c r="G561" t="inlineStr">
        <is>
          <t>TIERP</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48970-2021</t>
        </is>
      </c>
      <c r="B562" t="inlineStr">
        <is>
          <t>avverkningsanmälan</t>
        </is>
      </c>
      <c r="C562" t="inlineStr">
        <is>
          <t>Föryngringsavverkning</t>
        </is>
      </c>
      <c r="D562" s="1" t="n">
        <v>44453</v>
      </c>
      <c r="E562" s="1" t="n">
        <v>46216</v>
      </c>
      <c r="F562" t="inlineStr">
        <is>
          <t>UPPSALA LÄN</t>
        </is>
      </c>
      <c r="G562" t="inlineStr">
        <is>
          <t>TIERP</t>
        </is>
      </c>
      <c r="I562" t="n">
        <v>4.5</v>
      </c>
      <c r="J562" t="n">
        <v>0</v>
      </c>
      <c r="K562" t="n">
        <v>0</v>
      </c>
      <c r="L562" t="n">
        <v>0</v>
      </c>
      <c r="M562" t="n">
        <v>0</v>
      </c>
      <c r="N562" t="n">
        <v>0</v>
      </c>
      <c r="O562" t="n">
        <v>0</v>
      </c>
      <c r="P562" t="n">
        <v>0</v>
      </c>
      <c r="Q562" t="n">
        <v>0</v>
      </c>
      <c r="R562" t="n">
        <v>0</v>
      </c>
      <c r="S562" t="n">
        <v>0</v>
      </c>
      <c r="T562" t="n">
        <v>0</v>
      </c>
      <c r="U562" s="2" t="inlineStr"/>
    </row>
    <row r="563" ht="15" customHeight="1">
      <c r="A563" t="inlineStr">
        <is>
          <t>A 4409-2023</t>
        </is>
      </c>
      <c r="B563" t="inlineStr">
        <is>
          <t>avverkningsanmälan</t>
        </is>
      </c>
      <c r="C563" t="inlineStr">
        <is>
          <t>Föryngringsavverkning</t>
        </is>
      </c>
      <c r="D563" s="1" t="n">
        <v>44956</v>
      </c>
      <c r="E563" s="1" t="n">
        <v>46216</v>
      </c>
      <c r="F563" t="inlineStr">
        <is>
          <t>UPPSALA LÄN</t>
        </is>
      </c>
      <c r="G563" t="inlineStr">
        <is>
          <t>TIERP</t>
        </is>
      </c>
      <c r="H563" t="inlineStr">
        <is>
          <t>Bergvik skog öst AB</t>
        </is>
      </c>
      <c r="I563" t="n">
        <v>3.7</v>
      </c>
      <c r="J563" t="n">
        <v>0</v>
      </c>
      <c r="K563" t="n">
        <v>0</v>
      </c>
      <c r="L563" t="n">
        <v>0</v>
      </c>
      <c r="M563" t="n">
        <v>0</v>
      </c>
      <c r="N563" t="n">
        <v>0</v>
      </c>
      <c r="O563" t="n">
        <v>0</v>
      </c>
      <c r="P563" t="n">
        <v>0</v>
      </c>
      <c r="Q563" t="n">
        <v>0</v>
      </c>
      <c r="R563" t="n">
        <v>0</v>
      </c>
      <c r="S563" t="n">
        <v>0</v>
      </c>
      <c r="T563" t="n">
        <v>0</v>
      </c>
      <c r="U563" s="2" t="inlineStr"/>
    </row>
    <row r="564" ht="15" customHeight="1">
      <c r="A564" t="inlineStr">
        <is>
          <t>A 59658-2024</t>
        </is>
      </c>
      <c r="B564" t="inlineStr">
        <is>
          <t>avverkningsanmälan</t>
        </is>
      </c>
      <c r="C564" t="inlineStr">
        <is>
          <t>Föryngringsavverkning</t>
        </is>
      </c>
      <c r="D564" s="1" t="n">
        <v>45639</v>
      </c>
      <c r="E564" s="1" t="n">
        <v>46216</v>
      </c>
      <c r="F564" t="inlineStr">
        <is>
          <t>UPPSALA LÄN</t>
        </is>
      </c>
      <c r="G564" t="inlineStr">
        <is>
          <t>TIERP</t>
        </is>
      </c>
      <c r="I564" t="n">
        <v>4.9</v>
      </c>
      <c r="J564" t="n">
        <v>0</v>
      </c>
      <c r="K564" t="n">
        <v>0</v>
      </c>
      <c r="L564" t="n">
        <v>0</v>
      </c>
      <c r="M564" t="n">
        <v>0</v>
      </c>
      <c r="N564" t="n">
        <v>0</v>
      </c>
      <c r="O564" t="n">
        <v>0</v>
      </c>
      <c r="P564" t="n">
        <v>0</v>
      </c>
      <c r="Q564" t="n">
        <v>0</v>
      </c>
      <c r="R564" t="n">
        <v>0</v>
      </c>
      <c r="S564" t="n">
        <v>0</v>
      </c>
      <c r="T564" t="n">
        <v>0</v>
      </c>
      <c r="U564" s="2" t="inlineStr"/>
    </row>
    <row r="565" ht="15" customHeight="1">
      <c r="A565" t="inlineStr">
        <is>
          <t>A 59731-2022</t>
        </is>
      </c>
      <c r="B565" t="inlineStr">
        <is>
          <t>avverkningsanmälan</t>
        </is>
      </c>
      <c r="C565" t="inlineStr">
        <is>
          <t>Avverkning för annat ändamål</t>
        </is>
      </c>
      <c r="D565" s="1" t="n">
        <v>44908</v>
      </c>
      <c r="E565" s="1" t="n">
        <v>46216</v>
      </c>
      <c r="F565" t="inlineStr">
        <is>
          <t>UPPSALA LÄN</t>
        </is>
      </c>
      <c r="G565" t="inlineStr">
        <is>
          <t>TIERP</t>
        </is>
      </c>
      <c r="H565" t="inlineStr">
        <is>
          <t>Kyrkan</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534-2026</t>
        </is>
      </c>
      <c r="B566" t="inlineStr">
        <is>
          <t>avverkningsanmälan</t>
        </is>
      </c>
      <c r="C566" t="inlineStr">
        <is>
          <t>Föryngringsavverkning</t>
        </is>
      </c>
      <c r="D566" s="1" t="n">
        <v>46029</v>
      </c>
      <c r="E566" s="1" t="n">
        <v>46216</v>
      </c>
      <c r="F566" t="inlineStr">
        <is>
          <t>UPPSALA LÄN</t>
        </is>
      </c>
      <c r="G566" t="inlineStr">
        <is>
          <t>TIERP</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7370-2023</t>
        </is>
      </c>
      <c r="B567" t="inlineStr">
        <is>
          <t>avverkningsanmälan</t>
        </is>
      </c>
      <c r="C567" t="inlineStr">
        <is>
          <t>Föryngringsavverkning</t>
        </is>
      </c>
      <c r="D567" s="1" t="n">
        <v>44971</v>
      </c>
      <c r="E567" s="1" t="n">
        <v>46216</v>
      </c>
      <c r="F567" t="inlineStr">
        <is>
          <t>UPPSALA LÄN</t>
        </is>
      </c>
      <c r="G567" t="inlineStr">
        <is>
          <t>TIERP</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26506-2026</t>
        </is>
      </c>
      <c r="B568" t="inlineStr">
        <is>
          <t>avverkningsanmälan</t>
        </is>
      </c>
      <c r="C568" t="inlineStr">
        <is>
          <t>Föryngringsavverkning</t>
        </is>
      </c>
      <c r="D568" s="1" t="n">
        <v>46183</v>
      </c>
      <c r="E568" s="1" t="n">
        <v>46216</v>
      </c>
      <c r="F568" t="inlineStr">
        <is>
          <t>UPPSALA LÄN</t>
        </is>
      </c>
      <c r="G568" t="inlineStr">
        <is>
          <t>TIERP</t>
        </is>
      </c>
      <c r="H568" t="inlineStr">
        <is>
          <t>Bergvik skog öst AB</t>
        </is>
      </c>
      <c r="I568" t="n">
        <v>7.5</v>
      </c>
      <c r="J568" t="n">
        <v>0</v>
      </c>
      <c r="K568" t="n">
        <v>0</v>
      </c>
      <c r="L568" t="n">
        <v>0</v>
      </c>
      <c r="M568" t="n">
        <v>0</v>
      </c>
      <c r="N568" t="n">
        <v>0</v>
      </c>
      <c r="O568" t="n">
        <v>0</v>
      </c>
      <c r="P568" t="n">
        <v>0</v>
      </c>
      <c r="Q568" t="n">
        <v>0</v>
      </c>
      <c r="R568" t="n">
        <v>0</v>
      </c>
      <c r="S568" t="n">
        <v>0</v>
      </c>
      <c r="T568" t="n">
        <v>0</v>
      </c>
      <c r="U568" s="2" t="inlineStr"/>
    </row>
    <row r="569" ht="15" customHeight="1">
      <c r="A569" t="inlineStr">
        <is>
          <t>A 44505-2023</t>
        </is>
      </c>
      <c r="B569" t="inlineStr">
        <is>
          <t>avverkningsanmälan</t>
        </is>
      </c>
      <c r="C569" t="inlineStr">
        <is>
          <t>Föryngringsavverkning</t>
        </is>
      </c>
      <c r="D569" s="1" t="n">
        <v>45184</v>
      </c>
      <c r="E569" s="1" t="n">
        <v>46216</v>
      </c>
      <c r="F569" t="inlineStr">
        <is>
          <t>UPPSALA LÄN</t>
        </is>
      </c>
      <c r="G569" t="inlineStr">
        <is>
          <t>TIERP</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26771-2024</t>
        </is>
      </c>
      <c r="B570" t="inlineStr">
        <is>
          <t>avverkningsanmälan</t>
        </is>
      </c>
      <c r="C570" t="inlineStr">
        <is>
          <t>Föryngringsavverkning</t>
        </is>
      </c>
      <c r="D570" s="1" t="n">
        <v>45470</v>
      </c>
      <c r="E570" s="1" t="n">
        <v>46216</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5918-2022</t>
        </is>
      </c>
      <c r="B571" t="inlineStr">
        <is>
          <t>avverkningsanmälan</t>
        </is>
      </c>
      <c r="C571" t="inlineStr">
        <is>
          <t>Föryngringsavverkning</t>
        </is>
      </c>
      <c r="D571" s="1" t="n">
        <v>44597</v>
      </c>
      <c r="E571" s="1" t="n">
        <v>46216</v>
      </c>
      <c r="F571" t="inlineStr">
        <is>
          <t>UPPSALA LÄN</t>
        </is>
      </c>
      <c r="G571" t="inlineStr">
        <is>
          <t>TIERP</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A 45848-2024</t>
        </is>
      </c>
      <c r="B572" t="inlineStr">
        <is>
          <t>avverkningsanmälan</t>
        </is>
      </c>
      <c r="C572" t="inlineStr">
        <is>
          <t>Föryngringsavverkning</t>
        </is>
      </c>
      <c r="D572" s="1" t="n">
        <v>45580</v>
      </c>
      <c r="E572" s="1" t="n">
        <v>46216</v>
      </c>
      <c r="F572" t="inlineStr">
        <is>
          <t>UPPSALA LÄN</t>
        </is>
      </c>
      <c r="G572" t="inlineStr">
        <is>
          <t>TIERP</t>
        </is>
      </c>
      <c r="I572" t="n">
        <v>6.4</v>
      </c>
      <c r="J572" t="n">
        <v>0</v>
      </c>
      <c r="K572" t="n">
        <v>0</v>
      </c>
      <c r="L572" t="n">
        <v>0</v>
      </c>
      <c r="M572" t="n">
        <v>0</v>
      </c>
      <c r="N572" t="n">
        <v>0</v>
      </c>
      <c r="O572" t="n">
        <v>0</v>
      </c>
      <c r="P572" t="n">
        <v>0</v>
      </c>
      <c r="Q572" t="n">
        <v>0</v>
      </c>
      <c r="R572" t="n">
        <v>0</v>
      </c>
      <c r="S572" t="n">
        <v>0</v>
      </c>
      <c r="T572" t="n">
        <v>0</v>
      </c>
      <c r="U572" s="2" t="inlineStr"/>
    </row>
    <row r="573" ht="15" customHeight="1">
      <c r="A573" t="inlineStr">
        <is>
          <t>A 52388-2022</t>
        </is>
      </c>
      <c r="B573" t="inlineStr">
        <is>
          <t>avverkningsanmälan</t>
        </is>
      </c>
      <c r="C573" t="inlineStr">
        <is>
          <t>Föryngringsavverkning</t>
        </is>
      </c>
      <c r="D573" s="1" t="n">
        <v>44874</v>
      </c>
      <c r="E573" s="1" t="n">
        <v>46216</v>
      </c>
      <c r="F573" t="inlineStr">
        <is>
          <t>UPPSALA LÄN</t>
        </is>
      </c>
      <c r="G573" t="inlineStr">
        <is>
          <t>TIERP</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26966-2026</t>
        </is>
      </c>
      <c r="B574" t="inlineStr">
        <is>
          <t>avverkningsanmälan</t>
        </is>
      </c>
      <c r="C574" t="inlineStr">
        <is>
          <t>Föryngringsavverkning</t>
        </is>
      </c>
      <c r="D574" s="1" t="n">
        <v>46185</v>
      </c>
      <c r="E574" s="1" t="n">
        <v>46216</v>
      </c>
      <c r="F574" t="inlineStr">
        <is>
          <t>UPPSALA LÄN</t>
        </is>
      </c>
      <c r="G574" t="inlineStr">
        <is>
          <t>TIERP</t>
        </is>
      </c>
      <c r="I574" t="n">
        <v>14.2</v>
      </c>
      <c r="J574" t="n">
        <v>0</v>
      </c>
      <c r="K574" t="n">
        <v>0</v>
      </c>
      <c r="L574" t="n">
        <v>0</v>
      </c>
      <c r="M574" t="n">
        <v>0</v>
      </c>
      <c r="N574" t="n">
        <v>0</v>
      </c>
      <c r="O574" t="n">
        <v>0</v>
      </c>
      <c r="P574" t="n">
        <v>0</v>
      </c>
      <c r="Q574" t="n">
        <v>0</v>
      </c>
      <c r="R574" t="n">
        <v>0</v>
      </c>
      <c r="S574" t="n">
        <v>0</v>
      </c>
      <c r="T574" t="n">
        <v>0</v>
      </c>
      <c r="U574" s="2" t="inlineStr"/>
    </row>
    <row r="575" ht="15" customHeight="1">
      <c r="A575" t="inlineStr">
        <is>
          <t>A 20911-2022</t>
        </is>
      </c>
      <c r="B575" t="inlineStr">
        <is>
          <t>avverkningsanmälan</t>
        </is>
      </c>
      <c r="C575" t="inlineStr">
        <is>
          <t>Föryngringsavverkning</t>
        </is>
      </c>
      <c r="D575" s="1" t="n">
        <v>44701</v>
      </c>
      <c r="E575" s="1" t="n">
        <v>46216</v>
      </c>
      <c r="F575" t="inlineStr">
        <is>
          <t>UPPSALA LÄN</t>
        </is>
      </c>
      <c r="G575" t="inlineStr">
        <is>
          <t>TIERP</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27331-2026</t>
        </is>
      </c>
      <c r="B576" t="inlineStr">
        <is>
          <t>avverkningsanmälan</t>
        </is>
      </c>
      <c r="C576" t="inlineStr">
        <is>
          <t>Föryngringsavverkning</t>
        </is>
      </c>
      <c r="D576" s="1" t="n">
        <v>46188</v>
      </c>
      <c r="E576" s="1" t="n">
        <v>46216</v>
      </c>
      <c r="F576" t="inlineStr">
        <is>
          <t>UPPSALA LÄN</t>
        </is>
      </c>
      <c r="G576" t="inlineStr">
        <is>
          <t>TIERP</t>
        </is>
      </c>
      <c r="H576" t="inlineStr">
        <is>
          <t>Bergvik skog väst AB</t>
        </is>
      </c>
      <c r="I576" t="n">
        <v>5.5</v>
      </c>
      <c r="J576" t="n">
        <v>0</v>
      </c>
      <c r="K576" t="n">
        <v>0</v>
      </c>
      <c r="L576" t="n">
        <v>0</v>
      </c>
      <c r="M576" t="n">
        <v>0</v>
      </c>
      <c r="N576" t="n">
        <v>0</v>
      </c>
      <c r="O576" t="n">
        <v>0</v>
      </c>
      <c r="P576" t="n">
        <v>0</v>
      </c>
      <c r="Q576" t="n">
        <v>0</v>
      </c>
      <c r="R576" t="n">
        <v>0</v>
      </c>
      <c r="S576" t="n">
        <v>0</v>
      </c>
      <c r="T576" t="n">
        <v>0</v>
      </c>
      <c r="U576" s="2" t="inlineStr"/>
    </row>
    <row r="577" ht="15" customHeight="1">
      <c r="A577" t="inlineStr">
        <is>
          <t>A 21439-2026</t>
        </is>
      </c>
      <c r="B577" t="inlineStr">
        <is>
          <t>avverkningsanmälan</t>
        </is>
      </c>
      <c r="C577" t="inlineStr">
        <is>
          <t>Föryngringsavverkning</t>
        </is>
      </c>
      <c r="D577" s="1" t="n">
        <v>46146</v>
      </c>
      <c r="E577" s="1" t="n">
        <v>46216</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21275-2026</t>
        </is>
      </c>
      <c r="B578" t="inlineStr">
        <is>
          <t>avverkningsanmälan</t>
        </is>
      </c>
      <c r="C578" t="inlineStr">
        <is>
          <t>Föryngringsavverkning</t>
        </is>
      </c>
      <c r="D578" s="1" t="n">
        <v>46147</v>
      </c>
      <c r="E578" s="1" t="n">
        <v>46216</v>
      </c>
      <c r="F578" t="inlineStr">
        <is>
          <t>UPPSALA LÄN</t>
        </is>
      </c>
      <c r="G578" t="inlineStr">
        <is>
          <t>TIERP</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56946-2023</t>
        </is>
      </c>
      <c r="B579" t="inlineStr">
        <is>
          <t>avverkningsanmälan</t>
        </is>
      </c>
      <c r="C579" t="inlineStr">
        <is>
          <t>Föryngringsavverkning</t>
        </is>
      </c>
      <c r="D579" s="1" t="n">
        <v>45244</v>
      </c>
      <c r="E579" s="1" t="n">
        <v>46216</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44762-2023</t>
        </is>
      </c>
      <c r="B580" t="inlineStr">
        <is>
          <t>avverkningsanmälan</t>
        </is>
      </c>
      <c r="C580" t="inlineStr">
        <is>
          <t>Föryngringsavverkning</t>
        </is>
      </c>
      <c r="D580" s="1" t="n">
        <v>45190</v>
      </c>
      <c r="E580" s="1" t="n">
        <v>46216</v>
      </c>
      <c r="F580" t="inlineStr">
        <is>
          <t>UPPSALA LÄN</t>
        </is>
      </c>
      <c r="G580" t="inlineStr">
        <is>
          <t>TIERP</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27266-2026</t>
        </is>
      </c>
      <c r="B581" t="inlineStr">
        <is>
          <t>avverkningsanmälan</t>
        </is>
      </c>
      <c r="C581" t="inlineStr">
        <is>
          <t>Föryngringsavverkning</t>
        </is>
      </c>
      <c r="D581" s="1" t="n">
        <v>46188</v>
      </c>
      <c r="E581" s="1" t="n">
        <v>46216</v>
      </c>
      <c r="F581" t="inlineStr">
        <is>
          <t>UPPSALA LÄN</t>
        </is>
      </c>
      <c r="G581" t="inlineStr">
        <is>
          <t>TIERP</t>
        </is>
      </c>
      <c r="H581" t="inlineStr">
        <is>
          <t>Bergvik skog öst AB</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12885-2024</t>
        </is>
      </c>
      <c r="B582" t="inlineStr">
        <is>
          <t>avverkningsanmälan</t>
        </is>
      </c>
      <c r="C582" t="inlineStr">
        <is>
          <t>Avverkning för annat ändamål</t>
        </is>
      </c>
      <c r="D582" s="1" t="n">
        <v>45385</v>
      </c>
      <c r="E582" s="1" t="n">
        <v>46216</v>
      </c>
      <c r="F582" t="inlineStr">
        <is>
          <t>UPPSALA LÄN</t>
        </is>
      </c>
      <c r="G582" t="inlineStr">
        <is>
          <t>TIERP</t>
        </is>
      </c>
      <c r="I582" t="n">
        <v>0.4</v>
      </c>
      <c r="J582" t="n">
        <v>0</v>
      </c>
      <c r="K582" t="n">
        <v>0</v>
      </c>
      <c r="L582" t="n">
        <v>0</v>
      </c>
      <c r="M582" t="n">
        <v>0</v>
      </c>
      <c r="N582" t="n">
        <v>0</v>
      </c>
      <c r="O582" t="n">
        <v>0</v>
      </c>
      <c r="P582" t="n">
        <v>0</v>
      </c>
      <c r="Q582" t="n">
        <v>0</v>
      </c>
      <c r="R582" t="n">
        <v>0</v>
      </c>
      <c r="S582" t="n">
        <v>0</v>
      </c>
      <c r="T582" t="n">
        <v>0</v>
      </c>
      <c r="U582" s="2" t="inlineStr"/>
    </row>
    <row r="583" ht="15" customHeight="1">
      <c r="A583" t="inlineStr">
        <is>
          <t>A 21487-2026</t>
        </is>
      </c>
      <c r="B583" t="inlineStr">
        <is>
          <t>avverkningsanmälan</t>
        </is>
      </c>
      <c r="C583" t="inlineStr">
        <is>
          <t>Föryngringsavverkning</t>
        </is>
      </c>
      <c r="D583" s="1" t="n">
        <v>46148</v>
      </c>
      <c r="E583" s="1" t="n">
        <v>46216</v>
      </c>
      <c r="F583" t="inlineStr">
        <is>
          <t>UPPSALA LÄN</t>
        </is>
      </c>
      <c r="G583" t="inlineStr">
        <is>
          <t>TIERP</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27776-2026</t>
        </is>
      </c>
      <c r="B584" t="inlineStr">
        <is>
          <t>avverkningsanmälan</t>
        </is>
      </c>
      <c r="C584" t="inlineStr">
        <is>
          <t>Föryngringsavverkning</t>
        </is>
      </c>
      <c r="D584" s="1" t="n">
        <v>46191</v>
      </c>
      <c r="E584" s="1" t="n">
        <v>46216</v>
      </c>
      <c r="F584" t="inlineStr">
        <is>
          <t>UPPSALA LÄN</t>
        </is>
      </c>
      <c r="G584" t="inlineStr">
        <is>
          <t>TIERP</t>
        </is>
      </c>
      <c r="H584" t="inlineStr">
        <is>
          <t>Bergvik skog öst AB</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27790-2026</t>
        </is>
      </c>
      <c r="B585" t="inlineStr">
        <is>
          <t>avverkningsanmälan</t>
        </is>
      </c>
      <c r="C585" t="inlineStr">
        <is>
          <t>Föryngringsavverkning</t>
        </is>
      </c>
      <c r="D585" s="1" t="n">
        <v>46191</v>
      </c>
      <c r="E585" s="1" t="n">
        <v>46216</v>
      </c>
      <c r="F585" t="inlineStr">
        <is>
          <t>UPPSALA LÄN</t>
        </is>
      </c>
      <c r="G585" t="inlineStr">
        <is>
          <t>TIERP</t>
        </is>
      </c>
      <c r="H585" t="inlineStr">
        <is>
          <t>Bergvik skog öst AB</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19840-2022</t>
        </is>
      </c>
      <c r="B586" t="inlineStr">
        <is>
          <t>avverkningsanmälan</t>
        </is>
      </c>
      <c r="C586" t="inlineStr">
        <is>
          <t>Föryngringsavverkning</t>
        </is>
      </c>
      <c r="D586" s="1" t="n">
        <v>44696</v>
      </c>
      <c r="E586" s="1" t="n">
        <v>46216</v>
      </c>
      <c r="F586" t="inlineStr">
        <is>
          <t>UPPSALA LÄN</t>
        </is>
      </c>
      <c r="G586" t="inlineStr">
        <is>
          <t>TIERP</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21495-2026</t>
        </is>
      </c>
      <c r="B587" t="inlineStr">
        <is>
          <t>avverkningsanmälan</t>
        </is>
      </c>
      <c r="C587" t="inlineStr">
        <is>
          <t>Föryngringsavverkning</t>
        </is>
      </c>
      <c r="D587" s="1" t="n">
        <v>46148</v>
      </c>
      <c r="E587" s="1" t="n">
        <v>46216</v>
      </c>
      <c r="F587" t="inlineStr">
        <is>
          <t>UPPSALA LÄN</t>
        </is>
      </c>
      <c r="G587" t="inlineStr">
        <is>
          <t>TIERP</t>
        </is>
      </c>
      <c r="I587" t="n">
        <v>4.6</v>
      </c>
      <c r="J587" t="n">
        <v>0</v>
      </c>
      <c r="K587" t="n">
        <v>0</v>
      </c>
      <c r="L587" t="n">
        <v>0</v>
      </c>
      <c r="M587" t="n">
        <v>0</v>
      </c>
      <c r="N587" t="n">
        <v>0</v>
      </c>
      <c r="O587" t="n">
        <v>0</v>
      </c>
      <c r="P587" t="n">
        <v>0</v>
      </c>
      <c r="Q587" t="n">
        <v>0</v>
      </c>
      <c r="R587" t="n">
        <v>0</v>
      </c>
      <c r="S587" t="n">
        <v>0</v>
      </c>
      <c r="T587" t="n">
        <v>0</v>
      </c>
      <c r="U587" s="2" t="inlineStr"/>
    </row>
    <row r="588" ht="15" customHeight="1">
      <c r="A588" t="inlineStr">
        <is>
          <t>A 21538-2026</t>
        </is>
      </c>
      <c r="B588" t="inlineStr">
        <is>
          <t>avverkningsanmälan</t>
        </is>
      </c>
      <c r="C588" t="inlineStr">
        <is>
          <t>Föryngringsavverkning</t>
        </is>
      </c>
      <c r="D588" s="1" t="n">
        <v>46148</v>
      </c>
      <c r="E588" s="1" t="n">
        <v>46216</v>
      </c>
      <c r="F588" t="inlineStr">
        <is>
          <t>UPPSALA LÄN</t>
        </is>
      </c>
      <c r="G588" t="inlineStr">
        <is>
          <t>TIERP</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21469-2026</t>
        </is>
      </c>
      <c r="B589" t="inlineStr">
        <is>
          <t>avverkningsanmälan</t>
        </is>
      </c>
      <c r="C589" t="inlineStr">
        <is>
          <t>Föryngringsavverkning</t>
        </is>
      </c>
      <c r="D589" s="1" t="n">
        <v>46148</v>
      </c>
      <c r="E589" s="1" t="n">
        <v>46216</v>
      </c>
      <c r="F589" t="inlineStr">
        <is>
          <t>UPPSALA LÄN</t>
        </is>
      </c>
      <c r="G589" t="inlineStr">
        <is>
          <t>TIERP</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21457-2026</t>
        </is>
      </c>
      <c r="B590" t="inlineStr">
        <is>
          <t>avverkningsanmälan</t>
        </is>
      </c>
      <c r="C590" t="inlineStr">
        <is>
          <t>Föryngringsavverkning</t>
        </is>
      </c>
      <c r="D590" s="1" t="n">
        <v>46148</v>
      </c>
      <c r="E590" s="1" t="n">
        <v>46216</v>
      </c>
      <c r="F590" t="inlineStr">
        <is>
          <t>UPPSALA LÄN</t>
        </is>
      </c>
      <c r="G590" t="inlineStr">
        <is>
          <t>TIERP</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21533-2026</t>
        </is>
      </c>
      <c r="B591" t="inlineStr">
        <is>
          <t>avverkningsanmälan</t>
        </is>
      </c>
      <c r="C591" t="inlineStr">
        <is>
          <t>Föryngringsavverkning</t>
        </is>
      </c>
      <c r="D591" s="1" t="n">
        <v>46148</v>
      </c>
      <c r="E591" s="1" t="n">
        <v>46216</v>
      </c>
      <c r="F591" t="inlineStr">
        <is>
          <t>UPPSALA LÄN</t>
        </is>
      </c>
      <c r="G591" t="inlineStr">
        <is>
          <t>TIERP</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27567-2026</t>
        </is>
      </c>
      <c r="B592" t="inlineStr">
        <is>
          <t>avverkningsanmälan</t>
        </is>
      </c>
      <c r="C592" t="inlineStr">
        <is>
          <t>Föryngringsavverkning</t>
        </is>
      </c>
      <c r="D592" s="1" t="n">
        <v>46190</v>
      </c>
      <c r="E592" s="1" t="n">
        <v>46216</v>
      </c>
      <c r="F592" t="inlineStr">
        <is>
          <t>UPPSALA LÄN</t>
        </is>
      </c>
      <c r="G592" t="inlineStr">
        <is>
          <t>TIERP</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27574-2026</t>
        </is>
      </c>
      <c r="B593" t="inlineStr">
        <is>
          <t>avverkningsanmälan</t>
        </is>
      </c>
      <c r="C593" t="inlineStr">
        <is>
          <t>Föryngringsavverkning</t>
        </is>
      </c>
      <c r="D593" s="1" t="n">
        <v>46190</v>
      </c>
      <c r="E593" s="1" t="n">
        <v>46216</v>
      </c>
      <c r="F593" t="inlineStr">
        <is>
          <t>UPPSALA LÄN</t>
        </is>
      </c>
      <c r="G593" t="inlineStr">
        <is>
          <t>TIERP</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27558-2026</t>
        </is>
      </c>
      <c r="B594" t="inlineStr">
        <is>
          <t>avverkningsanmälan</t>
        </is>
      </c>
      <c r="C594" t="inlineStr">
        <is>
          <t>Föryngringsavverkning</t>
        </is>
      </c>
      <c r="D594" s="1" t="n">
        <v>46190</v>
      </c>
      <c r="E594" s="1" t="n">
        <v>46216</v>
      </c>
      <c r="F594" t="inlineStr">
        <is>
          <t>UPPSALA LÄN</t>
        </is>
      </c>
      <c r="G594" t="inlineStr">
        <is>
          <t>TIERP</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21452-2026</t>
        </is>
      </c>
      <c r="B595" t="inlineStr">
        <is>
          <t>avverkningsanmälan</t>
        </is>
      </c>
      <c r="C595" t="inlineStr">
        <is>
          <t>Föryngringsavverkning</t>
        </is>
      </c>
      <c r="D595" s="1" t="n">
        <v>46148</v>
      </c>
      <c r="E595" s="1" t="n">
        <v>46216</v>
      </c>
      <c r="F595" t="inlineStr">
        <is>
          <t>UPPSALA LÄN</t>
        </is>
      </c>
      <c r="G595" t="inlineStr">
        <is>
          <t>TIERP</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28098-2026</t>
        </is>
      </c>
      <c r="B596" t="inlineStr">
        <is>
          <t>avverkningsanmälan</t>
        </is>
      </c>
      <c r="C596" t="inlineStr">
        <is>
          <t>Föryngringsavverkning</t>
        </is>
      </c>
      <c r="D596" s="1" t="n">
        <v>46195</v>
      </c>
      <c r="E596" s="1" t="n">
        <v>46216</v>
      </c>
      <c r="F596" t="inlineStr">
        <is>
          <t>UPPSALA LÄN</t>
        </is>
      </c>
      <c r="G596" t="inlineStr">
        <is>
          <t>TIERP</t>
        </is>
      </c>
      <c r="I596" t="n">
        <v>2.6</v>
      </c>
      <c r="J596" t="n">
        <v>0</v>
      </c>
      <c r="K596" t="n">
        <v>0</v>
      </c>
      <c r="L596" t="n">
        <v>0</v>
      </c>
      <c r="M596" t="n">
        <v>0</v>
      </c>
      <c r="N596" t="n">
        <v>0</v>
      </c>
      <c r="O596" t="n">
        <v>0</v>
      </c>
      <c r="P596" t="n">
        <v>0</v>
      </c>
      <c r="Q596" t="n">
        <v>0</v>
      </c>
      <c r="R596" t="n">
        <v>0</v>
      </c>
      <c r="S596" t="n">
        <v>0</v>
      </c>
      <c r="T596" t="n">
        <v>0</v>
      </c>
      <c r="U596" s="2" t="inlineStr"/>
    </row>
    <row r="597" ht="15" customHeight="1">
      <c r="A597" t="inlineStr">
        <is>
          <t>A 28101-2026</t>
        </is>
      </c>
      <c r="B597" t="inlineStr">
        <is>
          <t>avverkningsanmälan</t>
        </is>
      </c>
      <c r="C597" t="inlineStr">
        <is>
          <t>Föryngringsavverkning</t>
        </is>
      </c>
      <c r="D597" s="1" t="n">
        <v>46195</v>
      </c>
      <c r="E597" s="1" t="n">
        <v>46216</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28188-2026</t>
        </is>
      </c>
      <c r="B598" t="inlineStr">
        <is>
          <t>avverkningsanmälan</t>
        </is>
      </c>
      <c r="C598" t="inlineStr">
        <is>
          <t>Föryngringsavverkning</t>
        </is>
      </c>
      <c r="D598" s="1" t="n">
        <v>46195</v>
      </c>
      <c r="E598" s="1" t="n">
        <v>46216</v>
      </c>
      <c r="F598" t="inlineStr">
        <is>
          <t>UPPSALA LÄN</t>
        </is>
      </c>
      <c r="G598" t="inlineStr">
        <is>
          <t>TIERP</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28171-2026</t>
        </is>
      </c>
      <c r="B599" t="inlineStr">
        <is>
          <t>avverkningsanmälan</t>
        </is>
      </c>
      <c r="C599" t="inlineStr">
        <is>
          <t>Föryngringsavverkning</t>
        </is>
      </c>
      <c r="D599" s="1" t="n">
        <v>46195</v>
      </c>
      <c r="E599" s="1" t="n">
        <v>46216</v>
      </c>
      <c r="F599" t="inlineStr">
        <is>
          <t>UPPSALA LÄN</t>
        </is>
      </c>
      <c r="G599" t="inlineStr">
        <is>
          <t>TIERP</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28105-2026</t>
        </is>
      </c>
      <c r="B600" t="inlineStr">
        <is>
          <t>avverkningsanmälan</t>
        </is>
      </c>
      <c r="C600" t="inlineStr">
        <is>
          <t>Föryngringsavverkning</t>
        </is>
      </c>
      <c r="D600" s="1" t="n">
        <v>46195</v>
      </c>
      <c r="E600" s="1" t="n">
        <v>46216</v>
      </c>
      <c r="F600" t="inlineStr">
        <is>
          <t>UPPSALA LÄN</t>
        </is>
      </c>
      <c r="G600" t="inlineStr">
        <is>
          <t>TIERP</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46976-2021</t>
        </is>
      </c>
      <c r="B601" t="inlineStr">
        <is>
          <t>avverkningsanmälan</t>
        </is>
      </c>
      <c r="C601" t="inlineStr">
        <is>
          <t>Föryngringsavverkning</t>
        </is>
      </c>
      <c r="D601" s="1" t="n">
        <v>44446</v>
      </c>
      <c r="E601" s="1" t="n">
        <v>46216</v>
      </c>
      <c r="F601" t="inlineStr">
        <is>
          <t>UPPSALA LÄN</t>
        </is>
      </c>
      <c r="G601" t="inlineStr">
        <is>
          <t>TIERP</t>
        </is>
      </c>
      <c r="H601" t="inlineStr">
        <is>
          <t>Bergvik skog väst AB</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22203-2026</t>
        </is>
      </c>
      <c r="B602" t="inlineStr">
        <is>
          <t>avverkningsanmälan</t>
        </is>
      </c>
      <c r="C602" t="inlineStr">
        <is>
          <t>Föryngringsavverkning</t>
        </is>
      </c>
      <c r="D602" s="1" t="n">
        <v>46153</v>
      </c>
      <c r="E602" s="1" t="n">
        <v>46216</v>
      </c>
      <c r="F602" t="inlineStr">
        <is>
          <t>UPPSALA LÄN</t>
        </is>
      </c>
      <c r="G602" t="inlineStr">
        <is>
          <t>TIERP</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20854-2024</t>
        </is>
      </c>
      <c r="B603" t="inlineStr">
        <is>
          <t>avverkningsanmälan</t>
        </is>
      </c>
      <c r="C603" t="inlineStr">
        <is>
          <t>Föryngringsavverkning</t>
        </is>
      </c>
      <c r="D603" s="1" t="n">
        <v>45439</v>
      </c>
      <c r="E603" s="1" t="n">
        <v>46216</v>
      </c>
      <c r="F603" t="inlineStr">
        <is>
          <t>UPPSALA LÄN</t>
        </is>
      </c>
      <c r="G603" t="inlineStr">
        <is>
          <t>TIERP</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28169-2026</t>
        </is>
      </c>
      <c r="B604" t="inlineStr">
        <is>
          <t>avverkningsanmälan</t>
        </is>
      </c>
      <c r="C604" t="inlineStr">
        <is>
          <t>Föryngringsavverkning</t>
        </is>
      </c>
      <c r="D604" s="1" t="n">
        <v>46195</v>
      </c>
      <c r="E604" s="1" t="n">
        <v>46216</v>
      </c>
      <c r="F604" t="inlineStr">
        <is>
          <t>UPPSALA LÄN</t>
        </is>
      </c>
      <c r="G604" t="inlineStr">
        <is>
          <t>TIERP</t>
        </is>
      </c>
      <c r="I604" t="n">
        <v>1.8</v>
      </c>
      <c r="J604" t="n">
        <v>0</v>
      </c>
      <c r="K604" t="n">
        <v>0</v>
      </c>
      <c r="L604" t="n">
        <v>0</v>
      </c>
      <c r="M604" t="n">
        <v>0</v>
      </c>
      <c r="N604" t="n">
        <v>0</v>
      </c>
      <c r="O604" t="n">
        <v>0</v>
      </c>
      <c r="P604" t="n">
        <v>0</v>
      </c>
      <c r="Q604" t="n">
        <v>0</v>
      </c>
      <c r="R604" t="n">
        <v>0</v>
      </c>
      <c r="S604" t="n">
        <v>0</v>
      </c>
      <c r="T604" t="n">
        <v>0</v>
      </c>
      <c r="U604" s="2" t="inlineStr"/>
    </row>
    <row r="605" ht="15" customHeight="1">
      <c r="A605" t="inlineStr">
        <is>
          <t>A 22072-2026</t>
        </is>
      </c>
      <c r="B605" t="inlineStr">
        <is>
          <t>avverkningsanmälan</t>
        </is>
      </c>
      <c r="C605" t="inlineStr">
        <is>
          <t>Föryngringsavverkning</t>
        </is>
      </c>
      <c r="D605" s="1" t="n">
        <v>46153</v>
      </c>
      <c r="E605" s="1" t="n">
        <v>46216</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s="2" t="inlineStr"/>
    </row>
    <row r="606" ht="15" customHeight="1">
      <c r="A606" t="inlineStr">
        <is>
          <t>A 13464-2024</t>
        </is>
      </c>
      <c r="B606" t="inlineStr">
        <is>
          <t>avverkningsanmälan</t>
        </is>
      </c>
      <c r="C606" t="inlineStr">
        <is>
          <t>Föryngringsavverkning</t>
        </is>
      </c>
      <c r="D606" s="1" t="n">
        <v>45387</v>
      </c>
      <c r="E606" s="1" t="n">
        <v>46216</v>
      </c>
      <c r="F606" t="inlineStr">
        <is>
          <t>UPPSALA LÄN</t>
        </is>
      </c>
      <c r="G606" t="inlineStr">
        <is>
          <t>TIERP</t>
        </is>
      </c>
      <c r="H606" t="inlineStr">
        <is>
          <t>Bergvik skog väst AB</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13356-2024</t>
        </is>
      </c>
      <c r="B607" t="inlineStr">
        <is>
          <t>avverkningsanmälan</t>
        </is>
      </c>
      <c r="C607" t="inlineStr">
        <is>
          <t>Föryngringsavverkning</t>
        </is>
      </c>
      <c r="D607" s="1" t="n">
        <v>45387</v>
      </c>
      <c r="E607" s="1" t="n">
        <v>46216</v>
      </c>
      <c r="F607" t="inlineStr">
        <is>
          <t>UPPSALA LÄN</t>
        </is>
      </c>
      <c r="G607" t="inlineStr">
        <is>
          <t>TIERP</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61149-2024</t>
        </is>
      </c>
      <c r="B608" t="inlineStr">
        <is>
          <t>avverkningsanmälan</t>
        </is>
      </c>
      <c r="C608" t="inlineStr">
        <is>
          <t>Föryngringsavverkning</t>
        </is>
      </c>
      <c r="D608" s="1" t="n">
        <v>45645</v>
      </c>
      <c r="E608" s="1" t="n">
        <v>46216</v>
      </c>
      <c r="F608" t="inlineStr">
        <is>
          <t>UPPSALA LÄN</t>
        </is>
      </c>
      <c r="G608" t="inlineStr">
        <is>
          <t>TIERP</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22566-2026</t>
        </is>
      </c>
      <c r="B609" t="inlineStr">
        <is>
          <t>avverkningsanmälan</t>
        </is>
      </c>
      <c r="C609" t="inlineStr">
        <is>
          <t>Föryngringsavverkning</t>
        </is>
      </c>
      <c r="D609" s="1" t="n">
        <v>46155</v>
      </c>
      <c r="E609" s="1" t="n">
        <v>46216</v>
      </c>
      <c r="F609" t="inlineStr">
        <is>
          <t>UPPSALA LÄN</t>
        </is>
      </c>
      <c r="G609" t="inlineStr">
        <is>
          <t>TIERP</t>
        </is>
      </c>
      <c r="H609" t="inlineStr">
        <is>
          <t>Bergvik skog öst AB</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28279-2026</t>
        </is>
      </c>
      <c r="B610" t="inlineStr">
        <is>
          <t>avverkningsanmälan</t>
        </is>
      </c>
      <c r="C610" t="inlineStr">
        <is>
          <t>Föryngringsavverkning</t>
        </is>
      </c>
      <c r="D610" s="1" t="n">
        <v>46196</v>
      </c>
      <c r="E610" s="1" t="n">
        <v>46216</v>
      </c>
      <c r="F610" t="inlineStr">
        <is>
          <t>UPPSALA LÄN</t>
        </is>
      </c>
      <c r="G610" t="inlineStr">
        <is>
          <t>TIERP</t>
        </is>
      </c>
      <c r="H610" t="inlineStr">
        <is>
          <t>Bergvik skog väst AB</t>
        </is>
      </c>
      <c r="I610" t="n">
        <v>13.8</v>
      </c>
      <c r="J610" t="n">
        <v>0</v>
      </c>
      <c r="K610" t="n">
        <v>0</v>
      </c>
      <c r="L610" t="n">
        <v>0</v>
      </c>
      <c r="M610" t="n">
        <v>0</v>
      </c>
      <c r="N610" t="n">
        <v>0</v>
      </c>
      <c r="O610" t="n">
        <v>0</v>
      </c>
      <c r="P610" t="n">
        <v>0</v>
      </c>
      <c r="Q610" t="n">
        <v>0</v>
      </c>
      <c r="R610" t="n">
        <v>0</v>
      </c>
      <c r="S610" t="n">
        <v>0</v>
      </c>
      <c r="T610" t="n">
        <v>0</v>
      </c>
      <c r="U610" s="2" t="inlineStr"/>
    </row>
    <row r="611" ht="15" customHeight="1">
      <c r="A611" t="inlineStr">
        <is>
          <t>A 22631-2026</t>
        </is>
      </c>
      <c r="B611" t="inlineStr">
        <is>
          <t>avverkningsanmälan</t>
        </is>
      </c>
      <c r="C611" t="inlineStr">
        <is>
          <t>Föryngringsavverkning</t>
        </is>
      </c>
      <c r="D611" s="1" t="n">
        <v>46155</v>
      </c>
      <c r="E611" s="1" t="n">
        <v>46216</v>
      </c>
      <c r="F611" t="inlineStr">
        <is>
          <t>UPPSALA LÄN</t>
        </is>
      </c>
      <c r="G611" t="inlineStr">
        <is>
          <t>TIERP</t>
        </is>
      </c>
      <c r="H611" t="inlineStr">
        <is>
          <t>Bergvik skog öst AB</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22304-2026</t>
        </is>
      </c>
      <c r="B612" t="inlineStr">
        <is>
          <t>avverkningsanmälan</t>
        </is>
      </c>
      <c r="C612" t="inlineStr">
        <is>
          <t>Föryngringsavverkning</t>
        </is>
      </c>
      <c r="D612" s="1" t="n">
        <v>46154</v>
      </c>
      <c r="E612" s="1" t="n">
        <v>46216</v>
      </c>
      <c r="F612" t="inlineStr">
        <is>
          <t>UPPSALA LÄN</t>
        </is>
      </c>
      <c r="G612" t="inlineStr">
        <is>
          <t>TIERP</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34460-2022</t>
        </is>
      </c>
      <c r="B613" t="inlineStr">
        <is>
          <t>avverkningsanmälan</t>
        </is>
      </c>
      <c r="C613" t="inlineStr">
        <is>
          <t>Föryngringsavverkning</t>
        </is>
      </c>
      <c r="D613" s="1" t="n">
        <v>44792</v>
      </c>
      <c r="E613" s="1" t="n">
        <v>46216</v>
      </c>
      <c r="F613" t="inlineStr">
        <is>
          <t>UPPSALA LÄN</t>
        </is>
      </c>
      <c r="G613" t="inlineStr">
        <is>
          <t>TIERP</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18412-2025</t>
        </is>
      </c>
      <c r="B614" t="inlineStr">
        <is>
          <t>avverkningsanmälan</t>
        </is>
      </c>
      <c r="C614" t="inlineStr">
        <is>
          <t>Föryngringsavverkning</t>
        </is>
      </c>
      <c r="D614" s="1" t="n">
        <v>45762</v>
      </c>
      <c r="E614" s="1" t="n">
        <v>46216</v>
      </c>
      <c r="F614" t="inlineStr">
        <is>
          <t>UPPSALA LÄN</t>
        </is>
      </c>
      <c r="G614" t="inlineStr">
        <is>
          <t>TIERP</t>
        </is>
      </c>
      <c r="H614" t="inlineStr">
        <is>
          <t>Bergvik skog öst AB</t>
        </is>
      </c>
      <c r="I614" t="n">
        <v>7.3</v>
      </c>
      <c r="J614" t="n">
        <v>0</v>
      </c>
      <c r="K614" t="n">
        <v>0</v>
      </c>
      <c r="L614" t="n">
        <v>0</v>
      </c>
      <c r="M614" t="n">
        <v>0</v>
      </c>
      <c r="N614" t="n">
        <v>0</v>
      </c>
      <c r="O614" t="n">
        <v>0</v>
      </c>
      <c r="P614" t="n">
        <v>0</v>
      </c>
      <c r="Q614" t="n">
        <v>0</v>
      </c>
      <c r="R614" t="n">
        <v>0</v>
      </c>
      <c r="S614" t="n">
        <v>0</v>
      </c>
      <c r="T614" t="n">
        <v>0</v>
      </c>
      <c r="U614" s="2" t="inlineStr"/>
    </row>
    <row r="615" ht="15" customHeight="1">
      <c r="A615" t="inlineStr">
        <is>
          <t>A 28912-2023</t>
        </is>
      </c>
      <c r="B615" t="inlineStr">
        <is>
          <t>avverkningsanmälan</t>
        </is>
      </c>
      <c r="C615" t="inlineStr">
        <is>
          <t>Föryngringsavverkning</t>
        </is>
      </c>
      <c r="D615" s="1" t="n">
        <v>45104</v>
      </c>
      <c r="E615" s="1" t="n">
        <v>46216</v>
      </c>
      <c r="F615" t="inlineStr">
        <is>
          <t>UPPSALA LÄN</t>
        </is>
      </c>
      <c r="G615" t="inlineStr">
        <is>
          <t>TIERP</t>
        </is>
      </c>
      <c r="H615" t="inlineStr">
        <is>
          <t>Bergvik skog öst AB</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28310-2026</t>
        </is>
      </c>
      <c r="B616" t="inlineStr">
        <is>
          <t>avverkningsanmälan</t>
        </is>
      </c>
      <c r="C616" t="inlineStr">
        <is>
          <t>Föryngringsavverkning</t>
        </is>
      </c>
      <c r="D616" s="1" t="n">
        <v>46196</v>
      </c>
      <c r="E616" s="1" t="n">
        <v>46216</v>
      </c>
      <c r="F616" t="inlineStr">
        <is>
          <t>UPPSALA LÄN</t>
        </is>
      </c>
      <c r="G616" t="inlineStr">
        <is>
          <t>TIERP</t>
        </is>
      </c>
      <c r="H616" t="inlineStr">
        <is>
          <t>Övriga Aktiebolag</t>
        </is>
      </c>
      <c r="I616" t="n">
        <v>2.6</v>
      </c>
      <c r="J616" t="n">
        <v>0</v>
      </c>
      <c r="K616" t="n">
        <v>0</v>
      </c>
      <c r="L616" t="n">
        <v>0</v>
      </c>
      <c r="M616" t="n">
        <v>0</v>
      </c>
      <c r="N616" t="n">
        <v>0</v>
      </c>
      <c r="O616" t="n">
        <v>0</v>
      </c>
      <c r="P616" t="n">
        <v>0</v>
      </c>
      <c r="Q616" t="n">
        <v>0</v>
      </c>
      <c r="R616" t="n">
        <v>0</v>
      </c>
      <c r="S616" t="n">
        <v>0</v>
      </c>
      <c r="T616" t="n">
        <v>0</v>
      </c>
      <c r="U616" s="2" t="inlineStr"/>
    </row>
    <row r="617" ht="15" customHeight="1">
      <c r="A617" t="inlineStr">
        <is>
          <t>A 22901-2023</t>
        </is>
      </c>
      <c r="B617" t="inlineStr">
        <is>
          <t>avverkningsanmälan</t>
        </is>
      </c>
      <c r="C617" t="inlineStr">
        <is>
          <t>Avverkning för annat ändamål</t>
        </is>
      </c>
      <c r="D617" s="1" t="n">
        <v>45072</v>
      </c>
      <c r="E617" s="1" t="n">
        <v>46216</v>
      </c>
      <c r="F617" t="inlineStr">
        <is>
          <t>UPPSALA LÄN</t>
        </is>
      </c>
      <c r="G617" t="inlineStr">
        <is>
          <t>TIERP</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22647-2026</t>
        </is>
      </c>
      <c r="B618" t="inlineStr">
        <is>
          <t>avverkningsanmälan</t>
        </is>
      </c>
      <c r="C618" t="inlineStr">
        <is>
          <t>Föryngringsavverkning</t>
        </is>
      </c>
      <c r="D618" s="1" t="n">
        <v>46155</v>
      </c>
      <c r="E618" s="1" t="n">
        <v>46216</v>
      </c>
      <c r="F618" t="inlineStr">
        <is>
          <t>UPPSALA LÄN</t>
        </is>
      </c>
      <c r="G618" t="inlineStr">
        <is>
          <t>TIERP</t>
        </is>
      </c>
      <c r="H618" t="inlineStr">
        <is>
          <t>Bergvik skog öst AB</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28246-2026</t>
        </is>
      </c>
      <c r="B619" t="inlineStr">
        <is>
          <t>avverkningsanmälan</t>
        </is>
      </c>
      <c r="C619" t="inlineStr">
        <is>
          <t>Föryngringsavverkning</t>
        </is>
      </c>
      <c r="D619" s="1" t="n">
        <v>46196</v>
      </c>
      <c r="E619" s="1" t="n">
        <v>46216</v>
      </c>
      <c r="F619" t="inlineStr">
        <is>
          <t>UPPSALA LÄN</t>
        </is>
      </c>
      <c r="G619" t="inlineStr">
        <is>
          <t>TIERP</t>
        </is>
      </c>
      <c r="H619" t="inlineStr">
        <is>
          <t>Bergvik skog väst AB</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28958-2026</t>
        </is>
      </c>
      <c r="B620" t="inlineStr">
        <is>
          <t>avverkningsanmälan</t>
        </is>
      </c>
      <c r="C620" t="inlineStr">
        <is>
          <t>Föryngringsavverkning</t>
        </is>
      </c>
      <c r="D620" s="1" t="n">
        <v>46199</v>
      </c>
      <c r="E620" s="1" t="n">
        <v>46216</v>
      </c>
      <c r="F620" t="inlineStr">
        <is>
          <t>UPPSALA LÄN</t>
        </is>
      </c>
      <c r="G620" t="inlineStr">
        <is>
          <t>TIERP</t>
        </is>
      </c>
      <c r="H620" t="inlineStr">
        <is>
          <t>Bergvik skog väst AB</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60304-2024</t>
        </is>
      </c>
      <c r="B621" t="inlineStr">
        <is>
          <t>avverkningsanmälan</t>
        </is>
      </c>
      <c r="C621" t="inlineStr">
        <is>
          <t>Föryngringsavverkning</t>
        </is>
      </c>
      <c r="D621" s="1" t="n">
        <v>45643</v>
      </c>
      <c r="E621" s="1" t="n">
        <v>46216</v>
      </c>
      <c r="F621" t="inlineStr">
        <is>
          <t>UPPSALA LÄN</t>
        </is>
      </c>
      <c r="G621" t="inlineStr">
        <is>
          <t>TIERP</t>
        </is>
      </c>
      <c r="H621" t="inlineStr">
        <is>
          <t>Bergvik skog öst AB</t>
        </is>
      </c>
      <c r="I621" t="n">
        <v>3.4</v>
      </c>
      <c r="J621" t="n">
        <v>0</v>
      </c>
      <c r="K621" t="n">
        <v>0</v>
      </c>
      <c r="L621" t="n">
        <v>0</v>
      </c>
      <c r="M621" t="n">
        <v>0</v>
      </c>
      <c r="N621" t="n">
        <v>0</v>
      </c>
      <c r="O621" t="n">
        <v>0</v>
      </c>
      <c r="P621" t="n">
        <v>0</v>
      </c>
      <c r="Q621" t="n">
        <v>0</v>
      </c>
      <c r="R621" t="n">
        <v>0</v>
      </c>
      <c r="S621" t="n">
        <v>0</v>
      </c>
      <c r="T621" t="n">
        <v>0</v>
      </c>
      <c r="U621" s="2" t="inlineStr"/>
    </row>
    <row r="622" ht="15" customHeight="1">
      <c r="A622" t="inlineStr">
        <is>
          <t>A 28952-2026</t>
        </is>
      </c>
      <c r="B622" t="inlineStr">
        <is>
          <t>avverkningsanmälan</t>
        </is>
      </c>
      <c r="C622" t="inlineStr">
        <is>
          <t>Föryngringsavverkning</t>
        </is>
      </c>
      <c r="D622" s="1" t="n">
        <v>46199</v>
      </c>
      <c r="E622" s="1" t="n">
        <v>46216</v>
      </c>
      <c r="F622" t="inlineStr">
        <is>
          <t>UPPSALA LÄN</t>
        </is>
      </c>
      <c r="G622" t="inlineStr">
        <is>
          <t>TIERP</t>
        </is>
      </c>
      <c r="H622" t="inlineStr">
        <is>
          <t>Bergvik skog väst AB</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62006-2024</t>
        </is>
      </c>
      <c r="B623" t="inlineStr">
        <is>
          <t>avverkningsanmälan</t>
        </is>
      </c>
      <c r="C623" t="inlineStr">
        <is>
          <t>Föryngringsavverkning</t>
        </is>
      </c>
      <c r="D623" s="1" t="n">
        <v>45655</v>
      </c>
      <c r="E623" s="1" t="n">
        <v>46216</v>
      </c>
      <c r="F623" t="inlineStr">
        <is>
          <t>UPPSALA LÄN</t>
        </is>
      </c>
      <c r="G623" t="inlineStr">
        <is>
          <t>TIERP</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29237-2026</t>
        </is>
      </c>
      <c r="B624" t="inlineStr">
        <is>
          <t>avverkningsanmälan</t>
        </is>
      </c>
      <c r="C624" t="inlineStr">
        <is>
          <t>Föryngringsavverkning</t>
        </is>
      </c>
      <c r="D624" s="1" t="n">
        <v>46202</v>
      </c>
      <c r="E624" s="1" t="n">
        <v>46216</v>
      </c>
      <c r="F624" t="inlineStr">
        <is>
          <t>UPPSALA LÄN</t>
        </is>
      </c>
      <c r="G624" t="inlineStr">
        <is>
          <t>TIERP</t>
        </is>
      </c>
      <c r="H624" t="inlineStr">
        <is>
          <t>Bergvik skog öst AB</t>
        </is>
      </c>
      <c r="I624" t="n">
        <v>2.9</v>
      </c>
      <c r="J624" t="n">
        <v>0</v>
      </c>
      <c r="K624" t="n">
        <v>0</v>
      </c>
      <c r="L624" t="n">
        <v>0</v>
      </c>
      <c r="M624" t="n">
        <v>0</v>
      </c>
      <c r="N624" t="n">
        <v>0</v>
      </c>
      <c r="O624" t="n">
        <v>0</v>
      </c>
      <c r="P624" t="n">
        <v>0</v>
      </c>
      <c r="Q624" t="n">
        <v>0</v>
      </c>
      <c r="R624" t="n">
        <v>0</v>
      </c>
      <c r="S624" t="n">
        <v>0</v>
      </c>
      <c r="T624" t="n">
        <v>0</v>
      </c>
      <c r="U624" s="2" t="inlineStr"/>
    </row>
    <row r="625" ht="15" customHeight="1">
      <c r="A625" t="inlineStr">
        <is>
          <t>A 23160-2026</t>
        </is>
      </c>
      <c r="B625" t="inlineStr">
        <is>
          <t>avverkningsanmälan</t>
        </is>
      </c>
      <c r="C625" t="inlineStr">
        <is>
          <t>Föryngringsavverkning</t>
        </is>
      </c>
      <c r="D625" s="1" t="n">
        <v>46161</v>
      </c>
      <c r="E625" s="1" t="n">
        <v>46216</v>
      </c>
      <c r="F625" t="inlineStr">
        <is>
          <t>UPPSALA LÄN</t>
        </is>
      </c>
      <c r="G625" t="inlineStr">
        <is>
          <t>TIERP</t>
        </is>
      </c>
      <c r="H625" t="inlineStr">
        <is>
          <t>Bergvik skog väst AB</t>
        </is>
      </c>
      <c r="I625" t="n">
        <v>3.3</v>
      </c>
      <c r="J625" t="n">
        <v>0</v>
      </c>
      <c r="K625" t="n">
        <v>0</v>
      </c>
      <c r="L625" t="n">
        <v>0</v>
      </c>
      <c r="M625" t="n">
        <v>0</v>
      </c>
      <c r="N625" t="n">
        <v>0</v>
      </c>
      <c r="O625" t="n">
        <v>0</v>
      </c>
      <c r="P625" t="n">
        <v>0</v>
      </c>
      <c r="Q625" t="n">
        <v>0</v>
      </c>
      <c r="R625" t="n">
        <v>0</v>
      </c>
      <c r="S625" t="n">
        <v>0</v>
      </c>
      <c r="T625" t="n">
        <v>0</v>
      </c>
      <c r="U625" s="2" t="inlineStr"/>
    </row>
    <row r="626" ht="15" customHeight="1">
      <c r="A626" t="inlineStr">
        <is>
          <t>A 29361-2026</t>
        </is>
      </c>
      <c r="B626" t="inlineStr">
        <is>
          <t>avverkningsanmälan</t>
        </is>
      </c>
      <c r="C626" t="inlineStr">
        <is>
          <t>Föryngringsavverkning</t>
        </is>
      </c>
      <c r="D626" s="1" t="n">
        <v>46203</v>
      </c>
      <c r="E626" s="1" t="n">
        <v>46216</v>
      </c>
      <c r="F626" t="inlineStr">
        <is>
          <t>UPPSALA LÄN</t>
        </is>
      </c>
      <c r="G626" t="inlineStr">
        <is>
          <t>TIERP</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1081-2026</t>
        </is>
      </c>
      <c r="B627" t="inlineStr">
        <is>
          <t>avverkningsanmälan</t>
        </is>
      </c>
      <c r="C627" t="inlineStr">
        <is>
          <t>Föryngringsavverkning</t>
        </is>
      </c>
      <c r="D627" s="1" t="n">
        <v>46030</v>
      </c>
      <c r="E627" s="1" t="n">
        <v>46216</v>
      </c>
      <c r="F627" t="inlineStr">
        <is>
          <t>UPPSALA LÄN</t>
        </is>
      </c>
      <c r="G627" t="inlineStr">
        <is>
          <t>TIERP</t>
        </is>
      </c>
      <c r="H627" t="inlineStr">
        <is>
          <t>Bergvik skog öst AB</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29363-2026</t>
        </is>
      </c>
      <c r="B628" t="inlineStr">
        <is>
          <t>avverkningsanmälan</t>
        </is>
      </c>
      <c r="C628" t="inlineStr">
        <is>
          <t>Föryngringsavverkning</t>
        </is>
      </c>
      <c r="D628" s="1" t="n">
        <v>46203</v>
      </c>
      <c r="E628" s="1" t="n">
        <v>46216</v>
      </c>
      <c r="F628" t="inlineStr">
        <is>
          <t>UPPSALA LÄN</t>
        </is>
      </c>
      <c r="G628" t="inlineStr">
        <is>
          <t>TIERP</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41223-2023</t>
        </is>
      </c>
      <c r="B629" t="inlineStr">
        <is>
          <t>avverkningsanmälan</t>
        </is>
      </c>
      <c r="C629" t="inlineStr">
        <is>
          <t>Föryngringsavverkning</t>
        </is>
      </c>
      <c r="D629" s="1" t="n">
        <v>45174</v>
      </c>
      <c r="E629" s="1" t="n">
        <v>46216</v>
      </c>
      <c r="F629" t="inlineStr">
        <is>
          <t>UPPSALA LÄN</t>
        </is>
      </c>
      <c r="G629" t="inlineStr">
        <is>
          <t>TIERP</t>
        </is>
      </c>
      <c r="I629" t="n">
        <v>3.3</v>
      </c>
      <c r="J629" t="n">
        <v>0</v>
      </c>
      <c r="K629" t="n">
        <v>0</v>
      </c>
      <c r="L629" t="n">
        <v>0</v>
      </c>
      <c r="M629" t="n">
        <v>0</v>
      </c>
      <c r="N629" t="n">
        <v>0</v>
      </c>
      <c r="O629" t="n">
        <v>0</v>
      </c>
      <c r="P629" t="n">
        <v>0</v>
      </c>
      <c r="Q629" t="n">
        <v>0</v>
      </c>
      <c r="R629" t="n">
        <v>0</v>
      </c>
      <c r="S629" t="n">
        <v>0</v>
      </c>
      <c r="T629" t="n">
        <v>0</v>
      </c>
      <c r="U629" s="2" t="inlineStr"/>
    </row>
    <row r="630" ht="15" customHeight="1">
      <c r="A630" t="inlineStr">
        <is>
          <t>A 22930-2026</t>
        </is>
      </c>
      <c r="B630" t="inlineStr">
        <is>
          <t>avverkningsanmälan</t>
        </is>
      </c>
      <c r="C630" t="inlineStr">
        <is>
          <t>Föryngringsavverkning</t>
        </is>
      </c>
      <c r="D630" s="1" t="n">
        <v>46160</v>
      </c>
      <c r="E630" s="1" t="n">
        <v>46216</v>
      </c>
      <c r="F630" t="inlineStr">
        <is>
          <t>UPPSALA LÄN</t>
        </is>
      </c>
      <c r="G630" t="inlineStr">
        <is>
          <t>TIERP</t>
        </is>
      </c>
      <c r="I630" t="n">
        <v>6.9</v>
      </c>
      <c r="J630" t="n">
        <v>0</v>
      </c>
      <c r="K630" t="n">
        <v>0</v>
      </c>
      <c r="L630" t="n">
        <v>0</v>
      </c>
      <c r="M630" t="n">
        <v>0</v>
      </c>
      <c r="N630" t="n">
        <v>0</v>
      </c>
      <c r="O630" t="n">
        <v>0</v>
      </c>
      <c r="P630" t="n">
        <v>0</v>
      </c>
      <c r="Q630" t="n">
        <v>0</v>
      </c>
      <c r="R630" t="n">
        <v>0</v>
      </c>
      <c r="S630" t="n">
        <v>0</v>
      </c>
      <c r="T630" t="n">
        <v>0</v>
      </c>
      <c r="U630" s="2" t="inlineStr"/>
    </row>
    <row r="631" ht="15" customHeight="1">
      <c r="A631" t="inlineStr">
        <is>
          <t>A 9238-2023</t>
        </is>
      </c>
      <c r="B631" t="inlineStr">
        <is>
          <t>avverkningsanmälan</t>
        </is>
      </c>
      <c r="C631" t="inlineStr">
        <is>
          <t>Föryngringsavverkning</t>
        </is>
      </c>
      <c r="D631" s="1" t="n">
        <v>44980</v>
      </c>
      <c r="E631" s="1" t="n">
        <v>46216</v>
      </c>
      <c r="F631" t="inlineStr">
        <is>
          <t>UPPSALA LÄN</t>
        </is>
      </c>
      <c r="G631" t="inlineStr">
        <is>
          <t>TIERP</t>
        </is>
      </c>
      <c r="I631" t="n">
        <v>4.8</v>
      </c>
      <c r="J631" t="n">
        <v>0</v>
      </c>
      <c r="K631" t="n">
        <v>0</v>
      </c>
      <c r="L631" t="n">
        <v>0</v>
      </c>
      <c r="M631" t="n">
        <v>0</v>
      </c>
      <c r="N631" t="n">
        <v>0</v>
      </c>
      <c r="O631" t="n">
        <v>0</v>
      </c>
      <c r="P631" t="n">
        <v>0</v>
      </c>
      <c r="Q631" t="n">
        <v>0</v>
      </c>
      <c r="R631" t="n">
        <v>0</v>
      </c>
      <c r="S631" t="n">
        <v>0</v>
      </c>
      <c r="T631" t="n">
        <v>0</v>
      </c>
      <c r="U631" s="2" t="inlineStr"/>
    </row>
    <row r="632" ht="15" customHeight="1">
      <c r="A632" t="inlineStr">
        <is>
          <t>A 9432-2023</t>
        </is>
      </c>
      <c r="B632" t="inlineStr">
        <is>
          <t>avverkningsanmälan</t>
        </is>
      </c>
      <c r="C632" t="inlineStr">
        <is>
          <t>Föryngringsavverkning</t>
        </is>
      </c>
      <c r="D632" s="1" t="n">
        <v>44981</v>
      </c>
      <c r="E632" s="1" t="n">
        <v>46216</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29649-2026</t>
        </is>
      </c>
      <c r="B633" t="inlineStr">
        <is>
          <t>avverkningsanmälan</t>
        </is>
      </c>
      <c r="C633" t="inlineStr">
        <is>
          <t>Föryngringsavverkning</t>
        </is>
      </c>
      <c r="D633" s="1" t="n">
        <v>46204</v>
      </c>
      <c r="E633" s="1" t="n">
        <v>46216</v>
      </c>
      <c r="F633" t="inlineStr">
        <is>
          <t>UPPSALA LÄN</t>
        </is>
      </c>
      <c r="G633" t="inlineStr">
        <is>
          <t>TIERP</t>
        </is>
      </c>
      <c r="H633" t="inlineStr">
        <is>
          <t>Bergvik skog öst AB</t>
        </is>
      </c>
      <c r="I633" t="n">
        <v>7.3</v>
      </c>
      <c r="J633" t="n">
        <v>0</v>
      </c>
      <c r="K633" t="n">
        <v>0</v>
      </c>
      <c r="L633" t="n">
        <v>0</v>
      </c>
      <c r="M633" t="n">
        <v>0</v>
      </c>
      <c r="N633" t="n">
        <v>0</v>
      </c>
      <c r="O633" t="n">
        <v>0</v>
      </c>
      <c r="P633" t="n">
        <v>0</v>
      </c>
      <c r="Q633" t="n">
        <v>0</v>
      </c>
      <c r="R633" t="n">
        <v>0</v>
      </c>
      <c r="S633" t="n">
        <v>0</v>
      </c>
      <c r="T633" t="n">
        <v>0</v>
      </c>
      <c r="U633" s="2" t="inlineStr"/>
    </row>
    <row r="634" ht="15" customHeight="1">
      <c r="A634" t="inlineStr">
        <is>
          <t>A 28304-2026</t>
        </is>
      </c>
      <c r="B634" t="inlineStr">
        <is>
          <t>avverkningsanmälan</t>
        </is>
      </c>
      <c r="C634" t="inlineStr">
        <is>
          <t>Föryngringsavverkning</t>
        </is>
      </c>
      <c r="D634" s="1" t="n">
        <v>46196</v>
      </c>
      <c r="E634" s="1" t="n">
        <v>46216</v>
      </c>
      <c r="F634" t="inlineStr">
        <is>
          <t>UPPSALA LÄN</t>
        </is>
      </c>
      <c r="G634" t="inlineStr">
        <is>
          <t>TIERP</t>
        </is>
      </c>
      <c r="H634" t="inlineStr">
        <is>
          <t>Bergvik skog öst AB</t>
        </is>
      </c>
      <c r="I634" t="n">
        <v>2.9</v>
      </c>
      <c r="J634" t="n">
        <v>0</v>
      </c>
      <c r="K634" t="n">
        <v>0</v>
      </c>
      <c r="L634" t="n">
        <v>0</v>
      </c>
      <c r="M634" t="n">
        <v>0</v>
      </c>
      <c r="N634" t="n">
        <v>0</v>
      </c>
      <c r="O634" t="n">
        <v>0</v>
      </c>
      <c r="P634" t="n">
        <v>0</v>
      </c>
      <c r="Q634" t="n">
        <v>0</v>
      </c>
      <c r="R634" t="n">
        <v>0</v>
      </c>
      <c r="S634" t="n">
        <v>0</v>
      </c>
      <c r="T634" t="n">
        <v>0</v>
      </c>
      <c r="U634" s="2" t="inlineStr"/>
    </row>
    <row r="635" ht="15" customHeight="1">
      <c r="A635" t="inlineStr">
        <is>
          <t>A 54712-2025</t>
        </is>
      </c>
      <c r="B635" t="inlineStr">
        <is>
          <t>avverkningsanmälan</t>
        </is>
      </c>
      <c r="C635" t="inlineStr">
        <is>
          <t>Föryngringsavverkning</t>
        </is>
      </c>
      <c r="D635" s="1" t="n">
        <v>45966</v>
      </c>
      <c r="E635" s="1" t="n">
        <v>46216</v>
      </c>
      <c r="F635" t="inlineStr">
        <is>
          <t>UPPSALA LÄN</t>
        </is>
      </c>
      <c r="G635" t="inlineStr">
        <is>
          <t>TIERP</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20846-2024</t>
        </is>
      </c>
      <c r="B636" t="inlineStr">
        <is>
          <t>avverkningsanmälan</t>
        </is>
      </c>
      <c r="C636" t="inlineStr">
        <is>
          <t>Föryngringsavverkning</t>
        </is>
      </c>
      <c r="D636" s="1" t="n">
        <v>45439</v>
      </c>
      <c r="E636" s="1" t="n">
        <v>46216</v>
      </c>
      <c r="F636" t="inlineStr">
        <is>
          <t>UPPSALA LÄN</t>
        </is>
      </c>
      <c r="G636" t="inlineStr">
        <is>
          <t>TIERP</t>
        </is>
      </c>
      <c r="I636" t="n">
        <v>0.8</v>
      </c>
      <c r="J636" t="n">
        <v>0</v>
      </c>
      <c r="K636" t="n">
        <v>0</v>
      </c>
      <c r="L636" t="n">
        <v>0</v>
      </c>
      <c r="M636" t="n">
        <v>0</v>
      </c>
      <c r="N636" t="n">
        <v>0</v>
      </c>
      <c r="O636" t="n">
        <v>0</v>
      </c>
      <c r="P636" t="n">
        <v>0</v>
      </c>
      <c r="Q636" t="n">
        <v>0</v>
      </c>
      <c r="R636" t="n">
        <v>0</v>
      </c>
      <c r="S636" t="n">
        <v>0</v>
      </c>
      <c r="T636" t="n">
        <v>0</v>
      </c>
      <c r="U636" s="2" t="inlineStr"/>
    </row>
    <row r="637" ht="15" customHeight="1">
      <c r="A637" t="inlineStr">
        <is>
          <t>A 25363-2022</t>
        </is>
      </c>
      <c r="B637" t="inlineStr">
        <is>
          <t>avverkningsanmälan</t>
        </is>
      </c>
      <c r="C637" t="inlineStr">
        <is>
          <t>Föryngringsavverkning</t>
        </is>
      </c>
      <c r="D637" s="1" t="n">
        <v>44732</v>
      </c>
      <c r="E637" s="1" t="n">
        <v>46216</v>
      </c>
      <c r="F637" t="inlineStr">
        <is>
          <t>UPPSALA LÄN</t>
        </is>
      </c>
      <c r="G637" t="inlineStr">
        <is>
          <t>TIERP</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30195-2026</t>
        </is>
      </c>
      <c r="B638" t="inlineStr">
        <is>
          <t>avverkningsanmälan</t>
        </is>
      </c>
      <c r="C638" t="inlineStr">
        <is>
          <t>Föryngringsavverkning</t>
        </is>
      </c>
      <c r="D638" s="1" t="n">
        <v>46206</v>
      </c>
      <c r="E638" s="1" t="n">
        <v>46216</v>
      </c>
      <c r="F638" t="inlineStr">
        <is>
          <t>UPPSALA LÄN</t>
        </is>
      </c>
      <c r="G638" t="inlineStr">
        <is>
          <t>TIERP</t>
        </is>
      </c>
      <c r="H638" t="inlineStr">
        <is>
          <t>Bergvik skog öst AB</t>
        </is>
      </c>
      <c r="I638" t="n">
        <v>5.4</v>
      </c>
      <c r="J638" t="n">
        <v>0</v>
      </c>
      <c r="K638" t="n">
        <v>0</v>
      </c>
      <c r="L638" t="n">
        <v>0</v>
      </c>
      <c r="M638" t="n">
        <v>0</v>
      </c>
      <c r="N638" t="n">
        <v>0</v>
      </c>
      <c r="O638" t="n">
        <v>0</v>
      </c>
      <c r="P638" t="n">
        <v>0</v>
      </c>
      <c r="Q638" t="n">
        <v>0</v>
      </c>
      <c r="R638" t="n">
        <v>0</v>
      </c>
      <c r="S638" t="n">
        <v>0</v>
      </c>
      <c r="T638" t="n">
        <v>0</v>
      </c>
      <c r="U638" s="2" t="inlineStr"/>
    </row>
    <row r="639" ht="15" customHeight="1">
      <c r="A639" t="inlineStr">
        <is>
          <t>A 47968-2023</t>
        </is>
      </c>
      <c r="B639" t="inlineStr">
        <is>
          <t>avverkningsanmälan</t>
        </is>
      </c>
      <c r="C639" t="inlineStr">
        <is>
          <t>Föryngringsavverkning</t>
        </is>
      </c>
      <c r="D639" s="1" t="n">
        <v>45204</v>
      </c>
      <c r="E639" s="1" t="n">
        <v>46216</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16851-2025</t>
        </is>
      </c>
      <c r="B640" t="inlineStr">
        <is>
          <t>avverkningsanmälan</t>
        </is>
      </c>
      <c r="C640" t="inlineStr">
        <is>
          <t>Föryngringsavverkning</t>
        </is>
      </c>
      <c r="D640" s="1" t="n">
        <v>45754</v>
      </c>
      <c r="E640" s="1" t="n">
        <v>46216</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48735-2023</t>
        </is>
      </c>
      <c r="B641" t="inlineStr">
        <is>
          <t>avverkningsanmälan</t>
        </is>
      </c>
      <c r="C641" t="inlineStr">
        <is>
          <t>Föryngringsavverkning</t>
        </is>
      </c>
      <c r="D641" s="1" t="n">
        <v>45203</v>
      </c>
      <c r="E641" s="1" t="n">
        <v>46216</v>
      </c>
      <c r="F641" t="inlineStr">
        <is>
          <t>UPPSALA LÄN</t>
        </is>
      </c>
      <c r="G641" t="inlineStr">
        <is>
          <t>TIERP</t>
        </is>
      </c>
      <c r="H641" t="inlineStr">
        <is>
          <t>Bergvik skog väst AB</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23154-2023</t>
        </is>
      </c>
      <c r="B642" t="inlineStr">
        <is>
          <t>avverkningsanmälan</t>
        </is>
      </c>
      <c r="C642" t="inlineStr">
        <is>
          <t>Föryngringsavverkning</t>
        </is>
      </c>
      <c r="D642" s="1" t="n">
        <v>45075</v>
      </c>
      <c r="E642" s="1" t="n">
        <v>46216</v>
      </c>
      <c r="F642" t="inlineStr">
        <is>
          <t>UPPSALA LÄN</t>
        </is>
      </c>
      <c r="G642" t="inlineStr">
        <is>
          <t>TIERP</t>
        </is>
      </c>
      <c r="H642" t="inlineStr">
        <is>
          <t>Kyrkan</t>
        </is>
      </c>
      <c r="I642" t="n">
        <v>3.3</v>
      </c>
      <c r="J642" t="n">
        <v>0</v>
      </c>
      <c r="K642" t="n">
        <v>0</v>
      </c>
      <c r="L642" t="n">
        <v>0</v>
      </c>
      <c r="M642" t="n">
        <v>0</v>
      </c>
      <c r="N642" t="n">
        <v>0</v>
      </c>
      <c r="O642" t="n">
        <v>0</v>
      </c>
      <c r="P642" t="n">
        <v>0</v>
      </c>
      <c r="Q642" t="n">
        <v>0</v>
      </c>
      <c r="R642" t="n">
        <v>0</v>
      </c>
      <c r="S642" t="n">
        <v>0</v>
      </c>
      <c r="T642" t="n">
        <v>0</v>
      </c>
      <c r="U642" s="2" t="inlineStr"/>
    </row>
    <row r="643" ht="15" customHeight="1">
      <c r="A643" t="inlineStr">
        <is>
          <t>A 2838-2025</t>
        </is>
      </c>
      <c r="B643" t="inlineStr">
        <is>
          <t>avverkningsanmälan</t>
        </is>
      </c>
      <c r="C643" t="inlineStr">
        <is>
          <t>Föryngringsavverkning</t>
        </is>
      </c>
      <c r="D643" s="1" t="n">
        <v>45677</v>
      </c>
      <c r="E643" s="1" t="n">
        <v>46216</v>
      </c>
      <c r="F643" t="inlineStr">
        <is>
          <t>UPPSALA LÄN</t>
        </is>
      </c>
      <c r="G643" t="inlineStr">
        <is>
          <t>TIERP</t>
        </is>
      </c>
      <c r="H643" t="inlineStr">
        <is>
          <t>Bergvik skog väst AB</t>
        </is>
      </c>
      <c r="I643" t="n">
        <v>9.300000000000001</v>
      </c>
      <c r="J643" t="n">
        <v>0</v>
      </c>
      <c r="K643" t="n">
        <v>0</v>
      </c>
      <c r="L643" t="n">
        <v>0</v>
      </c>
      <c r="M643" t="n">
        <v>0</v>
      </c>
      <c r="N643" t="n">
        <v>0</v>
      </c>
      <c r="O643" t="n">
        <v>0</v>
      </c>
      <c r="P643" t="n">
        <v>0</v>
      </c>
      <c r="Q643" t="n">
        <v>0</v>
      </c>
      <c r="R643" t="n">
        <v>0</v>
      </c>
      <c r="S643" t="n">
        <v>0</v>
      </c>
      <c r="T643" t="n">
        <v>0</v>
      </c>
      <c r="U643" s="2" t="inlineStr"/>
    </row>
    <row r="644" ht="15" customHeight="1">
      <c r="A644" t="inlineStr">
        <is>
          <t>A 36069-2021</t>
        </is>
      </c>
      <c r="B644" t="inlineStr">
        <is>
          <t>avverkningsanmälan</t>
        </is>
      </c>
      <c r="C644" t="inlineStr">
        <is>
          <t>Föryngringsavverkning</t>
        </is>
      </c>
      <c r="D644" s="1" t="n">
        <v>44389</v>
      </c>
      <c r="E644" s="1" t="n">
        <v>46216</v>
      </c>
      <c r="F644" t="inlineStr">
        <is>
          <t>UPPSALA LÄN</t>
        </is>
      </c>
      <c r="G644" t="inlineStr">
        <is>
          <t>TIERP</t>
        </is>
      </c>
      <c r="H644" t="inlineStr">
        <is>
          <t>Övriga Aktiebolag</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29103-2022</t>
        </is>
      </c>
      <c r="B645" t="inlineStr">
        <is>
          <t>avverkningsanmälan</t>
        </is>
      </c>
      <c r="C645" t="inlineStr">
        <is>
          <t>Föryngringsavverkning</t>
        </is>
      </c>
      <c r="D645" s="1" t="n">
        <v>44750</v>
      </c>
      <c r="E645" s="1" t="n">
        <v>46216</v>
      </c>
      <c r="F645" t="inlineStr">
        <is>
          <t>UPPSALA LÄN</t>
        </is>
      </c>
      <c r="G645" t="inlineStr">
        <is>
          <t>TIERP</t>
        </is>
      </c>
      <c r="H645" t="inlineStr">
        <is>
          <t>Bergvik skog väst AB</t>
        </is>
      </c>
      <c r="I645" t="n">
        <v>3.1</v>
      </c>
      <c r="J645" t="n">
        <v>0</v>
      </c>
      <c r="K645" t="n">
        <v>0</v>
      </c>
      <c r="L645" t="n">
        <v>0</v>
      </c>
      <c r="M645" t="n">
        <v>0</v>
      </c>
      <c r="N645" t="n">
        <v>0</v>
      </c>
      <c r="O645" t="n">
        <v>0</v>
      </c>
      <c r="P645" t="n">
        <v>0</v>
      </c>
      <c r="Q645" t="n">
        <v>0</v>
      </c>
      <c r="R645" t="n">
        <v>0</v>
      </c>
      <c r="S645" t="n">
        <v>0</v>
      </c>
      <c r="T645" t="n">
        <v>0</v>
      </c>
      <c r="U645" s="2" t="inlineStr"/>
    </row>
    <row r="646" ht="15" customHeight="1">
      <c r="A646" t="inlineStr">
        <is>
          <t>A 30634-2026</t>
        </is>
      </c>
      <c r="B646" t="inlineStr">
        <is>
          <t>avverkningsanmälan</t>
        </is>
      </c>
      <c r="C646" t="inlineStr">
        <is>
          <t>Föryngringsavverkning</t>
        </is>
      </c>
      <c r="D646" s="1" t="n">
        <v>46211</v>
      </c>
      <c r="E646" s="1" t="n">
        <v>46216</v>
      </c>
      <c r="F646" t="inlineStr">
        <is>
          <t>UPPSALA LÄN</t>
        </is>
      </c>
      <c r="G646" t="inlineStr">
        <is>
          <t>TIERP</t>
        </is>
      </c>
      <c r="H646" t="inlineStr">
        <is>
          <t>Övriga Aktiebolag</t>
        </is>
      </c>
      <c r="I646" t="n">
        <v>4.3</v>
      </c>
      <c r="J646" t="n">
        <v>0</v>
      </c>
      <c r="K646" t="n">
        <v>0</v>
      </c>
      <c r="L646" t="n">
        <v>0</v>
      </c>
      <c r="M646" t="n">
        <v>0</v>
      </c>
      <c r="N646" t="n">
        <v>0</v>
      </c>
      <c r="O646" t="n">
        <v>0</v>
      </c>
      <c r="P646" t="n">
        <v>0</v>
      </c>
      <c r="Q646" t="n">
        <v>0</v>
      </c>
      <c r="R646" t="n">
        <v>0</v>
      </c>
      <c r="S646" t="n">
        <v>0</v>
      </c>
      <c r="T646" t="n">
        <v>0</v>
      </c>
      <c r="U646" s="2" t="inlineStr"/>
    </row>
    <row r="647" ht="15" customHeight="1">
      <c r="A647" t="inlineStr">
        <is>
          <t>A 54764-2022</t>
        </is>
      </c>
      <c r="B647" t="inlineStr">
        <is>
          <t>avverkningsanmälan</t>
        </is>
      </c>
      <c r="C647" t="inlineStr">
        <is>
          <t>Föryngringsavverkning</t>
        </is>
      </c>
      <c r="D647" s="1" t="n">
        <v>44883</v>
      </c>
      <c r="E647" s="1" t="n">
        <v>46216</v>
      </c>
      <c r="F647" t="inlineStr">
        <is>
          <t>UPPSALA LÄN</t>
        </is>
      </c>
      <c r="G647" t="inlineStr">
        <is>
          <t>TIERP</t>
        </is>
      </c>
      <c r="I647" t="n">
        <v>8.699999999999999</v>
      </c>
      <c r="J647" t="n">
        <v>0</v>
      </c>
      <c r="K647" t="n">
        <v>0</v>
      </c>
      <c r="L647" t="n">
        <v>0</v>
      </c>
      <c r="M647" t="n">
        <v>0</v>
      </c>
      <c r="N647" t="n">
        <v>0</v>
      </c>
      <c r="O647" t="n">
        <v>0</v>
      </c>
      <c r="P647" t="n">
        <v>0</v>
      </c>
      <c r="Q647" t="n">
        <v>0</v>
      </c>
      <c r="R647" t="n">
        <v>0</v>
      </c>
      <c r="S647" t="n">
        <v>0</v>
      </c>
      <c r="T647" t="n">
        <v>0</v>
      </c>
      <c r="U647" s="2" t="inlineStr"/>
    </row>
    <row r="648" ht="15" customHeight="1">
      <c r="A648" t="inlineStr">
        <is>
          <t>A 30575-2026</t>
        </is>
      </c>
      <c r="B648" t="inlineStr">
        <is>
          <t>avverkningsanmälan</t>
        </is>
      </c>
      <c r="C648" t="inlineStr">
        <is>
          <t>Föryngringsavverkning</t>
        </is>
      </c>
      <c r="D648" s="1" t="n">
        <v>46210</v>
      </c>
      <c r="E648" s="1" t="n">
        <v>46216</v>
      </c>
      <c r="F648" t="inlineStr">
        <is>
          <t>UPPSALA LÄN</t>
        </is>
      </c>
      <c r="G648" t="inlineStr">
        <is>
          <t>TIERP</t>
        </is>
      </c>
      <c r="H648" t="inlineStr">
        <is>
          <t>Bergvik skog öst AB</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30979-2026</t>
        </is>
      </c>
      <c r="B649" t="inlineStr">
        <is>
          <t>avverkningsanmälan</t>
        </is>
      </c>
      <c r="C649" t="inlineStr">
        <is>
          <t>Föryngringsavverkning</t>
        </is>
      </c>
      <c r="D649" s="1" t="n">
        <v>46213</v>
      </c>
      <c r="E649" s="1" t="n">
        <v>46216</v>
      </c>
      <c r="F649" t="inlineStr">
        <is>
          <t>UPPSALA LÄN</t>
        </is>
      </c>
      <c r="G649" t="inlineStr">
        <is>
          <t>TIERP</t>
        </is>
      </c>
      <c r="H649" t="inlineStr">
        <is>
          <t>Bergvik skog öst AB</t>
        </is>
      </c>
      <c r="I649" t="n">
        <v>6.4</v>
      </c>
      <c r="J649" t="n">
        <v>0</v>
      </c>
      <c r="K649" t="n">
        <v>0</v>
      </c>
      <c r="L649" t="n">
        <v>0</v>
      </c>
      <c r="M649" t="n">
        <v>0</v>
      </c>
      <c r="N649" t="n">
        <v>0</v>
      </c>
      <c r="O649" t="n">
        <v>0</v>
      </c>
      <c r="P649" t="n">
        <v>0</v>
      </c>
      <c r="Q649" t="n">
        <v>0</v>
      </c>
      <c r="R649" t="n">
        <v>0</v>
      </c>
      <c r="S649" t="n">
        <v>0</v>
      </c>
      <c r="T649" t="n">
        <v>0</v>
      </c>
      <c r="U649" s="2" t="inlineStr"/>
    </row>
    <row r="650" ht="15" customHeight="1">
      <c r="A650" t="inlineStr">
        <is>
          <t>A 30794-2026</t>
        </is>
      </c>
      <c r="B650" t="inlineStr">
        <is>
          <t>avverkningsanmälan</t>
        </is>
      </c>
      <c r="C650" t="inlineStr">
        <is>
          <t>Föryngringsavverkning</t>
        </is>
      </c>
      <c r="D650" s="1" t="n">
        <v>46212</v>
      </c>
      <c r="E650" s="1" t="n">
        <v>46216</v>
      </c>
      <c r="F650" t="inlineStr">
        <is>
          <t>UPPSALA LÄN</t>
        </is>
      </c>
      <c r="G650" t="inlineStr">
        <is>
          <t>TIERP</t>
        </is>
      </c>
      <c r="H650" t="inlineStr">
        <is>
          <t>Övriga Aktiebolag</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39928-2023</t>
        </is>
      </c>
      <c r="B651" t="inlineStr">
        <is>
          <t>avverkningsanmälan</t>
        </is>
      </c>
      <c r="C651" t="inlineStr">
        <is>
          <t>Föryngringsavverkning</t>
        </is>
      </c>
      <c r="D651" s="1" t="n">
        <v>45167</v>
      </c>
      <c r="E651" s="1" t="n">
        <v>46216</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61717-2022</t>
        </is>
      </c>
      <c r="B652" t="inlineStr">
        <is>
          <t>avverkningsanmälan</t>
        </is>
      </c>
      <c r="C652" t="inlineStr">
        <is>
          <t>Avverkning för annat ändamål</t>
        </is>
      </c>
      <c r="D652" s="1" t="n">
        <v>44917</v>
      </c>
      <c r="E652" s="1" t="n">
        <v>46216</v>
      </c>
      <c r="F652" t="inlineStr">
        <is>
          <t>UPPSALA LÄN</t>
        </is>
      </c>
      <c r="G652" t="inlineStr">
        <is>
          <t>TIERP</t>
        </is>
      </c>
      <c r="I652" t="n">
        <v>3.2</v>
      </c>
      <c r="J652" t="n">
        <v>0</v>
      </c>
      <c r="K652" t="n">
        <v>0</v>
      </c>
      <c r="L652" t="n">
        <v>0</v>
      </c>
      <c r="M652" t="n">
        <v>0</v>
      </c>
      <c r="N652" t="n">
        <v>0</v>
      </c>
      <c r="O652" t="n">
        <v>0</v>
      </c>
      <c r="P652" t="n">
        <v>0</v>
      </c>
      <c r="Q652" t="n">
        <v>0</v>
      </c>
      <c r="R652" t="n">
        <v>0</v>
      </c>
      <c r="S652" t="n">
        <v>0</v>
      </c>
      <c r="T652" t="n">
        <v>0</v>
      </c>
      <c r="U652" s="2" t="inlineStr"/>
    </row>
    <row r="653" ht="15" customHeight="1">
      <c r="A653" t="inlineStr">
        <is>
          <t>A 36561-2022</t>
        </is>
      </c>
      <c r="B653" t="inlineStr">
        <is>
          <t>avverkningsanmälan</t>
        </is>
      </c>
      <c r="C653" t="inlineStr">
        <is>
          <t>Föryngringsavverkning</t>
        </is>
      </c>
      <c r="D653" s="1" t="n">
        <v>44804</v>
      </c>
      <c r="E653" s="1" t="n">
        <v>46216</v>
      </c>
      <c r="F653" t="inlineStr">
        <is>
          <t>UPPSALA LÄN</t>
        </is>
      </c>
      <c r="G653" t="inlineStr">
        <is>
          <t>TIERP</t>
        </is>
      </c>
      <c r="I653" t="n">
        <v>0.3</v>
      </c>
      <c r="J653" t="n">
        <v>0</v>
      </c>
      <c r="K653" t="n">
        <v>0</v>
      </c>
      <c r="L653" t="n">
        <v>0</v>
      </c>
      <c r="M653" t="n">
        <v>0</v>
      </c>
      <c r="N653" t="n">
        <v>0</v>
      </c>
      <c r="O653" t="n">
        <v>0</v>
      </c>
      <c r="P653" t="n">
        <v>0</v>
      </c>
      <c r="Q653" t="n">
        <v>0</v>
      </c>
      <c r="R653" t="n">
        <v>0</v>
      </c>
      <c r="S653" t="n">
        <v>0</v>
      </c>
      <c r="T653" t="n">
        <v>0</v>
      </c>
      <c r="U653" s="2" t="inlineStr"/>
      <c r="W653">
        <f>HYPERLINK("https://klasma.github.io/Logging_0360/kartor/A 36561-2022 karta.png", "A 36561-2022")</f>
        <v/>
      </c>
      <c r="Y653">
        <f>HYPERLINK("https://klasma.github.io/Logging_0360/klagomål/A 36561-2022 FSC-klagomål.docx", "A 36561-2022")</f>
        <v/>
      </c>
      <c r="Z653">
        <f>HYPERLINK("https://klasma.github.io/Logging_0360/klagomålsmail/A 36561-2022 FSC-klagomål mail.docx", "A 36561-2022")</f>
        <v/>
      </c>
      <c r="AA653">
        <f>HYPERLINK("https://klasma.github.io/Logging_0360/tillsyn/A 36561-2022 tillsynsbegäran.docx", "A 36561-2022")</f>
        <v/>
      </c>
      <c r="AB653">
        <f>HYPERLINK("https://klasma.github.io/Logging_0360/tillsynsmail/A 36561-2022 tillsynsbegäran mail.docx", "A 36561-2022")</f>
        <v/>
      </c>
    </row>
    <row r="654" ht="15" customHeight="1">
      <c r="A654" t="inlineStr">
        <is>
          <t>A 30932-2026</t>
        </is>
      </c>
      <c r="B654" t="inlineStr">
        <is>
          <t>avverkningsanmälan</t>
        </is>
      </c>
      <c r="C654" t="inlineStr">
        <is>
          <t>Föryngringsavverkning</t>
        </is>
      </c>
      <c r="D654" s="1" t="n">
        <v>46213</v>
      </c>
      <c r="E654" s="1" t="n">
        <v>46216</v>
      </c>
      <c r="F654" t="inlineStr">
        <is>
          <t>UPPSALA LÄN</t>
        </is>
      </c>
      <c r="G654" t="inlineStr">
        <is>
          <t>TIERP</t>
        </is>
      </c>
      <c r="H654" t="inlineStr">
        <is>
          <t>Bergvik skog väst AB</t>
        </is>
      </c>
      <c r="I654" t="n">
        <v>4.2</v>
      </c>
      <c r="J654" t="n">
        <v>0</v>
      </c>
      <c r="K654" t="n">
        <v>0</v>
      </c>
      <c r="L654" t="n">
        <v>0</v>
      </c>
      <c r="M654" t="n">
        <v>0</v>
      </c>
      <c r="N654" t="n">
        <v>0</v>
      </c>
      <c r="O654" t="n">
        <v>0</v>
      </c>
      <c r="P654" t="n">
        <v>0</v>
      </c>
      <c r="Q654" t="n">
        <v>0</v>
      </c>
      <c r="R654" t="n">
        <v>0</v>
      </c>
      <c r="S654" t="n">
        <v>0</v>
      </c>
      <c r="T654" t="n">
        <v>0</v>
      </c>
      <c r="U654" s="2" t="inlineStr"/>
    </row>
    <row r="655" ht="15" customHeight="1">
      <c r="A655" t="inlineStr">
        <is>
          <t>A 19172-2023</t>
        </is>
      </c>
      <c r="B655" t="inlineStr">
        <is>
          <t>avverkningsanmälan</t>
        </is>
      </c>
      <c r="C655" t="inlineStr">
        <is>
          <t>Avverkning för annat ändamål</t>
        </is>
      </c>
      <c r="D655" s="1" t="n">
        <v>45046</v>
      </c>
      <c r="E655" s="1" t="n">
        <v>46216</v>
      </c>
      <c r="F655" t="inlineStr">
        <is>
          <t>UPPSALA LÄN</t>
        </is>
      </c>
      <c r="G655" t="inlineStr">
        <is>
          <t>TIERP</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22110-2026</t>
        </is>
      </c>
      <c r="B656" t="inlineStr">
        <is>
          <t>avverkningsanmälan</t>
        </is>
      </c>
      <c r="C656" t="inlineStr">
        <is>
          <t>Avverkning för annat ändamål</t>
        </is>
      </c>
      <c r="D656" s="1" t="n">
        <v>46153</v>
      </c>
      <c r="E656" s="1" t="n">
        <v>46216</v>
      </c>
      <c r="F656" t="inlineStr">
        <is>
          <t>UPPSALA LÄN</t>
        </is>
      </c>
      <c r="G656" t="inlineStr">
        <is>
          <t>TIERP</t>
        </is>
      </c>
      <c r="H656" t="inlineStr">
        <is>
          <t>Kyrkan</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14116-2024</t>
        </is>
      </c>
      <c r="B657" t="inlineStr">
        <is>
          <t>avverkningsanmälan</t>
        </is>
      </c>
      <c r="C657" t="inlineStr">
        <is>
          <t>Föryngringsavverkning</t>
        </is>
      </c>
      <c r="D657" s="1" t="n">
        <v>45392</v>
      </c>
      <c r="E657" s="1" t="n">
        <v>46216</v>
      </c>
      <c r="F657" t="inlineStr">
        <is>
          <t>UPPSALA LÄN</t>
        </is>
      </c>
      <c r="G657" t="inlineStr">
        <is>
          <t>TIERP</t>
        </is>
      </c>
      <c r="H657" t="inlineStr">
        <is>
          <t>Bergvik skog öst AB</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30977-2026</t>
        </is>
      </c>
      <c r="B658" t="inlineStr">
        <is>
          <t>avverkningsanmälan</t>
        </is>
      </c>
      <c r="C658" t="inlineStr">
        <is>
          <t>Föryngringsavverkning</t>
        </is>
      </c>
      <c r="D658" s="1" t="n">
        <v>46213</v>
      </c>
      <c r="E658" s="1" t="n">
        <v>46216</v>
      </c>
      <c r="F658" t="inlineStr">
        <is>
          <t>UPPSALA LÄN</t>
        </is>
      </c>
      <c r="G658" t="inlineStr">
        <is>
          <t>TIERP</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22759-2024</t>
        </is>
      </c>
      <c r="B659" t="inlineStr">
        <is>
          <t>avverkningsanmälan</t>
        </is>
      </c>
      <c r="C659" t="inlineStr">
        <is>
          <t>Föryngringsavverkning</t>
        </is>
      </c>
      <c r="D659" s="1" t="n">
        <v>45448</v>
      </c>
      <c r="E659" s="1" t="n">
        <v>46216</v>
      </c>
      <c r="F659" t="inlineStr">
        <is>
          <t>UPPSALA LÄN</t>
        </is>
      </c>
      <c r="G659" t="inlineStr">
        <is>
          <t>TIERP</t>
        </is>
      </c>
      <c r="I659" t="n">
        <v>6.9</v>
      </c>
      <c r="J659" t="n">
        <v>0</v>
      </c>
      <c r="K659" t="n">
        <v>0</v>
      </c>
      <c r="L659" t="n">
        <v>0</v>
      </c>
      <c r="M659" t="n">
        <v>0</v>
      </c>
      <c r="N659" t="n">
        <v>0</v>
      </c>
      <c r="O659" t="n">
        <v>0</v>
      </c>
      <c r="P659" t="n">
        <v>0</v>
      </c>
      <c r="Q659" t="n">
        <v>0</v>
      </c>
      <c r="R659" t="n">
        <v>0</v>
      </c>
      <c r="S659" t="n">
        <v>0</v>
      </c>
      <c r="T659" t="n">
        <v>0</v>
      </c>
      <c r="U659" s="2" t="inlineStr"/>
    </row>
    <row r="660" ht="15" customHeight="1">
      <c r="A660" t="inlineStr">
        <is>
          <t>A 30841-2026</t>
        </is>
      </c>
      <c r="B660" t="inlineStr">
        <is>
          <t>avverkningsanmälan</t>
        </is>
      </c>
      <c r="C660" t="inlineStr">
        <is>
          <t>Avverkning för att bevara och utveckla /försöksver</t>
        </is>
      </c>
      <c r="D660" s="1" t="n">
        <v>46212</v>
      </c>
      <c r="E660" s="1" t="n">
        <v>46216</v>
      </c>
      <c r="F660" t="inlineStr">
        <is>
          <t>UPPSALA LÄN</t>
        </is>
      </c>
      <c r="G660" t="inlineStr">
        <is>
          <t>TIERP</t>
        </is>
      </c>
      <c r="H660" t="inlineStr">
        <is>
          <t>Kommuner</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24558-2026</t>
        </is>
      </c>
      <c r="B661" t="inlineStr">
        <is>
          <t>avverkningsanmälan</t>
        </is>
      </c>
      <c r="C661" t="inlineStr">
        <is>
          <t>Föryngringsavverkning</t>
        </is>
      </c>
      <c r="D661" s="1" t="n">
        <v>46170</v>
      </c>
      <c r="E661" s="1" t="n">
        <v>46216</v>
      </c>
      <c r="F661" t="inlineStr">
        <is>
          <t>UPPSALA LÄN</t>
        </is>
      </c>
      <c r="G661" t="inlineStr">
        <is>
          <t>TIERP</t>
        </is>
      </c>
      <c r="H661" t="inlineStr">
        <is>
          <t>Bergvik skog väst AB</t>
        </is>
      </c>
      <c r="I661" t="n">
        <v>8.300000000000001</v>
      </c>
      <c r="J661" t="n">
        <v>0</v>
      </c>
      <c r="K661" t="n">
        <v>0</v>
      </c>
      <c r="L661" t="n">
        <v>0</v>
      </c>
      <c r="M661" t="n">
        <v>0</v>
      </c>
      <c r="N661" t="n">
        <v>0</v>
      </c>
      <c r="O661" t="n">
        <v>0</v>
      </c>
      <c r="P661" t="n">
        <v>0</v>
      </c>
      <c r="Q661" t="n">
        <v>0</v>
      </c>
      <c r="R661" t="n">
        <v>0</v>
      </c>
      <c r="S661" t="n">
        <v>0</v>
      </c>
      <c r="T661" t="n">
        <v>0</v>
      </c>
      <c r="U661" s="2" t="inlineStr"/>
    </row>
    <row r="662" ht="15" customHeight="1">
      <c r="A662" t="inlineStr">
        <is>
          <t>A 24661-2026</t>
        </is>
      </c>
      <c r="B662" t="inlineStr">
        <is>
          <t>avverkningsanmälan</t>
        </is>
      </c>
      <c r="C662" t="inlineStr">
        <is>
          <t>Föryngringsavverkning</t>
        </is>
      </c>
      <c r="D662" s="1" t="n">
        <v>46171</v>
      </c>
      <c r="E662" s="1" t="n">
        <v>46216</v>
      </c>
      <c r="F662" t="inlineStr">
        <is>
          <t>UPPSALA LÄN</t>
        </is>
      </c>
      <c r="G662" t="inlineStr">
        <is>
          <t>TIERP</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18423-2025</t>
        </is>
      </c>
      <c r="B663" t="inlineStr">
        <is>
          <t>avverkningsanmälan</t>
        </is>
      </c>
      <c r="C663" t="inlineStr">
        <is>
          <t>Föryngringsavverkning</t>
        </is>
      </c>
      <c r="D663" s="1" t="n">
        <v>45762</v>
      </c>
      <c r="E663" s="1" t="n">
        <v>46216</v>
      </c>
      <c r="F663" t="inlineStr">
        <is>
          <t>UPPSALA LÄN</t>
        </is>
      </c>
      <c r="G663" t="inlineStr">
        <is>
          <t>TIERP</t>
        </is>
      </c>
      <c r="H663" t="inlineStr">
        <is>
          <t>Bergvik skog öst AB</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11568-2025</t>
        </is>
      </c>
      <c r="B664" t="inlineStr">
        <is>
          <t>avverkningsanmälan</t>
        </is>
      </c>
      <c r="C664" t="inlineStr">
        <is>
          <t>Föryngringsavverkning</t>
        </is>
      </c>
      <c r="D664" s="1" t="n">
        <v>45727</v>
      </c>
      <c r="E664" s="1" t="n">
        <v>46216</v>
      </c>
      <c r="F664" t="inlineStr">
        <is>
          <t>UPPSALA LÄN</t>
        </is>
      </c>
      <c r="G664" t="inlineStr">
        <is>
          <t>TIERP</t>
        </is>
      </c>
      <c r="H664" t="inlineStr">
        <is>
          <t>Bergvik skog öst AB</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26380-2023</t>
        </is>
      </c>
      <c r="B665" t="inlineStr">
        <is>
          <t>avverkningsanmälan</t>
        </is>
      </c>
      <c r="C665" t="inlineStr">
        <is>
          <t>Avverkning för att bevara och utveckla /försöksver</t>
        </is>
      </c>
      <c r="D665" s="1" t="n">
        <v>45092</v>
      </c>
      <c r="E665" s="1" t="n">
        <v>46216</v>
      </c>
      <c r="F665" t="inlineStr">
        <is>
          <t>UPPSALA LÄN</t>
        </is>
      </c>
      <c r="G665" t="inlineStr">
        <is>
          <t>TIERP</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13687-2024</t>
        </is>
      </c>
      <c r="B666" t="inlineStr">
        <is>
          <t>avverkningsanmälan</t>
        </is>
      </c>
      <c r="C666" t="inlineStr">
        <is>
          <t>Föryngringsavverkning</t>
        </is>
      </c>
      <c r="D666" s="1" t="n">
        <v>45390</v>
      </c>
      <c r="E666" s="1" t="n">
        <v>46216</v>
      </c>
      <c r="F666" t="inlineStr">
        <is>
          <t>UPPSALA LÄN</t>
        </is>
      </c>
      <c r="G666" t="inlineStr">
        <is>
          <t>TIERP</t>
        </is>
      </c>
      <c r="H666" t="inlineStr">
        <is>
          <t>Bergvik skog väst AB</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16791-2023</t>
        </is>
      </c>
      <c r="B667" t="inlineStr">
        <is>
          <t>avverkningsanmälan</t>
        </is>
      </c>
      <c r="C667" t="inlineStr">
        <is>
          <t>Föryngringsavverkning</t>
        </is>
      </c>
      <c r="D667" s="1" t="n">
        <v>45033</v>
      </c>
      <c r="E667" s="1" t="n">
        <v>46216</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59597-2024</t>
        </is>
      </c>
      <c r="B668" t="inlineStr">
        <is>
          <t>avverkningsanmälan</t>
        </is>
      </c>
      <c r="C668" t="inlineStr">
        <is>
          <t>Föryngringsavverkning</t>
        </is>
      </c>
      <c r="D668" s="1" t="n">
        <v>45638</v>
      </c>
      <c r="E668" s="1" t="n">
        <v>46216</v>
      </c>
      <c r="F668" t="inlineStr">
        <is>
          <t>UPPSALA LÄN</t>
        </is>
      </c>
      <c r="G668" t="inlineStr">
        <is>
          <t>TIERP</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20641-2025</t>
        </is>
      </c>
      <c r="B669" t="inlineStr">
        <is>
          <t>avverkningsanmälan</t>
        </is>
      </c>
      <c r="C669" t="inlineStr">
        <is>
          <t>Föryngringsavverkning</t>
        </is>
      </c>
      <c r="D669" s="1" t="n">
        <v>45776</v>
      </c>
      <c r="E669" s="1" t="n">
        <v>46216</v>
      </c>
      <c r="F669" t="inlineStr">
        <is>
          <t>UPPSALA LÄN</t>
        </is>
      </c>
      <c r="G669" t="inlineStr">
        <is>
          <t>TIERP</t>
        </is>
      </c>
      <c r="H669" t="inlineStr">
        <is>
          <t>Bergvik skog öst AB</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32871-2024</t>
        </is>
      </c>
      <c r="B670" t="inlineStr">
        <is>
          <t>avverkningsanmälan</t>
        </is>
      </c>
      <c r="C670" t="inlineStr">
        <is>
          <t>Föryngringsavverkning</t>
        </is>
      </c>
      <c r="D670" s="1" t="n">
        <v>45516</v>
      </c>
      <c r="E670" s="1" t="n">
        <v>46216</v>
      </c>
      <c r="F670" t="inlineStr">
        <is>
          <t>UPPSALA LÄN</t>
        </is>
      </c>
      <c r="G670" t="inlineStr">
        <is>
          <t>TIERP</t>
        </is>
      </c>
      <c r="I670" t="n">
        <v>4.8</v>
      </c>
      <c r="J670" t="n">
        <v>0</v>
      </c>
      <c r="K670" t="n">
        <v>0</v>
      </c>
      <c r="L670" t="n">
        <v>0</v>
      </c>
      <c r="M670" t="n">
        <v>0</v>
      </c>
      <c r="N670" t="n">
        <v>0</v>
      </c>
      <c r="O670" t="n">
        <v>0</v>
      </c>
      <c r="P670" t="n">
        <v>0</v>
      </c>
      <c r="Q670" t="n">
        <v>0</v>
      </c>
      <c r="R670" t="n">
        <v>0</v>
      </c>
      <c r="S670" t="n">
        <v>0</v>
      </c>
      <c r="T670" t="n">
        <v>0</v>
      </c>
      <c r="U670" s="2" t="inlineStr"/>
    </row>
    <row r="671" ht="15" customHeight="1">
      <c r="A671" t="inlineStr">
        <is>
          <t>A 1951-2024</t>
        </is>
      </c>
      <c r="B671" t="inlineStr">
        <is>
          <t>avverkningsanmälan</t>
        </is>
      </c>
      <c r="C671" t="inlineStr">
        <is>
          <t>Föryngringsavverkning</t>
        </is>
      </c>
      <c r="D671" s="1" t="n">
        <v>45308</v>
      </c>
      <c r="E671" s="1" t="n">
        <v>46216</v>
      </c>
      <c r="F671" t="inlineStr">
        <is>
          <t>UPPSALA LÄN</t>
        </is>
      </c>
      <c r="G671" t="inlineStr">
        <is>
          <t>TIERP</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8958-2024</t>
        </is>
      </c>
      <c r="B672" t="inlineStr">
        <is>
          <t>avverkningsanmälan</t>
        </is>
      </c>
      <c r="C672" t="inlineStr">
        <is>
          <t>Föryngringsavverkning</t>
        </is>
      </c>
      <c r="D672" s="1" t="n">
        <v>45357</v>
      </c>
      <c r="E672" s="1" t="n">
        <v>46216</v>
      </c>
      <c r="F672" t="inlineStr">
        <is>
          <t>UPPSALA LÄN</t>
        </is>
      </c>
      <c r="G672" t="inlineStr">
        <is>
          <t>TIERP</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22083-2025</t>
        </is>
      </c>
      <c r="B673" t="inlineStr">
        <is>
          <t>avverkningsanmälan</t>
        </is>
      </c>
      <c r="C673" t="inlineStr">
        <is>
          <t>Föryngringsavverkning</t>
        </is>
      </c>
      <c r="D673" s="1" t="n">
        <v>45785</v>
      </c>
      <c r="E673" s="1" t="n">
        <v>46216</v>
      </c>
      <c r="F673" t="inlineStr">
        <is>
          <t>UPPSALA LÄN</t>
        </is>
      </c>
      <c r="G673" t="inlineStr">
        <is>
          <t>TIERP</t>
        </is>
      </c>
      <c r="I673" t="n">
        <v>8</v>
      </c>
      <c r="J673" t="n">
        <v>0</v>
      </c>
      <c r="K673" t="n">
        <v>0</v>
      </c>
      <c r="L673" t="n">
        <v>0</v>
      </c>
      <c r="M673" t="n">
        <v>0</v>
      </c>
      <c r="N673" t="n">
        <v>0</v>
      </c>
      <c r="O673" t="n">
        <v>0</v>
      </c>
      <c r="P673" t="n">
        <v>0</v>
      </c>
      <c r="Q673" t="n">
        <v>0</v>
      </c>
      <c r="R673" t="n">
        <v>0</v>
      </c>
      <c r="S673" t="n">
        <v>0</v>
      </c>
      <c r="T673" t="n">
        <v>0</v>
      </c>
      <c r="U673" s="2" t="inlineStr"/>
    </row>
    <row r="674" ht="15" customHeight="1">
      <c r="A674" t="inlineStr">
        <is>
          <t>A 35001-2024</t>
        </is>
      </c>
      <c r="B674" t="inlineStr">
        <is>
          <t>avverkningsanmälan</t>
        </is>
      </c>
      <c r="C674" t="inlineStr">
        <is>
          <t>Föryngringsavverkning</t>
        </is>
      </c>
      <c r="D674" s="1" t="n">
        <v>45527</v>
      </c>
      <c r="E674" s="1" t="n">
        <v>46216</v>
      </c>
      <c r="F674" t="inlineStr">
        <is>
          <t>UPPSALA LÄN</t>
        </is>
      </c>
      <c r="G674" t="inlineStr">
        <is>
          <t>TIERP</t>
        </is>
      </c>
      <c r="H674" t="inlineStr">
        <is>
          <t>Bergvik skog väst AB</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23201-2025</t>
        </is>
      </c>
      <c r="B675" t="inlineStr">
        <is>
          <t>avverkningsanmälan</t>
        </is>
      </c>
      <c r="C675" t="inlineStr">
        <is>
          <t>Föryngringsavverkning</t>
        </is>
      </c>
      <c r="D675" s="1" t="n">
        <v>45791</v>
      </c>
      <c r="E675" s="1" t="n">
        <v>46216</v>
      </c>
      <c r="F675" t="inlineStr">
        <is>
          <t>UPPSALA LÄN</t>
        </is>
      </c>
      <c r="G675" t="inlineStr">
        <is>
          <t>TIERP</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33677-2023</t>
        </is>
      </c>
      <c r="B676" t="inlineStr">
        <is>
          <t>avverkningsanmälan</t>
        </is>
      </c>
      <c r="C676" t="inlineStr">
        <is>
          <t>Föryngringsavverkning</t>
        </is>
      </c>
      <c r="D676" s="1" t="n">
        <v>45119</v>
      </c>
      <c r="E676" s="1" t="n">
        <v>46216</v>
      </c>
      <c r="F676" t="inlineStr">
        <is>
          <t>UPPSALA LÄN</t>
        </is>
      </c>
      <c r="G676" t="inlineStr">
        <is>
          <t>TIERP</t>
        </is>
      </c>
      <c r="H676" t="inlineStr">
        <is>
          <t>Bergvik skog väst AB</t>
        </is>
      </c>
      <c r="I676" t="n">
        <v>57.7</v>
      </c>
      <c r="J676" t="n">
        <v>0</v>
      </c>
      <c r="K676" t="n">
        <v>0</v>
      </c>
      <c r="L676" t="n">
        <v>0</v>
      </c>
      <c r="M676" t="n">
        <v>0</v>
      </c>
      <c r="N676" t="n">
        <v>0</v>
      </c>
      <c r="O676" t="n">
        <v>0</v>
      </c>
      <c r="P676" t="n">
        <v>0</v>
      </c>
      <c r="Q676" t="n">
        <v>0</v>
      </c>
      <c r="R676" t="n">
        <v>0</v>
      </c>
      <c r="S676" t="n">
        <v>0</v>
      </c>
      <c r="T676" t="n">
        <v>0</v>
      </c>
      <c r="U676" s="2" t="inlineStr"/>
    </row>
    <row r="677" ht="15" customHeight="1">
      <c r="A677" t="inlineStr">
        <is>
          <t>A 48736-2023</t>
        </is>
      </c>
      <c r="B677" t="inlineStr">
        <is>
          <t>avverkningsanmälan</t>
        </is>
      </c>
      <c r="C677" t="inlineStr">
        <is>
          <t>Föryngringsavverkning</t>
        </is>
      </c>
      <c r="D677" s="1" t="n">
        <v>45203</v>
      </c>
      <c r="E677" s="1" t="n">
        <v>46216</v>
      </c>
      <c r="F677" t="inlineStr">
        <is>
          <t>UPPSALA LÄN</t>
        </is>
      </c>
      <c r="G677" t="inlineStr">
        <is>
          <t>TIERP</t>
        </is>
      </c>
      <c r="H677" t="inlineStr">
        <is>
          <t>Bergvik skog väst AB</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32212-2024</t>
        </is>
      </c>
      <c r="B678" t="inlineStr">
        <is>
          <t>avverkningsanmälan</t>
        </is>
      </c>
      <c r="C678" t="inlineStr">
        <is>
          <t>Föryngringsavverkning</t>
        </is>
      </c>
      <c r="D678" s="1" t="n">
        <v>45511</v>
      </c>
      <c r="E678" s="1" t="n">
        <v>46216</v>
      </c>
      <c r="F678" t="inlineStr">
        <is>
          <t>UPPSALA LÄN</t>
        </is>
      </c>
      <c r="G678" t="inlineStr">
        <is>
          <t>TIERP</t>
        </is>
      </c>
      <c r="I678" t="n">
        <v>3.5</v>
      </c>
      <c r="J678" t="n">
        <v>0</v>
      </c>
      <c r="K678" t="n">
        <v>0</v>
      </c>
      <c r="L678" t="n">
        <v>0</v>
      </c>
      <c r="M678" t="n">
        <v>0</v>
      </c>
      <c r="N678" t="n">
        <v>0</v>
      </c>
      <c r="O678" t="n">
        <v>0</v>
      </c>
      <c r="P678" t="n">
        <v>0</v>
      </c>
      <c r="Q678" t="n">
        <v>0</v>
      </c>
      <c r="R678" t="n">
        <v>0</v>
      </c>
      <c r="S678" t="n">
        <v>0</v>
      </c>
      <c r="T678" t="n">
        <v>0</v>
      </c>
      <c r="U678" s="2" t="inlineStr"/>
    </row>
    <row r="679" ht="15" customHeight="1">
      <c r="A679" t="inlineStr">
        <is>
          <t>A 61156-2024</t>
        </is>
      </c>
      <c r="B679" t="inlineStr">
        <is>
          <t>avverkningsanmälan</t>
        </is>
      </c>
      <c r="C679" t="inlineStr">
        <is>
          <t>Föryngringsavverkning</t>
        </is>
      </c>
      <c r="D679" s="1" t="n">
        <v>45645</v>
      </c>
      <c r="E679" s="1" t="n">
        <v>46216</v>
      </c>
      <c r="F679" t="inlineStr">
        <is>
          <t>UPPSALA LÄN</t>
        </is>
      </c>
      <c r="G679" t="inlineStr">
        <is>
          <t>TIERP</t>
        </is>
      </c>
      <c r="H679" t="inlineStr">
        <is>
          <t>Bergvik skog väst AB</t>
        </is>
      </c>
      <c r="I679" t="n">
        <v>10.6</v>
      </c>
      <c r="J679" t="n">
        <v>0</v>
      </c>
      <c r="K679" t="n">
        <v>0</v>
      </c>
      <c r="L679" t="n">
        <v>0</v>
      </c>
      <c r="M679" t="n">
        <v>0</v>
      </c>
      <c r="N679" t="n">
        <v>0</v>
      </c>
      <c r="O679" t="n">
        <v>0</v>
      </c>
      <c r="P679" t="n">
        <v>0</v>
      </c>
      <c r="Q679" t="n">
        <v>0</v>
      </c>
      <c r="R679" t="n">
        <v>0</v>
      </c>
      <c r="S679" t="n">
        <v>0</v>
      </c>
      <c r="T679" t="n">
        <v>0</v>
      </c>
      <c r="U679" s="2" t="inlineStr"/>
    </row>
    <row r="680" ht="15" customHeight="1">
      <c r="A680" t="inlineStr">
        <is>
          <t>A 34835-2024</t>
        </is>
      </c>
      <c r="B680" t="inlineStr">
        <is>
          <t>avverkningsanmälan</t>
        </is>
      </c>
      <c r="C680" t="inlineStr">
        <is>
          <t>Föryngringsavverkning</t>
        </is>
      </c>
      <c r="D680" s="1" t="n">
        <v>45526</v>
      </c>
      <c r="E680" s="1" t="n">
        <v>46216</v>
      </c>
      <c r="F680" t="inlineStr">
        <is>
          <t>UPPSALA LÄN</t>
        </is>
      </c>
      <c r="G680" t="inlineStr">
        <is>
          <t>TIERP</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24807-2025</t>
        </is>
      </c>
      <c r="B681" t="inlineStr">
        <is>
          <t>avverkningsanmälan</t>
        </is>
      </c>
      <c r="C681" t="inlineStr">
        <is>
          <t>Föryngringsavverkning</t>
        </is>
      </c>
      <c r="D681" s="1" t="n">
        <v>45799</v>
      </c>
      <c r="E681" s="1" t="n">
        <v>46216</v>
      </c>
      <c r="F681" t="inlineStr">
        <is>
          <t>UPPSALA LÄN</t>
        </is>
      </c>
      <c r="G681" t="inlineStr">
        <is>
          <t>TIERP</t>
        </is>
      </c>
      <c r="H681" t="inlineStr">
        <is>
          <t>Bergvik skog öst AB</t>
        </is>
      </c>
      <c r="I681" t="n">
        <v>0.3</v>
      </c>
      <c r="J681" t="n">
        <v>0</v>
      </c>
      <c r="K681" t="n">
        <v>0</v>
      </c>
      <c r="L681" t="n">
        <v>0</v>
      </c>
      <c r="M681" t="n">
        <v>0</v>
      </c>
      <c r="N681" t="n">
        <v>0</v>
      </c>
      <c r="O681" t="n">
        <v>0</v>
      </c>
      <c r="P681" t="n">
        <v>0</v>
      </c>
      <c r="Q681" t="n">
        <v>0</v>
      </c>
      <c r="R681" t="n">
        <v>0</v>
      </c>
      <c r="S681" t="n">
        <v>0</v>
      </c>
      <c r="T681" t="n">
        <v>0</v>
      </c>
      <c r="U681" s="2" t="inlineStr"/>
    </row>
    <row r="682" ht="15" customHeight="1">
      <c r="A682" t="inlineStr">
        <is>
          <t>S 5066-2024</t>
        </is>
      </c>
      <c r="B682" t="inlineStr">
        <is>
          <t>samrådsanmälan</t>
        </is>
      </c>
      <c r="C682" t="inlineStr">
        <is>
          <t>Skogsgödsling</t>
        </is>
      </c>
      <c r="D682" s="1" t="n">
        <v>45638</v>
      </c>
      <c r="E682" s="1" t="n">
        <v>46216</v>
      </c>
      <c r="F682" t="inlineStr">
        <is>
          <t>UPPSALA LÄN</t>
        </is>
      </c>
      <c r="G682" t="inlineStr">
        <is>
          <t>TIERP</t>
        </is>
      </c>
      <c r="H682" t="inlineStr">
        <is>
          <t>Bergvik skog väst AB</t>
        </is>
      </c>
      <c r="I682" t="n">
        <v>11.4</v>
      </c>
      <c r="J682" t="n">
        <v>0</v>
      </c>
      <c r="K682" t="n">
        <v>0</v>
      </c>
      <c r="L682" t="n">
        <v>0</v>
      </c>
      <c r="M682" t="n">
        <v>0</v>
      </c>
      <c r="N682" t="n">
        <v>0</v>
      </c>
      <c r="O682" t="n">
        <v>0</v>
      </c>
      <c r="P682" t="n">
        <v>0</v>
      </c>
      <c r="Q682" t="n">
        <v>0</v>
      </c>
      <c r="R682" t="n">
        <v>0</v>
      </c>
      <c r="S682" t="n">
        <v>0</v>
      </c>
      <c r="T682" t="n">
        <v>0</v>
      </c>
      <c r="U682" s="2" t="inlineStr"/>
    </row>
    <row r="683" ht="15" customHeight="1">
      <c r="A683" t="inlineStr">
        <is>
          <t>S 192-2024</t>
        </is>
      </c>
      <c r="B683" t="inlineStr">
        <is>
          <t>samrådsanmälan</t>
        </is>
      </c>
      <c r="C683" t="inlineStr">
        <is>
          <t>Skogsgödsling</t>
        </is>
      </c>
      <c r="D683" s="1" t="n">
        <v>45315</v>
      </c>
      <c r="E683" s="1" t="n">
        <v>46216</v>
      </c>
      <c r="F683" t="inlineStr">
        <is>
          <t>UPPSALA LÄN</t>
        </is>
      </c>
      <c r="G683" t="inlineStr">
        <is>
          <t>TIERP</t>
        </is>
      </c>
      <c r="H683" t="inlineStr">
        <is>
          <t>Bergvik skog öst AB</t>
        </is>
      </c>
      <c r="I683" t="n">
        <v>39</v>
      </c>
      <c r="J683" t="n">
        <v>0</v>
      </c>
      <c r="K683" t="n">
        <v>0</v>
      </c>
      <c r="L683" t="n">
        <v>0</v>
      </c>
      <c r="M683" t="n">
        <v>0</v>
      </c>
      <c r="N683" t="n">
        <v>0</v>
      </c>
      <c r="O683" t="n">
        <v>0</v>
      </c>
      <c r="P683" t="n">
        <v>0</v>
      </c>
      <c r="Q683" t="n">
        <v>0</v>
      </c>
      <c r="R683" t="n">
        <v>0</v>
      </c>
      <c r="S683" t="n">
        <v>0</v>
      </c>
      <c r="T683" t="n">
        <v>0</v>
      </c>
      <c r="U683" s="2" t="inlineStr"/>
    </row>
    <row r="684" ht="15" customHeight="1">
      <c r="A684" t="inlineStr">
        <is>
          <t>S 407-2022</t>
        </is>
      </c>
      <c r="B684" t="inlineStr">
        <is>
          <t>samrådsanmälan</t>
        </is>
      </c>
      <c r="C684" t="inlineStr">
        <is>
          <t>Skogsgödsling</t>
        </is>
      </c>
      <c r="D684" s="1" t="n">
        <v>44585</v>
      </c>
      <c r="E684" s="1" t="n">
        <v>46216</v>
      </c>
      <c r="F684" t="inlineStr">
        <is>
          <t>UPPSALA LÄN</t>
        </is>
      </c>
      <c r="G684" t="inlineStr">
        <is>
          <t>TIERP</t>
        </is>
      </c>
      <c r="H684" t="inlineStr">
        <is>
          <t>Bergvik skog väst AB</t>
        </is>
      </c>
      <c r="I684" t="n">
        <v>36.4</v>
      </c>
      <c r="J684" t="n">
        <v>0</v>
      </c>
      <c r="K684" t="n">
        <v>0</v>
      </c>
      <c r="L684" t="n">
        <v>0</v>
      </c>
      <c r="M684" t="n">
        <v>0</v>
      </c>
      <c r="N684" t="n">
        <v>0</v>
      </c>
      <c r="O684" t="n">
        <v>0</v>
      </c>
      <c r="P684" t="n">
        <v>0</v>
      </c>
      <c r="Q684" t="n">
        <v>0</v>
      </c>
      <c r="R684" t="n">
        <v>0</v>
      </c>
      <c r="S684" t="n">
        <v>0</v>
      </c>
      <c r="T684" t="n">
        <v>0</v>
      </c>
      <c r="U684" s="2" t="inlineStr"/>
    </row>
    <row r="685" ht="15" customHeight="1">
      <c r="A685" t="inlineStr">
        <is>
          <t>S 1683-2024</t>
        </is>
      </c>
      <c r="B685" t="inlineStr">
        <is>
          <t>samrådsanmälan</t>
        </is>
      </c>
      <c r="C685" t="inlineStr">
        <is>
          <t>Skogsgödsling</t>
        </is>
      </c>
      <c r="D685" s="1" t="n">
        <v>45432</v>
      </c>
      <c r="E685" s="1" t="n">
        <v>46216</v>
      </c>
      <c r="F685" t="inlineStr">
        <is>
          <t>UPPSALA LÄN</t>
        </is>
      </c>
      <c r="G685" t="inlineStr">
        <is>
          <t>TIERP</t>
        </is>
      </c>
      <c r="H685" t="inlineStr">
        <is>
          <t>Bergvik skog väst AB</t>
        </is>
      </c>
      <c r="I685" t="n">
        <v>16.6</v>
      </c>
      <c r="J685" t="n">
        <v>0</v>
      </c>
      <c r="K685" t="n">
        <v>0</v>
      </c>
      <c r="L685" t="n">
        <v>0</v>
      </c>
      <c r="M685" t="n">
        <v>0</v>
      </c>
      <c r="N685" t="n">
        <v>0</v>
      </c>
      <c r="O685" t="n">
        <v>0</v>
      </c>
      <c r="P685" t="n">
        <v>0</v>
      </c>
      <c r="Q685" t="n">
        <v>0</v>
      </c>
      <c r="R685" t="n">
        <v>0</v>
      </c>
      <c r="S685" t="n">
        <v>0</v>
      </c>
      <c r="T685" t="n">
        <v>0</v>
      </c>
      <c r="U685" s="2" t="inlineStr"/>
    </row>
    <row r="686" ht="15" customHeight="1">
      <c r="A686" t="inlineStr">
        <is>
          <t>S 1311-2023</t>
        </is>
      </c>
      <c r="B686" t="inlineStr">
        <is>
          <t>samrådsanmälan</t>
        </is>
      </c>
      <c r="C686" t="inlineStr">
        <is>
          <t>Annan skogsbruksåtgärd</t>
        </is>
      </c>
      <c r="D686" s="1" t="n">
        <v>45035</v>
      </c>
      <c r="E686" s="1" t="n">
        <v>46216</v>
      </c>
      <c r="F686" t="inlineStr">
        <is>
          <t>UPPSALA LÄN</t>
        </is>
      </c>
      <c r="G686" t="inlineStr">
        <is>
          <t>TIERP</t>
        </is>
      </c>
      <c r="H686" t="inlineStr">
        <is>
          <t>Bergvik skog väst AB</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S 1695-2025</t>
        </is>
      </c>
      <c r="B687" t="inlineStr">
        <is>
          <t>samrådsanmälan</t>
        </is>
      </c>
      <c r="C687" t="inlineStr">
        <is>
          <t>Skogsgödsling</t>
        </is>
      </c>
      <c r="D687" s="1" t="n">
        <v>45805</v>
      </c>
      <c r="E687" s="1" t="n">
        <v>46216</v>
      </c>
      <c r="F687" t="inlineStr">
        <is>
          <t>UPPSALA LÄN</t>
        </is>
      </c>
      <c r="G687" t="inlineStr">
        <is>
          <t>TIERP</t>
        </is>
      </c>
      <c r="H687" t="inlineStr">
        <is>
          <t>Bergvik skog väst AB</t>
        </is>
      </c>
      <c r="I687" t="n">
        <v>18.6</v>
      </c>
      <c r="J687" t="n">
        <v>0</v>
      </c>
      <c r="K687" t="n">
        <v>0</v>
      </c>
      <c r="L687" t="n">
        <v>0</v>
      </c>
      <c r="M687" t="n">
        <v>0</v>
      </c>
      <c r="N687" t="n">
        <v>0</v>
      </c>
      <c r="O687" t="n">
        <v>0</v>
      </c>
      <c r="P687" t="n">
        <v>0</v>
      </c>
      <c r="Q687" t="n">
        <v>0</v>
      </c>
      <c r="R687" t="n">
        <v>0</v>
      </c>
      <c r="S687" t="n">
        <v>0</v>
      </c>
      <c r="T687" t="n">
        <v>0</v>
      </c>
      <c r="U687" s="2" t="inlineStr"/>
    </row>
    <row r="688">
      <c r="A688" t="inlineStr">
        <is>
          <t>S 3259-2025</t>
        </is>
      </c>
      <c r="B688" t="inlineStr">
        <is>
          <t>samrådsanmälan</t>
        </is>
      </c>
      <c r="C688" t="inlineStr">
        <is>
          <t>Skogsgödsling</t>
        </is>
      </c>
      <c r="D688" s="1" t="n">
        <v>45982</v>
      </c>
      <c r="E688" s="1" t="n">
        <v>46216</v>
      </c>
      <c r="F688" t="inlineStr">
        <is>
          <t>UPPSALA LÄN</t>
        </is>
      </c>
      <c r="G688" t="inlineStr">
        <is>
          <t>TIERP</t>
        </is>
      </c>
      <c r="H688" t="inlineStr">
        <is>
          <t>Bergvik skog väst AB</t>
        </is>
      </c>
      <c r="I688" t="n">
        <v>24.2</v>
      </c>
      <c r="J688" t="n">
        <v>0</v>
      </c>
      <c r="K688" t="n">
        <v>0</v>
      </c>
      <c r="L688" t="n">
        <v>0</v>
      </c>
      <c r="M688" t="n">
        <v>0</v>
      </c>
      <c r="N688" t="n">
        <v>0</v>
      </c>
      <c r="O688" t="n">
        <v>0</v>
      </c>
      <c r="P688" t="n">
        <v>0</v>
      </c>
      <c r="Q688" t="n">
        <v>0</v>
      </c>
      <c r="R688" t="n">
        <v>0</v>
      </c>
      <c r="S688" t="n">
        <v>0</v>
      </c>
      <c r="T688" t="n">
        <v>0</v>
      </c>
      <c r="U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2026-07-13T14:49:34Z</dcterms:created>
  <dcterms:modified xmlns:dcterms="http://purl.org/dc/terms/" xmlns:xsi="http://www.w3.org/2001/XMLSchema-instance" xsi:type="dcterms:W3CDTF">2026-07-13T14:49:35Z</dcterms:modified>
</cp:coreProperties>
</file>