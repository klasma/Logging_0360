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45735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45735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45735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45735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45735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45735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45735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45735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45735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45735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45735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45735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45735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45735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45735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45735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45735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45735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45735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45735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45735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45735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45735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45735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45735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45735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45735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45735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45735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45735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45735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45735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45735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45735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45735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45735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45735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45735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45735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45735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45735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45735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45735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45735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10848-2025</t>
        </is>
      </c>
      <c r="B122" s="1" t="n">
        <v>45722</v>
      </c>
      <c r="C122" s="1" t="n">
        <v>45735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10848-2025 artfynd.xlsx", "A 10848-2025")</f>
        <v/>
      </c>
      <c r="T122">
        <f>HYPERLINK("https://klasma.github.io/Logging_0360/kartor/A 10848-2025 karta.png", "A 10848-2025")</f>
        <v/>
      </c>
      <c r="V122">
        <f>HYPERLINK("https://klasma.github.io/Logging_0360/klagomål/A 10848-2025 FSC-klagomål.docx", "A 10848-2025")</f>
        <v/>
      </c>
      <c r="W122">
        <f>HYPERLINK("https://klasma.github.io/Logging_0360/klagomålsmail/A 10848-2025 FSC-klagomål mail.docx", "A 10848-2025")</f>
        <v/>
      </c>
      <c r="X122">
        <f>HYPERLINK("https://klasma.github.io/Logging_0360/tillsyn/A 10848-2025 tillsynsbegäran.docx", "A 10848-2025")</f>
        <v/>
      </c>
      <c r="Y122">
        <f>HYPERLINK("https://klasma.github.io/Logging_0360/tillsynsmail/A 10848-2025 tillsynsbegäran mail.docx", "A 10848-2025")</f>
        <v/>
      </c>
      <c r="Z122">
        <f>HYPERLINK("https://klasma.github.io/Logging_0360/fåglar/A 10848-2025 prioriterade fågelarter.docx", "A 10848-2025")</f>
        <v/>
      </c>
    </row>
    <row r="123" ht="15" customHeight="1">
      <c r="A123" t="inlineStr">
        <is>
          <t>A 10853-2025</t>
        </is>
      </c>
      <c r="B123" s="1" t="n">
        <v>45722</v>
      </c>
      <c r="C123" s="1" t="n">
        <v>45735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HYPERLINK("https://klasma.github.io/Logging_0360/artfynd/A 10853-2025 artfynd.xlsx", "A 10853-2025")</f>
        <v/>
      </c>
      <c r="T123">
        <f>HYPERLINK("https://klasma.github.io/Logging_0360/kartor/A 10853-2025 karta.png", "A 10853-2025")</f>
        <v/>
      </c>
      <c r="V123">
        <f>HYPERLINK("https://klasma.github.io/Logging_0360/klagomål/A 10853-2025 FSC-klagomål.docx", "A 10853-2025")</f>
        <v/>
      </c>
      <c r="W123">
        <f>HYPERLINK("https://klasma.github.io/Logging_0360/klagomålsmail/A 10853-2025 FSC-klagomål mail.docx", "A 10853-2025")</f>
        <v/>
      </c>
      <c r="X123">
        <f>HYPERLINK("https://klasma.github.io/Logging_0360/tillsyn/A 10853-2025 tillsynsbegäran.docx", "A 10853-2025")</f>
        <v/>
      </c>
      <c r="Y123">
        <f>HYPERLINK("https://klasma.github.io/Logging_0360/tillsynsmail/A 10853-2025 tillsynsbegäran mail.docx", "A 10853-2025")</f>
        <v/>
      </c>
    </row>
    <row r="124" ht="15" customHeight="1">
      <c r="A124" t="inlineStr">
        <is>
          <t>A 10844-2025</t>
        </is>
      </c>
      <c r="B124" s="1" t="n">
        <v>45722</v>
      </c>
      <c r="C124" s="1" t="n">
        <v>45735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4.3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10844-2025 artfynd.xlsx", "A 10844-2025")</f>
        <v/>
      </c>
      <c r="T124">
        <f>HYPERLINK("https://klasma.github.io/Logging_0360/kartor/A 10844-2025 karta.png", "A 10844-2025")</f>
        <v/>
      </c>
      <c r="V124">
        <f>HYPERLINK("https://klasma.github.io/Logging_0360/klagomål/A 10844-2025 FSC-klagomål.docx", "A 10844-2025")</f>
        <v/>
      </c>
      <c r="W124">
        <f>HYPERLINK("https://klasma.github.io/Logging_0360/klagomålsmail/A 10844-2025 FSC-klagomål mail.docx", "A 10844-2025")</f>
        <v/>
      </c>
      <c r="X124">
        <f>HYPERLINK("https://klasma.github.io/Logging_0360/tillsyn/A 10844-2025 tillsynsbegäran.docx", "A 10844-2025")</f>
        <v/>
      </c>
      <c r="Y124">
        <f>HYPERLINK("https://klasma.github.io/Logging_0360/tillsynsmail/A 10844-2025 tillsynsbegäran mail.docx", "A 10844-2025")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45735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45735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45735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45735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45735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45735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45735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45735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45735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45735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45735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45735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45735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45735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45735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45735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45735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45735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45735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45735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45735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45735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45735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45735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45735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45735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45735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45735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45735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45735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45735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45735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45735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45735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45735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45735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45735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45735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45735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45735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45735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45735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45735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45735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45735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45735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45735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45735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45735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45735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45735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45735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45735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45735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45735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45735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45735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45735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45735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45735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45735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45735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45735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45735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45735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45735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45735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45735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45735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45735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45735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45735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45735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45735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45735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45735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45735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45735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45735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45735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45735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45735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45735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45735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45735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45735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45735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45735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45735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45735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45735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45735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45735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45735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45735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45735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45735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45735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45735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45735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45735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45735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45735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45735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45735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45735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45735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45735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45735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45735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45735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45735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45735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45735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45735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45735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45735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45735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45735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45735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45735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45735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45735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45735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45735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45735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45735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45735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45735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45735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45735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45735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45735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45735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45735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45735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45735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45735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45735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45735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45735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45735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45735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45735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45735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45735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45735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45735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45735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45735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45735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45735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45735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45735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45735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45735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45735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45735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45735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45735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45735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45735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45735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45735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45735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45735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45735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45735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45735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45735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45735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45735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45735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45735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45735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45735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45735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45735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45735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45735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45735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45735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45735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45735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45735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45735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45735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45735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45735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45735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45735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45735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45735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45735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45735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45735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45735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45735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45735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45735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45735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45735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45735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45735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45735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45735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45735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45735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45735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45735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45735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45735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45735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45735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45735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45735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45735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45735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45735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45735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45735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45735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45735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45735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45735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45735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45735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45735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45735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45735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45735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45735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45735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45735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45735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45735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45735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45735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45735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45735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45735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45735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45735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45735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45735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45735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45735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45735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45735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45735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45735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45735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45735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45735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45735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45735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45735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45735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45735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45735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45735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45735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45735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45735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45735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45735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45735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45735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45735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45735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45735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45735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45735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45735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45735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45735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45735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45735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45735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45735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45735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45735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45735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45735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45735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45735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45735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45735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45735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45735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45735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45735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45735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45735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45735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45735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45735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45735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45735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45735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45735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45735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45735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45735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45735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45735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45735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45735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45735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45735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45735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45735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45735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45735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45735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45735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45735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45735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45735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45735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45735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45735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45735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45735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45735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45735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45735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45735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45735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45735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45735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45735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45735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45735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45735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45735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45735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45735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45735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45735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45735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45735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45735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45735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45735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45735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45735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45735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45735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45735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45735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45735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45735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45735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45735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45735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45735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45735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45735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45735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45735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45735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45735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45735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45735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45735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45735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45735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45735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45735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45735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45735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45735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45735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45735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45735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45735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45735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45735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45735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45735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45735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45735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45735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45735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45735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45735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45735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45735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45735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45735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45735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45735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45735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45735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45735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45735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45735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45735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45735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45735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45735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45735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45735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45735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45735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45735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45735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45735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45735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45735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45735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45735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45735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45735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45735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45735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45735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45735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45735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45735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45735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45735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45735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45735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45735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45735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45735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45735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45735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45735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45735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45735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45735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45735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45735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45735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45735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45735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45735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45735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45735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45735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45735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45735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45735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45735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45735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45735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45735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45735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45735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45735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45735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45735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45735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45735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45735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45735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45735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45735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45735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45735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45735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45735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45735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45735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45735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45735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45735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45735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45735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45735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45735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45735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45735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45735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45735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45735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45735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45735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45735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45735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45735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45735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45735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45735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45735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45735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45735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45735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45735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45735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45735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45735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45735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45735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45735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45735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45735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45735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45735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45735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45735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45735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45735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45735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45735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45735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45735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45735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45735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45735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45735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45735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45735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45735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45735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45735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45735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45735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45735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45735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45735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45735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45735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45735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45735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45735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45735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45735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45735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45735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45735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45735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45735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45735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45735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45735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45735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45735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45735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45735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45735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45735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45735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45735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45735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45735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45735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45735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45735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45735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45735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45735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45735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45735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45735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45735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45735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45735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45735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45735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45735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45735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45735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45735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45735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45735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45735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45735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45735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45735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45735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45735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45735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45735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45735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45735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45735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45735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45735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45735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45735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45735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45735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45735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45735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45735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45735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45735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45735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45735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45735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45735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45735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45735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45735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45735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45735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45735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45735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45735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45735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45735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45735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45735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45735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45735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45735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45735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45735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45735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45735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45735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45735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45735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45735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45735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45735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45735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45735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45735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45735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45735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45735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45735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45735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45735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45735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45735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45735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45735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45735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45735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45735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45735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45735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45735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45735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45735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45735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45735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45735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45735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45735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45735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45735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45735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45735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45735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45735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45735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45735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45735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45735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45735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45735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45735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45735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45735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45735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45735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45735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45735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45735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45735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45735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45735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45735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45735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45735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45735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45735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45735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45735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45735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45735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45735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45735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45735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45735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45735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45735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45735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7374-2025</t>
        </is>
      </c>
      <c r="B1127" s="1" t="n">
        <v>45705</v>
      </c>
      <c r="C1127" s="1" t="n">
        <v>45735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7375-2025</t>
        </is>
      </c>
      <c r="B1128" s="1" t="n">
        <v>45705</v>
      </c>
      <c r="C1128" s="1" t="n">
        <v>45735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45735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45735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45735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45735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45735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45735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45735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45735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45735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45735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45735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45735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11302-2025</t>
        </is>
      </c>
      <c r="B1145" s="1" t="n">
        <v>45726</v>
      </c>
      <c r="C1145" s="1" t="n">
        <v>45735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11306-2025</t>
        </is>
      </c>
      <c r="B1146" s="1" t="n">
        <v>45726</v>
      </c>
      <c r="C1146" s="1" t="n">
        <v>45735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11308-2025</t>
        </is>
      </c>
      <c r="B1147" s="1" t="n">
        <v>45726</v>
      </c>
      <c r="C1147" s="1" t="n">
        <v>45735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13.5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11528-2025</t>
        </is>
      </c>
      <c r="B1148" s="1" t="n">
        <v>45727</v>
      </c>
      <c r="C1148" s="1" t="n">
        <v>45735</v>
      </c>
      <c r="D1148" t="inlineStr">
        <is>
          <t>UPPSALA LÄN</t>
        </is>
      </c>
      <c r="E1148" t="inlineStr">
        <is>
          <t>TIERP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11610-2025</t>
        </is>
      </c>
      <c r="B1149" s="1" t="n">
        <v>45727</v>
      </c>
      <c r="C1149" s="1" t="n">
        <v>45735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45735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11572-2025</t>
        </is>
      </c>
      <c r="B1151" s="1" t="n">
        <v>45727</v>
      </c>
      <c r="C1151" s="1" t="n">
        <v>45735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11568-2025</t>
        </is>
      </c>
      <c r="B1152" s="1" t="n">
        <v>45727</v>
      </c>
      <c r="C1152" s="1" t="n">
        <v>45735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11961-2025</t>
        </is>
      </c>
      <c r="B1153" s="1" t="n">
        <v>45728</v>
      </c>
      <c r="C1153" s="1" t="n">
        <v>45735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12647-2025</t>
        </is>
      </c>
      <c r="B1154" s="1" t="n">
        <v>45733</v>
      </c>
      <c r="C1154" s="1" t="n">
        <v>45735</v>
      </c>
      <c r="D1154" t="inlineStr">
        <is>
          <t>UPPSALA LÄN</t>
        </is>
      </c>
      <c r="E1154" t="inlineStr">
        <is>
          <t>TIERP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12657-2025</t>
        </is>
      </c>
      <c r="B1155" s="1" t="n">
        <v>45733</v>
      </c>
      <c r="C1155" s="1" t="n">
        <v>45735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12695-2025</t>
        </is>
      </c>
      <c r="B1156" s="1" t="n">
        <v>45733</v>
      </c>
      <c r="C1156" s="1" t="n">
        <v>45735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väst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12809-2025</t>
        </is>
      </c>
      <c r="B1157" s="1" t="n">
        <v>45733</v>
      </c>
      <c r="C1157" s="1" t="n">
        <v>45735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12852-2025</t>
        </is>
      </c>
      <c r="B1158" s="1" t="n">
        <v>45733</v>
      </c>
      <c r="C1158" s="1" t="n">
        <v>45735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45735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12662-2025</t>
        </is>
      </c>
      <c r="B1160" s="1" t="n">
        <v>45733</v>
      </c>
      <c r="C1160" s="1" t="n">
        <v>45735</v>
      </c>
      <c r="D1160" t="inlineStr">
        <is>
          <t>UPPSALA LÄN</t>
        </is>
      </c>
      <c r="E1160" t="inlineStr">
        <is>
          <t>TIERP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12857-2025</t>
        </is>
      </c>
      <c r="B1161" s="1" t="n">
        <v>45733</v>
      </c>
      <c r="C1161" s="1" t="n">
        <v>45735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12861-2025</t>
        </is>
      </c>
      <c r="B1162" s="1" t="n">
        <v>45733</v>
      </c>
      <c r="C1162" s="1" t="n">
        <v>45735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2025-03-19T17:27:18Z</dcterms:created>
  <dcterms:modified xmlns:dcterms="http://purl.org/dc/terms/" xmlns:xsi="http://www.w3.org/2001/XMLSchema-instance" xsi:type="dcterms:W3CDTF">2025-03-19T17:27:19Z</dcterms:modified>
</cp:coreProperties>
</file>