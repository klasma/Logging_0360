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45830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Svartvit flugsnappare
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  <c r="Z20">
        <f>HYPERLINK("https://klasma.github.io/Logging_0360/fåglar/A 29306-2021 prioriterade fågelarter.docx", "A 29306-2021")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45830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45830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45830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45830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45830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10362-2025</t>
        </is>
      </c>
      <c r="B26" s="1" t="n">
        <v>45720</v>
      </c>
      <c r="C26" s="1" t="n">
        <v>45830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2.3</v>
      </c>
      <c r="H26" t="n">
        <v>2</v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Fjällig taggsvamp s.str.
Grönpyrola
Nästrot
Olivspindling
Skogsknipprot</t>
        </is>
      </c>
      <c r="S26">
        <f>HYPERLINK("https://klasma.github.io/Logging_030360/artfynd/A 10362-2025 artfynd.xlsx", "A 10362-2025")</f>
        <v/>
      </c>
      <c r="T26">
        <f>HYPERLINK("https://klasma.github.io/Logging_030360/kartor/A 10362-2025 karta.png", "A 10362-2025")</f>
        <v/>
      </c>
      <c r="V26">
        <f>HYPERLINK("https://klasma.github.io/Logging_030360/klagomål/A 10362-2025 FSC-klagomål.docx", "A 10362-2025")</f>
        <v/>
      </c>
      <c r="W26">
        <f>HYPERLINK("https://klasma.github.io/Logging_030360/klagomålsmail/A 10362-2025 FSC-klagomål mail.docx", "A 10362-2025")</f>
        <v/>
      </c>
      <c r="X26">
        <f>HYPERLINK("https://klasma.github.io/Logging_030360/tillsyn/A 10362-2025 tillsynsbegäran.docx", "A 10362-2025")</f>
        <v/>
      </c>
      <c r="Y26">
        <f>HYPERLINK("https://klasma.github.io/Logging_030360/tillsynsmail/A 10362-2025 tillsynsbegäran mail.docx", "A 10362-2025")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45830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45830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45830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45830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45830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45830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45830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45830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45830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45830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45830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45830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45830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45830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45830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45830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45830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45830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45830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45830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45830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45830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45830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45830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45830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45830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45830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45830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45830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45830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45830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45830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45830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45830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45830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45830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45830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45830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45830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45830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45830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45830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45830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45830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45830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45830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45830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45830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45830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45830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45830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45830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45830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45830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45830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45830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45830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45830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45830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45830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45830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45830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45830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45830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45830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45830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45830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45830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45830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45830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45830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45830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45830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45830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45830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45830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45830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45830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45830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45830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45830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45830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45830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45830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45830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45830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45830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45830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45830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45830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45830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45830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45830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45830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45830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45830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45830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45830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45830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45830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45830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45830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45830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45830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45830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45830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45830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45830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45830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45830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45830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45830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45830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45830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45830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45830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45830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45830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45830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45830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45830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45830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45830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45830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45830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45830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45830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45830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45830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45830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45830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45830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45830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45830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45830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45830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45830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45830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45830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45830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45830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45830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45830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45830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45830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45830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45830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45830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45830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45830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45830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45830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45830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45830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45830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45830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45830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45830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45830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45830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45830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45830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45830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45830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45830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45830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45830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45830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45830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45830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45830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45830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45830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45830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45830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45830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45830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45830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45830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45830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45830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45830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45830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45830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45830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45830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45830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45830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45830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45830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45830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45830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45830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45830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45830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45830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45830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45830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45830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45830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45830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45830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45830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45830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45830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45830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45830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45830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45830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45830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45830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45830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45830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45830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45830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45830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45830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45830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45830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45830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45830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45830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45830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45830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45830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45830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45830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45830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45830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45830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45830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45830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45830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45830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45830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45830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45830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45830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45830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45830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45830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45830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45830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45830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45830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45830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45830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45830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45830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45830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45830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45830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45830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45830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45830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45830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45830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45830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45830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45830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45830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45830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45830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45830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45830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45830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45830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45830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45830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45830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45830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45830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45830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45830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45830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45830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45830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45830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45830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45830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45830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45830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45830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45830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45830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45830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45830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45830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45830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45830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45830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45830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45830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45830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45830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45830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45830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45830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45830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45830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45830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45830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45830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45830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45830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45830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45830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45830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45830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45830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45830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45830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45830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45830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45830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45830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45830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45830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45830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45830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45830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45830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45830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45830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45830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45830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45830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45830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45830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45830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45830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45830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45830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45830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45830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45830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45830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45830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45830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45830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45830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45830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45830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45830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45830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45830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45830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45830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45830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45830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45830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45830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45830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45830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45830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45830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45830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45830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45830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45830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45830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45830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45830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45830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45830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45830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45830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45830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45830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45830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45830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45830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45830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45830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45830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45830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45830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45830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45830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45830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45830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45830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45830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45830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45830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45830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45830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45830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45830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45830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45830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45830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45830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45830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45830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45830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45830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45830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45830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45830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45830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45830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45830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45830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45830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45830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45830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45830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45830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45830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45830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45830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45830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45830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45830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45830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45830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45830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45830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45830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45830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45830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45830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45830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45830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45830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45830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45830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45830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45830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45830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45830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45830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45830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45830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45830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45830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45830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45830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45830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45830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45830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45830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45830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45830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45830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45830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45830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45830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45830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45830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45830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45830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45830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45830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45830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45830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45830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45830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45830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45830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45830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45830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45830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45830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45830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45830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45830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45830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45830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45830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45830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45830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45830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45830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45830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45830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45830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45830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45830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45830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45830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45830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45830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45830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45830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45830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45830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45830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45830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45830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45830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45830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45830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45830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45830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45830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45830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45830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45830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45830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45830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45830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45830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45830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45830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45830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45830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45830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45830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45830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45830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45830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45830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45830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45830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45830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45830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45830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45830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45830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45830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45830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45830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45830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45830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45830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45830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45830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45830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45830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45830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45830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45830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45830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45830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45830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45830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45830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45830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45830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45830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45830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45830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45830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45830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45830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45830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45830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45830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45830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45830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45830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45830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45830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45830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45830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45830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45830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45830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45830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45830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45830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45830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45830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45830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45830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45830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45830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45830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45830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45830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45830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45830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45830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45830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45830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45830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45830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45830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45830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45830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45830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45830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45830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45830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45830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45830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45830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45830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45830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45830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45830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45830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45830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45830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45830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45830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45830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45830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45830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45830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45830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45830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45830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45830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45830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45830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45830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45830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45830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45830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45830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45830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45830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45830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45830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45830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45830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45830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45830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45830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45830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45830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45830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45830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45830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45830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45830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45830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45830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45830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45830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45830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45830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45830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45830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45830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45830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45830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45830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45830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45830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45830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45830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45830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45830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45830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45830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45830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45830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45830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45830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45830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45830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45830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45830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45830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45830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45830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45830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45830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45830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45830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45830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45830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45830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45830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45830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45830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45830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45830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45830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45830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45830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45830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45830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45830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45830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45830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45830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45830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45830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45830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45830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45830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45830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45830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45830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45830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45830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45830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45830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45830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45830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45830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45830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45830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45830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45830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45830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45830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45830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45830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45830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45830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45830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45830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45830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45830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45830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45830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45830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45830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45830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45830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45830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45830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45830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45830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45830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45830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45830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45830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45830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45830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45830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45830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45830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45830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45830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45830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45830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45830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45830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45830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45830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45830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45830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45830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45830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45830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45830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45830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45830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45830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45830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45830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45830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45830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45830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45830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45830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45830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45830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45830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45830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45830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45830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45830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45830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45830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45830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45830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45830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45830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45830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45830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45830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45830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45830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45830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45830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45830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45830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45830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45830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45830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45830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45830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45830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45830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45830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45830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45830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45830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45830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45830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45830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45830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45830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45830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45830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45830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45830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45830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45830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45830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45830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45830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45830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45830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45830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45830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45830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45830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45830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45830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45830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45830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45830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45830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45830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45830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45830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45830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45830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45830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45830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45830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45830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45830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45830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45830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45830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45830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45830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45830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45830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45830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45830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45830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45830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45830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45830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45830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45830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45830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45830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45830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45830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45830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45830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45830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45830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45830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45830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45830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45830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45830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45830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45830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45830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45830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45830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45830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45830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45830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45830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45830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45830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45830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45830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45830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45830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45830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45830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45830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45830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45830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45830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45830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45830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45830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45830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45830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45830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45830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45830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45830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45830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45830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45830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45830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45830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45830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45830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45830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45830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45830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45830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45830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45830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45830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45830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45830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45830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45830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45830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45830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45830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45830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45830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45830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45830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45830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45830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45830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45830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45830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45830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45830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45830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45830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45830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45830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45830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45830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45830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45830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45830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45830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45830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45830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45830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45830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45830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45830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45830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45830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45830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45830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45830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45830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45830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45830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45830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45830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45830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45830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45830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45830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45830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45830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45830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45830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45830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45830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45830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45830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45830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45830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45830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45830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45830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45830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45830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45830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45830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45830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45830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45830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45830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45830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45830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45830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45830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45830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45830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45830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45830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45830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45830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45830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45830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45830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45830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45830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45830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45830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45830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45830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45830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45830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45830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45830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45830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45830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45830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45830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45830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45830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45830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45830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45830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45830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45830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45830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45830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45830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45830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45830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45830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45830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45830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45830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45830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45830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45830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45830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45830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45830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45830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45830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45830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45830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45830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45830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45830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45830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45830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45830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45830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45830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45830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45830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45830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45830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45830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45830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45830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45830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45830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45830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45830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45830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45830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45830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45830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45830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45830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45830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45830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45830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45830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45830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45830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45830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45830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45830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45830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45830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45830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45830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45830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45830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45830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45830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45830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45830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45830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45830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45830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45830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45830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45830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45830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45830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45830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45830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45830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45830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45830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45830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45830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45830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45830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45830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45830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45830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45830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45830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45830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45830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45830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45830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45830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45830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45830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45830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45830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45830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45830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45830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45830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45830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45830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45830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45830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45830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45830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45830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45830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45830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45830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45830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45830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45830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45830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45830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45830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45830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45830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45830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45830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45830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45830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45830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45830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45830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45830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45830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45830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45830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45830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45830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45830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45830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45830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45830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45830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45830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45830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45830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45830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45830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45830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45830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45830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45830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45830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45830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45830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45830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45830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45830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45830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45830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45830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45830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45830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45830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45830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45830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45830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45830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45830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45830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45830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45830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45830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45830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45830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45830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45830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45830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45830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45830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45830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45830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45830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45830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45830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45830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45830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45830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45830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45830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45830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45830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45830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45830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45830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45830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45830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45830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45830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45830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45830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45830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45830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45830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45830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45830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45830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45830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45830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45830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45830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45830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45830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45830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45830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45830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45830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45830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45830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45830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45830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45830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45830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45830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45830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45830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45830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45830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45830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45830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45830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45830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45830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45830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45830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45830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45830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45830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45830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45830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45830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45830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45830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45830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45830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45830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45830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24837-2025</t>
        </is>
      </c>
      <c r="B1273" s="1" t="n">
        <v>45799</v>
      </c>
      <c r="C1273" s="1" t="n">
        <v>45830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24841-2025</t>
        </is>
      </c>
      <c r="B1274" s="1" t="n">
        <v>45799</v>
      </c>
      <c r="C1274" s="1" t="n">
        <v>45830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24975-2025</t>
        </is>
      </c>
      <c r="B1275" s="1" t="n">
        <v>45799</v>
      </c>
      <c r="C1275" s="1" t="n">
        <v>45830</v>
      </c>
      <c r="D1275" t="inlineStr">
        <is>
          <t>UPPSALA LÄN</t>
        </is>
      </c>
      <c r="E1275" t="inlineStr">
        <is>
          <t>TIERP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45830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25900-2025</t>
        </is>
      </c>
      <c r="B1277" s="1" t="n">
        <v>45804</v>
      </c>
      <c r="C1277" s="1" t="n">
        <v>45830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45830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26040-2025</t>
        </is>
      </c>
      <c r="B1279" s="1" t="n">
        <v>45804</v>
      </c>
      <c r="C1279" s="1" t="n">
        <v>45830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45830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45830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45830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26555-2025</t>
        </is>
      </c>
      <c r="B1283" s="1" t="n">
        <v>45807</v>
      </c>
      <c r="C1283" s="1" t="n">
        <v>45830</v>
      </c>
      <c r="D1283" t="inlineStr">
        <is>
          <t>UPPSALA LÄN</t>
        </is>
      </c>
      <c r="E1283" t="inlineStr">
        <is>
          <t>TIERP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26559-2025</t>
        </is>
      </c>
      <c r="B1284" s="1" t="n">
        <v>45807</v>
      </c>
      <c r="C1284" s="1" t="n">
        <v>45830</v>
      </c>
      <c r="D1284" t="inlineStr">
        <is>
          <t>UPPSALA LÄN</t>
        </is>
      </c>
      <c r="E1284" t="inlineStr">
        <is>
          <t>TIERP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26541-2025</t>
        </is>
      </c>
      <c r="B1285" s="1" t="n">
        <v>45807</v>
      </c>
      <c r="C1285" s="1" t="n">
        <v>45830</v>
      </c>
      <c r="D1285" t="inlineStr">
        <is>
          <t>UPPSALA LÄN</t>
        </is>
      </c>
      <c r="E1285" t="inlineStr">
        <is>
          <t>TIERP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26556-2025</t>
        </is>
      </c>
      <c r="B1286" s="1" t="n">
        <v>45807</v>
      </c>
      <c r="C1286" s="1" t="n">
        <v>45830</v>
      </c>
      <c r="D1286" t="inlineStr">
        <is>
          <t>UPPSALA LÄN</t>
        </is>
      </c>
      <c r="E1286" t="inlineStr">
        <is>
          <t>TIERP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45830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27270-2025</t>
        </is>
      </c>
      <c r="B1288" s="1" t="n">
        <v>45812</v>
      </c>
      <c r="C1288" s="1" t="n">
        <v>45830</v>
      </c>
      <c r="D1288" t="inlineStr">
        <is>
          <t>UPPSALA LÄN</t>
        </is>
      </c>
      <c r="E1288" t="inlineStr">
        <is>
          <t>TIERP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45830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27360-2025</t>
        </is>
      </c>
      <c r="B1290" s="1" t="n">
        <v>45812</v>
      </c>
      <c r="C1290" s="1" t="n">
        <v>45830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öst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27269-2025</t>
        </is>
      </c>
      <c r="B1291" s="1" t="n">
        <v>45812</v>
      </c>
      <c r="C1291" s="1" t="n">
        <v>45830</v>
      </c>
      <c r="D1291" t="inlineStr">
        <is>
          <t>UPPSALA LÄN</t>
        </is>
      </c>
      <c r="E1291" t="inlineStr">
        <is>
          <t>TIERP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45830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27268-2025</t>
        </is>
      </c>
      <c r="B1293" s="1" t="n">
        <v>45812</v>
      </c>
      <c r="C1293" s="1" t="n">
        <v>45830</v>
      </c>
      <c r="D1293" t="inlineStr">
        <is>
          <t>UPPSALA LÄN</t>
        </is>
      </c>
      <c r="E1293" t="inlineStr">
        <is>
          <t>TIERP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45830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45830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45830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45830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29056-2025</t>
        </is>
      </c>
      <c r="B1298" s="1" t="n">
        <v>45821</v>
      </c>
      <c r="C1298" s="1" t="n">
        <v>45830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45830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29282-2025</t>
        </is>
      </c>
      <c r="B1300" s="1" t="n">
        <v>45824</v>
      </c>
      <c r="C1300" s="1" t="n">
        <v>45830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väst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45830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30083-2025</t>
        </is>
      </c>
      <c r="B1302" s="1" t="n">
        <v>45826</v>
      </c>
      <c r="C1302" s="1" t="n">
        <v>45830</v>
      </c>
      <c r="D1302" t="inlineStr">
        <is>
          <t>UPPSALA LÄN</t>
        </is>
      </c>
      <c r="E1302" t="inlineStr">
        <is>
          <t>TIERP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2025-06-22T18:56:02Z</dcterms:created>
  <dcterms:modified xmlns:dcterms="http://purl.org/dc/terms/" xmlns:xsi="http://www.w3.org/2001/XMLSchema-instance" xsi:type="dcterms:W3CDTF">2025-06-22T18:56:03Z</dcterms:modified>
</cp:coreProperties>
</file>