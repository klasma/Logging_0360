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45587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45587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45587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45587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45587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45587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45587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45587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45587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45587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45587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45587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45587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45587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45587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45587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45587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43645-2024</t>
        </is>
      </c>
      <c r="B59" s="1" t="n">
        <v>45569</v>
      </c>
      <c r="C59" s="1" t="n">
        <v>45587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43645-2024 artfynd.xlsx", "A 43645-2024")</f>
        <v/>
      </c>
      <c r="T59">
        <f>HYPERLINK("https://klasma.github.io/Logging_0360/kartor/A 43645-2024 karta.png", "A 43645-2024")</f>
        <v/>
      </c>
      <c r="V59">
        <f>HYPERLINK("https://klasma.github.io/Logging_0360/klagomål/A 43645-2024 FSC-klagomål.docx", "A 43645-2024")</f>
        <v/>
      </c>
      <c r="W59">
        <f>HYPERLINK("https://klasma.github.io/Logging_0360/klagomålsmail/A 43645-2024 FSC-klagomål mail.docx", "A 43645-2024")</f>
        <v/>
      </c>
      <c r="X59">
        <f>HYPERLINK("https://klasma.github.io/Logging_0360/tillsyn/A 43645-2024 tillsynsbegäran.docx", "A 43645-2024")</f>
        <v/>
      </c>
      <c r="Y59">
        <f>HYPERLINK("https://klasma.github.io/Logging_0360/tillsynsmail/A 43645-2024 tillsynsbegäran mail.docx", "A 43645-2024")</f>
        <v/>
      </c>
      <c r="Z59">
        <f>HYPERLINK("https://klasma.github.io/Logging_0360/fåglar/A 43645-2024 prioriterade fågelarter.docx", "A 43645-2024")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45587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43642-2024</t>
        </is>
      </c>
      <c r="B61" s="1" t="n">
        <v>45569</v>
      </c>
      <c r="C61" s="1" t="n">
        <v>45587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43642-2024 artfynd.xlsx", "A 43642-2024")</f>
        <v/>
      </c>
      <c r="T61">
        <f>HYPERLINK("https://klasma.github.io/Logging_0360/kartor/A 43642-2024 karta.png", "A 43642-2024")</f>
        <v/>
      </c>
      <c r="V61">
        <f>HYPERLINK("https://klasma.github.io/Logging_0360/klagomål/A 43642-2024 FSC-klagomål.docx", "A 43642-2024")</f>
        <v/>
      </c>
      <c r="W61">
        <f>HYPERLINK("https://klasma.github.io/Logging_0360/klagomålsmail/A 43642-2024 FSC-klagomål mail.docx", "A 43642-2024")</f>
        <v/>
      </c>
      <c r="X61">
        <f>HYPERLINK("https://klasma.github.io/Logging_0360/tillsyn/A 43642-2024 tillsynsbegäran.docx", "A 43642-2024")</f>
        <v/>
      </c>
      <c r="Y61">
        <f>HYPERLINK("https://klasma.github.io/Logging_0360/tillsynsmail/A 43642-2024 tillsynsbegäran mail.docx", "A 43642-2024")</f>
        <v/>
      </c>
      <c r="Z61">
        <f>HYPERLINK("https://klasma.github.io/Logging_0360/fåglar/A 43642-2024 prioriterade fågelarter.docx", "A 43642-2024")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45587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45587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45587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45587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45587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45587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45587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45587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45587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45587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45587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45587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45587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45587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45587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45587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45587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45587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45587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45587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45587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45587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45587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45587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45587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45587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45587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45587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45587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45587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45587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45587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45587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45587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45587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45587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45587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45587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45587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45587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45587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45587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45587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45587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45587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45587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45587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45587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45587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45587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45587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45587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45587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45587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45587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45587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45587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45587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45587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45587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45587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45587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45587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45587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45587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45587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45587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45587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45587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45587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45587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45587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45587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45587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45587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45587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45587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45587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45587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45587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45587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45587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45587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45587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45587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45587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45587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45587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45587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45587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45587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45587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45587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45587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45587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45587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45587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45587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45587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45587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45587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45587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45587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45587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45587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45587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45587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45587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45587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45587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45587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45587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45587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45587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45587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45587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45587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45587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45587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45587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45587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45587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45587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45587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45587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45587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45587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45587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45587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45587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45587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45587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45587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45587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45587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45587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45587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45587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45587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45587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45587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45587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45587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45587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45587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45587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45587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45587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45587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45587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45587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45587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45587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45587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45587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45587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45587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45587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45587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45587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45587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45587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45587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45587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45587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45587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45587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45587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45587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45587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45587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45587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45587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45587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45587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45587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45587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45587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45587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45587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45587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45587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45587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45587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45587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45587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45587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45587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45587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45587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45587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45587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45587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45587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45587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45587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45587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45587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45587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45587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45587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45587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45587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45587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45587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45587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45587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45587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45587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45587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45587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45587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45587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45587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45587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45587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45587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45587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45587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45587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45587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45587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45587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45587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45587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45587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45587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45587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45587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45587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45587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45587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45587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45587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45587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45587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45587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45587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45587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45587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45587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45587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45587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45587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45587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45587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45587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45587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45587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45587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45587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45587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45587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45587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45587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45587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45587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45587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45587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45587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45587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45587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45587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45587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45587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45587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45587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45587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45587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45587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45587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45587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45587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45587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45587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45587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45587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45587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45587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45587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45587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45587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45587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45587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45587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45587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45587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45587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45587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45587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45587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45587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45587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45587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45587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45587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45587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45587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45587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45587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45587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45587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45587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45587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45587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45587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45587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45587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45587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45587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45587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45587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45587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45587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45587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45587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45587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45587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45587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45587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45587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45587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45587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45587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45587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45587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45587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45587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45587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45587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45587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45587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45587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45587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45587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45587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45587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45587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45587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45587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45587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45587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45587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45587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45587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45587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45587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45587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45587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45587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45587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45587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45587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45587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45587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45587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45587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45587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45587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45587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45587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45587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45587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45587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45587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45587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45587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45587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45587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45587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45587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45587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45587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45587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45587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45587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45587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45587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45587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45587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45587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45587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45587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45587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45587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45587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45587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45587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45587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45587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45587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45587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45587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45587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45587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45587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45587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45587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45587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45587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45587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45587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45587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45587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45587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45587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45587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45587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45587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45587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45587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45587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45587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45587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45587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45587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45587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45587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45587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45587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45587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45587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45587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45587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45587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45587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45587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45587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45587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45587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45587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45587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45587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45587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45587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45587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45587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45587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45587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45587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45587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45587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45587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45587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45587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45587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45587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45587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45587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45587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45587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45587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45587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45587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45587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45587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45587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45587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45587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45587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45587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45587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45587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45587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45587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45587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45587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45587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45587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45587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45587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45587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45587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45587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45587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45587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45587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45587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45587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45587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45587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45587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45587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45587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45587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45587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45587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45587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45587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45587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45587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45587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45587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45587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45587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45587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45587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45587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45587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45587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45587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45587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45587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45587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45587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45587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45587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45587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45587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45587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45587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45587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45587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45587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45587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45587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45587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45587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45587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45587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45587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45587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45587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45587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45587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45587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45587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45587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45587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45587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45587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45587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45587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45587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45587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45587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45587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45587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45587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45587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45587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45587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45587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45587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45587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45587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45587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45587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45587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45587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45587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45587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45587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45587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45587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45587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45587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45587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45587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45587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45587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45587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45587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45587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45587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45587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45587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45587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45587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45587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45587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45587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45587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45587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45587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45587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45587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45587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45587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45587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45587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45587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45587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45587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45587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45587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45587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45587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45587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45587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45587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45587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45587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45587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41394-2024</t>
        </is>
      </c>
      <c r="B937" s="1" t="n">
        <v>45560</v>
      </c>
      <c r="C937" s="1" t="n">
        <v>45587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41395-2024</t>
        </is>
      </c>
      <c r="B938" s="1" t="n">
        <v>45560</v>
      </c>
      <c r="C938" s="1" t="n">
        <v>45587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41399-2024</t>
        </is>
      </c>
      <c r="B939" s="1" t="n">
        <v>45560</v>
      </c>
      <c r="C939" s="1" t="n">
        <v>45587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45587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45587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41392-2024</t>
        </is>
      </c>
      <c r="B942" s="1" t="n">
        <v>45560</v>
      </c>
      <c r="C942" s="1" t="n">
        <v>45587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45587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45587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42872-2024</t>
        </is>
      </c>
      <c r="B945" s="1" t="n">
        <v>45566</v>
      </c>
      <c r="C945" s="1" t="n">
        <v>45587</v>
      </c>
      <c r="D945" t="inlineStr">
        <is>
          <t>UPPSALA LÄN</t>
        </is>
      </c>
      <c r="E945" t="inlineStr">
        <is>
          <t>TIERP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45587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45587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43640-2024</t>
        </is>
      </c>
      <c r="B948" s="1" t="n">
        <v>45569</v>
      </c>
      <c r="C948" s="1" t="n">
        <v>45587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43639-2024</t>
        </is>
      </c>
      <c r="B949" s="1" t="n">
        <v>45569</v>
      </c>
      <c r="C949" s="1" t="n">
        <v>45587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43892-2024</t>
        </is>
      </c>
      <c r="B950" s="1" t="n">
        <v>45569</v>
      </c>
      <c r="C950" s="1" t="n">
        <v>45587</v>
      </c>
      <c r="D950" t="inlineStr">
        <is>
          <t>UPPSALA LÄN</t>
        </is>
      </c>
      <c r="E950" t="inlineStr">
        <is>
          <t>TIERP</t>
        </is>
      </c>
      <c r="G950" t="n">
        <v>20.7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44026-2024</t>
        </is>
      </c>
      <c r="B951" s="1" t="n">
        <v>45572</v>
      </c>
      <c r="C951" s="1" t="n">
        <v>45587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44090-2024</t>
        </is>
      </c>
      <c r="B952" s="1" t="n">
        <v>45572</v>
      </c>
      <c r="C952" s="1" t="n">
        <v>45587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45587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45587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45587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44775-2024</t>
        </is>
      </c>
      <c r="B956" s="1" t="n">
        <v>45574</v>
      </c>
      <c r="C956" s="1" t="n">
        <v>45587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44768-2024</t>
        </is>
      </c>
      <c r="B957" s="1" t="n">
        <v>45574</v>
      </c>
      <c r="C957" s="1" t="n">
        <v>45587</v>
      </c>
      <c r="D957" t="inlineStr">
        <is>
          <t>UPPSALA LÄN</t>
        </is>
      </c>
      <c r="E957" t="inlineStr">
        <is>
          <t>TIERP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44784-2024</t>
        </is>
      </c>
      <c r="B958" s="1" t="n">
        <v>45574</v>
      </c>
      <c r="C958" s="1" t="n">
        <v>45587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44929-2024</t>
        </is>
      </c>
      <c r="B960" s="1" t="n">
        <v>45575</v>
      </c>
      <c r="C960" s="1" t="n">
        <v>45587</v>
      </c>
      <c r="D960" t="inlineStr">
        <is>
          <t>UPPSALA LÄN</t>
        </is>
      </c>
      <c r="E960" t="inlineStr">
        <is>
          <t>TIERP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45587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45587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45587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45090-2024</t>
        </is>
      </c>
      <c r="B964" s="1" t="n">
        <v>45575</v>
      </c>
      <c r="C964" s="1" t="n">
        <v>45587</v>
      </c>
      <c r="D964" t="inlineStr">
        <is>
          <t>UPPSALA LÄN</t>
        </is>
      </c>
      <c r="E964" t="inlineStr">
        <is>
          <t>TIERP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45915-2024</t>
        </is>
      </c>
      <c r="B965" s="1" t="n">
        <v>45580</v>
      </c>
      <c r="C965" s="1" t="n">
        <v>45587</v>
      </c>
      <c r="D965" t="inlineStr">
        <is>
          <t>UPPSALA LÄN</t>
        </is>
      </c>
      <c r="E965" t="inlineStr">
        <is>
          <t>TIERP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45961-2024</t>
        </is>
      </c>
      <c r="B966" s="1" t="n">
        <v>45580</v>
      </c>
      <c r="C966" s="1" t="n">
        <v>45587</v>
      </c>
      <c r="D966" t="inlineStr">
        <is>
          <t>UPPSALA LÄN</t>
        </is>
      </c>
      <c r="E966" t="inlineStr">
        <is>
          <t>TIERP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46046-2024</t>
        </is>
      </c>
      <c r="B967" s="1" t="n">
        <v>45580</v>
      </c>
      <c r="C967" s="1" t="n">
        <v>45587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45848-2024</t>
        </is>
      </c>
      <c r="B968" s="1" t="n">
        <v>45580</v>
      </c>
      <c r="C968" s="1" t="n">
        <v>45587</v>
      </c>
      <c r="D968" t="inlineStr">
        <is>
          <t>UPPSALA LÄN</t>
        </is>
      </c>
      <c r="E968" t="inlineStr">
        <is>
          <t>TIERP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45587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45587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46530-2024</t>
        </is>
      </c>
      <c r="B971" s="1" t="n">
        <v>45582</v>
      </c>
      <c r="C971" s="1" t="n">
        <v>45587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46550-2024</t>
        </is>
      </c>
      <c r="B972" s="1" t="n">
        <v>45582</v>
      </c>
      <c r="C972" s="1" t="n">
        <v>45587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46551-2024</t>
        </is>
      </c>
      <c r="B973" s="1" t="n">
        <v>45582</v>
      </c>
      <c r="C973" s="1" t="n">
        <v>45587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46432-2024</t>
        </is>
      </c>
      <c r="B974" s="1" t="n">
        <v>45582</v>
      </c>
      <c r="C974" s="1" t="n">
        <v>45587</v>
      </c>
      <c r="D974" t="inlineStr">
        <is>
          <t>UPPSALA LÄN</t>
        </is>
      </c>
      <c r="E974" t="inlineStr">
        <is>
          <t>TIERP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46465-2024</t>
        </is>
      </c>
      <c r="B975" s="1" t="n">
        <v>45582</v>
      </c>
      <c r="C975" s="1" t="n">
        <v>45587</v>
      </c>
      <c r="D975" t="inlineStr">
        <is>
          <t>UPPSALA LÄN</t>
        </is>
      </c>
      <c r="E975" t="inlineStr">
        <is>
          <t>TIERP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46549-2024</t>
        </is>
      </c>
      <c r="B976" s="1" t="n">
        <v>45582</v>
      </c>
      <c r="C976" s="1" t="n">
        <v>45587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45587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45587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47027-2024</t>
        </is>
      </c>
      <c r="B979" s="1" t="n">
        <v>45586</v>
      </c>
      <c r="C979" s="1" t="n">
        <v>45587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47058-2024</t>
        </is>
      </c>
      <c r="B980" s="1" t="n">
        <v>45586</v>
      </c>
      <c r="C980" s="1" t="n">
        <v>45587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2024-10-22T13:04:38Z</dcterms:created>
  <dcterms:modified xmlns:dcterms="http://purl.org/dc/terms/" xmlns:xsi="http://www.w3.org/2001/XMLSchema-instance" xsi:type="dcterms:W3CDTF">2024-10-22T13:04:39Z</dcterms:modified>
</cp:coreProperties>
</file>