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45932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45932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45932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45932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45932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45932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45932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45932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45932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45932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45932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45932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220-2025</t>
        </is>
      </c>
      <c r="B14" s="1" t="n">
        <v>45660</v>
      </c>
      <c r="C14" s="1" t="n">
        <v>45932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3.2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Ullticka
Bronshjon
Blåsippa</t>
        </is>
      </c>
      <c r="S14">
        <f>HYPERLINK("https://klasma.github.io/Logging_0360/artfynd/A 220-2025 artfynd.xlsx", "A 220-2025")</f>
        <v/>
      </c>
      <c r="T14">
        <f>HYPERLINK("https://klasma.github.io/Logging_0360/kartor/A 220-2025 karta.png", "A 220-2025")</f>
        <v/>
      </c>
      <c r="V14">
        <f>HYPERLINK("https://klasma.github.io/Logging_0360/klagomål/A 220-2025 FSC-klagomål.docx", "A 220-2025")</f>
        <v/>
      </c>
      <c r="W14">
        <f>HYPERLINK("https://klasma.github.io/Logging_0360/klagomålsmail/A 220-2025 FSC-klagomål mail.docx", "A 220-2025")</f>
        <v/>
      </c>
      <c r="X14">
        <f>HYPERLINK("https://klasma.github.io/Logging_0360/tillsyn/A 220-2025 tillsynsbegäran.docx", "A 220-2025")</f>
        <v/>
      </c>
      <c r="Y14">
        <f>HYPERLINK("https://klasma.github.io/Logging_0360/tillsynsmail/A 220-2025 tillsynsbegäran mail.docx", "A 220-2025")</f>
        <v/>
      </c>
      <c r="Z14">
        <f>HYPERLINK("https://klasma.github.io/Logging_0360/fåglar/A 220-2025 prioriterade fågelarter.docx", "A 220-2025")</f>
        <v/>
      </c>
    </row>
    <row r="15" ht="15" customHeight="1">
      <c r="A15" t="inlineStr">
        <is>
          <t>A 30596-2025</t>
        </is>
      </c>
      <c r="B15" s="1" t="n">
        <v>45831.4458912037</v>
      </c>
      <c r="C15" s="1" t="n">
        <v>45932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32.1</v>
      </c>
      <c r="H15" t="n">
        <v>0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Rödbrun blekspik
Brun nållav
Kamjordstjärna</t>
        </is>
      </c>
      <c r="S15">
        <f>HYPERLINK("https://klasma.github.io/Logging_0360/artfynd/A 30596-2025 artfynd.xlsx", "A 30596-2025")</f>
        <v/>
      </c>
      <c r="T15">
        <f>HYPERLINK("https://klasma.github.io/Logging_0360/kartor/A 30596-2025 karta.png", "A 30596-2025")</f>
        <v/>
      </c>
      <c r="V15">
        <f>HYPERLINK("https://klasma.github.io/Logging_0360/klagomål/A 30596-2025 FSC-klagomål.docx", "A 30596-2025")</f>
        <v/>
      </c>
      <c r="W15">
        <f>HYPERLINK("https://klasma.github.io/Logging_0360/klagomålsmail/A 30596-2025 FSC-klagomål mail.docx", "A 30596-2025")</f>
        <v/>
      </c>
      <c r="X15">
        <f>HYPERLINK("https://klasma.github.io/Logging_0360/tillsyn/A 30596-2025 tillsynsbegäran.docx", "A 30596-2025")</f>
        <v/>
      </c>
      <c r="Y15">
        <f>HYPERLINK("https://klasma.github.io/Logging_0360/tillsynsmail/A 30596-2025 tillsynsbegäran mail.docx", "A 30596-2025")</f>
        <v/>
      </c>
    </row>
    <row r="16" ht="15" customHeight="1">
      <c r="A16" t="inlineStr">
        <is>
          <t>A 7896-2025</t>
        </is>
      </c>
      <c r="B16" s="1" t="n">
        <v>45707</v>
      </c>
      <c r="C16" s="1" t="n">
        <v>45932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23.9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Grönpyrola
Blåsippa</t>
        </is>
      </c>
      <c r="S16">
        <f>HYPERLINK("https://klasma.github.io/Logging_0360/artfynd/A 7896-2025 artfynd.xlsx", "A 7896-2025")</f>
        <v/>
      </c>
      <c r="T16">
        <f>HYPERLINK("https://klasma.github.io/Logging_0360/kartor/A 7896-2025 karta.png", "A 7896-2025")</f>
        <v/>
      </c>
      <c r="V16">
        <f>HYPERLINK("https://klasma.github.io/Logging_0360/klagomål/A 7896-2025 FSC-klagomål.docx", "A 7896-2025")</f>
        <v/>
      </c>
      <c r="W16">
        <f>HYPERLINK("https://klasma.github.io/Logging_0360/klagomålsmail/A 7896-2025 FSC-klagomål mail.docx", "A 7896-2025")</f>
        <v/>
      </c>
      <c r="X16">
        <f>HYPERLINK("https://klasma.github.io/Logging_0360/tillsyn/A 7896-2025 tillsynsbegäran.docx", "A 7896-2025")</f>
        <v/>
      </c>
      <c r="Y16">
        <f>HYPERLINK("https://klasma.github.io/Logging_0360/tillsynsmail/A 7896-2025 tillsynsbegäran mail.docx", "A 7896-2025")</f>
        <v/>
      </c>
    </row>
    <row r="17" ht="15" customHeight="1">
      <c r="A17" t="inlineStr">
        <is>
          <t>A 14523-2025</t>
        </is>
      </c>
      <c r="B17" s="1" t="n">
        <v>45741.64648148148</v>
      </c>
      <c r="C17" s="1" t="n">
        <v>45932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6.4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Dofttaggsvamp
Svartvit taggsvamp
Rostfläck
Skarp dropptaggsvamp</t>
        </is>
      </c>
      <c r="S17">
        <f>HYPERLINK("https://klasma.github.io/Logging_0360/artfynd/A 14523-2025 artfynd.xlsx", "A 14523-2025")</f>
        <v/>
      </c>
      <c r="T17">
        <f>HYPERLINK("https://klasma.github.io/Logging_0360/kartor/A 14523-2025 karta.png", "A 14523-2025")</f>
        <v/>
      </c>
      <c r="V17">
        <f>HYPERLINK("https://klasma.github.io/Logging_0360/klagomål/A 14523-2025 FSC-klagomål.docx", "A 14523-2025")</f>
        <v/>
      </c>
      <c r="W17">
        <f>HYPERLINK("https://klasma.github.io/Logging_0360/klagomålsmail/A 14523-2025 FSC-klagomål mail.docx", "A 14523-2025")</f>
        <v/>
      </c>
      <c r="X17">
        <f>HYPERLINK("https://klasma.github.io/Logging_0360/tillsyn/A 14523-2025 tillsynsbegäran.docx", "A 14523-2025")</f>
        <v/>
      </c>
      <c r="Y17">
        <f>HYPERLINK("https://klasma.github.io/Logging_0360/tillsynsmail/A 14523-2025 tillsynsbegäran mail.docx", "A 14523-2025")</f>
        <v/>
      </c>
    </row>
    <row r="18" ht="15" customHeight="1">
      <c r="A18" t="inlineStr">
        <is>
          <t>A 7309-2023</t>
        </is>
      </c>
      <c r="B18" s="1" t="n">
        <v>44970</v>
      </c>
      <c r="C18" s="1" t="n">
        <v>45932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13.7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Skogsknipprot
Blåsippa
Revlummer</t>
        </is>
      </c>
      <c r="S18">
        <f>HYPERLINK("https://klasma.github.io/Logging_0360/artfynd/A 7309-2023 artfynd.xlsx", "A 7309-2023")</f>
        <v/>
      </c>
      <c r="T18">
        <f>HYPERLINK("https://klasma.github.io/Logging_0360/kartor/A 7309-2023 karta.png", "A 7309-2023")</f>
        <v/>
      </c>
      <c r="V18">
        <f>HYPERLINK("https://klasma.github.io/Logging_0360/klagomål/A 7309-2023 FSC-klagomål.docx", "A 7309-2023")</f>
        <v/>
      </c>
      <c r="W18">
        <f>HYPERLINK("https://klasma.github.io/Logging_0360/klagomålsmail/A 7309-2023 FSC-klagomål mail.docx", "A 7309-2023")</f>
        <v/>
      </c>
      <c r="X18">
        <f>HYPERLINK("https://klasma.github.io/Logging_0360/tillsyn/A 7309-2023 tillsynsbegäran.docx", "A 7309-2023")</f>
        <v/>
      </c>
      <c r="Y18">
        <f>HYPERLINK("https://klasma.github.io/Logging_0360/tillsynsmail/A 7309-2023 tillsynsbegäran mail.docx", "A 7309-2023")</f>
        <v/>
      </c>
    </row>
    <row r="19" ht="15" customHeight="1">
      <c r="A19" t="inlineStr">
        <is>
          <t>A 73325-2021</t>
        </is>
      </c>
      <c r="B19" s="1" t="n">
        <v>44551</v>
      </c>
      <c r="C19" s="1" t="n">
        <v>45932</v>
      </c>
      <c r="D19" t="inlineStr">
        <is>
          <t>UPPSALA LÄN</t>
        </is>
      </c>
      <c r="E19" t="inlineStr">
        <is>
          <t>TIERP</t>
        </is>
      </c>
      <c r="G19" t="n">
        <v>3.7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Taggfingersvamp
Äggspindling
Rödgul trumpetsvamp</t>
        </is>
      </c>
      <c r="S19">
        <f>HYPERLINK("https://klasma.github.io/Logging_0360/artfynd/A 73325-2021 artfynd.xlsx", "A 73325-2021")</f>
        <v/>
      </c>
      <c r="T19">
        <f>HYPERLINK("https://klasma.github.io/Logging_0360/kartor/A 73325-2021 karta.png", "A 73325-2021")</f>
        <v/>
      </c>
      <c r="V19">
        <f>HYPERLINK("https://klasma.github.io/Logging_0360/klagomål/A 73325-2021 FSC-klagomål.docx", "A 73325-2021")</f>
        <v/>
      </c>
      <c r="W19">
        <f>HYPERLINK("https://klasma.github.io/Logging_0360/klagomålsmail/A 73325-2021 FSC-klagomål mail.docx", "A 73325-2021")</f>
        <v/>
      </c>
      <c r="X19">
        <f>HYPERLINK("https://klasma.github.io/Logging_0360/tillsyn/A 73325-2021 tillsynsbegäran.docx", "A 73325-2021")</f>
        <v/>
      </c>
      <c r="Y19">
        <f>HYPERLINK("https://klasma.github.io/Logging_0360/tillsynsmail/A 73325-2021 tillsynsbegäran mail.docx", "A 73325-2021")</f>
        <v/>
      </c>
    </row>
    <row r="20" ht="15" customHeight="1">
      <c r="A20" t="inlineStr">
        <is>
          <t>A 15592-2022</t>
        </is>
      </c>
      <c r="B20" s="1" t="n">
        <v>44662</v>
      </c>
      <c r="C20" s="1" t="n">
        <v>45932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Tibast
Blåsippa</t>
        </is>
      </c>
      <c r="S20">
        <f>HYPERLINK("https://klasma.github.io/Logging_0360/artfynd/A 15592-2022 artfynd.xlsx", "A 15592-2022")</f>
        <v/>
      </c>
      <c r="T20">
        <f>HYPERLINK("https://klasma.github.io/Logging_0360/kartor/A 15592-2022 karta.png", "A 15592-2022")</f>
        <v/>
      </c>
      <c r="V20">
        <f>HYPERLINK("https://klasma.github.io/Logging_0360/klagomål/A 15592-2022 FSC-klagomål.docx", "A 15592-2022")</f>
        <v/>
      </c>
      <c r="W20">
        <f>HYPERLINK("https://klasma.github.io/Logging_0360/klagomålsmail/A 15592-2022 FSC-klagomål mail.docx", "A 15592-2022")</f>
        <v/>
      </c>
      <c r="X20">
        <f>HYPERLINK("https://klasma.github.io/Logging_0360/tillsyn/A 15592-2022 tillsynsbegäran.docx", "A 15592-2022")</f>
        <v/>
      </c>
      <c r="Y20">
        <f>HYPERLINK("https://klasma.github.io/Logging_0360/tillsynsmail/A 15592-2022 tillsynsbegäran mail.docx", "A 15592-2022")</f>
        <v/>
      </c>
    </row>
    <row r="21" ht="15" customHeight="1">
      <c r="A21" t="inlineStr">
        <is>
          <t>A 10846-2025</t>
        </is>
      </c>
      <c r="B21" s="1" t="n">
        <v>45722.57912037037</v>
      </c>
      <c r="C21" s="1" t="n">
        <v>45932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Rödgul trumpetsvamp
Tibast
Blåsippa</t>
        </is>
      </c>
      <c r="S21">
        <f>HYPERLINK("https://klasma.github.io/Logging_0360/artfynd/A 10846-2025 artfynd.xlsx", "A 10846-2025")</f>
        <v/>
      </c>
      <c r="T21">
        <f>HYPERLINK("https://klasma.github.io/Logging_0360/kartor/A 10846-2025 karta.png", "A 10846-2025")</f>
        <v/>
      </c>
      <c r="V21">
        <f>HYPERLINK("https://klasma.github.io/Logging_0360/klagomål/A 10846-2025 FSC-klagomål.docx", "A 10846-2025")</f>
        <v/>
      </c>
      <c r="W21">
        <f>HYPERLINK("https://klasma.github.io/Logging_0360/klagomålsmail/A 10846-2025 FSC-klagomål mail.docx", "A 10846-2025")</f>
        <v/>
      </c>
      <c r="X21">
        <f>HYPERLINK("https://klasma.github.io/Logging_0360/tillsyn/A 10846-2025 tillsynsbegäran.docx", "A 10846-2025")</f>
        <v/>
      </c>
      <c r="Y21">
        <f>HYPERLINK("https://klasma.github.io/Logging_0360/tillsynsmail/A 10846-2025 tillsynsbegäran mail.docx", "A 10846-2025")</f>
        <v/>
      </c>
    </row>
    <row r="22" ht="15" customHeight="1">
      <c r="A22" t="inlineStr">
        <is>
          <t>A 43860-2025</t>
        </is>
      </c>
      <c r="B22" s="1" t="n">
        <v>45912.65143518519</v>
      </c>
      <c r="C22" s="1" t="n">
        <v>45932</v>
      </c>
      <c r="D22" t="inlineStr">
        <is>
          <t>UPPSALA LÄN</t>
        </is>
      </c>
      <c r="E22" t="inlineStr">
        <is>
          <t>TIERP</t>
        </is>
      </c>
      <c r="G22" t="n">
        <v>5.7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Etternässla
Underviol
Vårärt</t>
        </is>
      </c>
      <c r="S22">
        <f>HYPERLINK("https://klasma.github.io/Logging_0360/artfynd/A 43860-2025 artfynd.xlsx", "A 43860-2025")</f>
        <v/>
      </c>
      <c r="T22">
        <f>HYPERLINK("https://klasma.github.io/Logging_0360/kartor/A 43860-2025 karta.png", "A 43860-2025")</f>
        <v/>
      </c>
      <c r="V22">
        <f>HYPERLINK("https://klasma.github.io/Logging_0360/klagomål/A 43860-2025 FSC-klagomål.docx", "A 43860-2025")</f>
        <v/>
      </c>
      <c r="W22">
        <f>HYPERLINK("https://klasma.github.io/Logging_0360/klagomålsmail/A 43860-2025 FSC-klagomål mail.docx", "A 43860-2025")</f>
        <v/>
      </c>
      <c r="X22">
        <f>HYPERLINK("https://klasma.github.io/Logging_0360/tillsyn/A 43860-2025 tillsynsbegäran.docx", "A 43860-2025")</f>
        <v/>
      </c>
      <c r="Y22">
        <f>HYPERLINK("https://klasma.github.io/Logging_0360/tillsynsmail/A 43860-2025 tillsynsbegäran mail.docx", "A 43860-2025")</f>
        <v/>
      </c>
    </row>
    <row r="23" ht="15" customHeight="1">
      <c r="A23" t="inlineStr">
        <is>
          <t>A 7366-2023</t>
        </is>
      </c>
      <c r="B23" s="1" t="n">
        <v>44966</v>
      </c>
      <c r="C23" s="1" t="n">
        <v>45932</v>
      </c>
      <c r="D23" t="inlineStr">
        <is>
          <t>UPPSALA LÄN</t>
        </is>
      </c>
      <c r="E23" t="inlineStr">
        <is>
          <t>TIERP</t>
        </is>
      </c>
      <c r="G23" t="n">
        <v>10.3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HYPERLINK("https://klasma.github.io/Logging_0360/artfynd/A 7366-2023 artfynd.xlsx", "A 7366-2023")</f>
        <v/>
      </c>
      <c r="T23">
        <f>HYPERLINK("https://klasma.github.io/Logging_0360/kartor/A 7366-2023 karta.png", "A 7366-2023")</f>
        <v/>
      </c>
      <c r="U23">
        <f>HYPERLINK("https://klasma.github.io/Logging_0360/knärot/A 7366-2023 karta knärot.png", "A 7366-2023")</f>
        <v/>
      </c>
      <c r="V23">
        <f>HYPERLINK("https://klasma.github.io/Logging_0360/klagomål/A 7366-2023 FSC-klagomål.docx", "A 7366-2023")</f>
        <v/>
      </c>
      <c r="W23">
        <f>HYPERLINK("https://klasma.github.io/Logging_0360/klagomålsmail/A 7366-2023 FSC-klagomål mail.docx", "A 7366-2023")</f>
        <v/>
      </c>
      <c r="X23">
        <f>HYPERLINK("https://klasma.github.io/Logging_0360/tillsyn/A 7366-2023 tillsynsbegäran.docx", "A 7366-2023")</f>
        <v/>
      </c>
      <c r="Y23">
        <f>HYPERLINK("https://klasma.github.io/Logging_0360/tillsynsmail/A 7366-2023 tillsynsbegäran mail.docx", "A 7366-2023")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45932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21607-2025</t>
        </is>
      </c>
      <c r="B25" s="1" t="n">
        <v>45783.38454861111</v>
      </c>
      <c r="C25" s="1" t="n">
        <v>45932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Vanlig rörsvepemossa
Revlummer</t>
        </is>
      </c>
      <c r="S25">
        <f>HYPERLINK("https://klasma.github.io/Logging_0360/artfynd/A 21607-2025 artfynd.xlsx", "A 21607-2025")</f>
        <v/>
      </c>
      <c r="T25">
        <f>HYPERLINK("https://klasma.github.io/Logging_0360/kartor/A 21607-2025 karta.png", "A 21607-2025")</f>
        <v/>
      </c>
      <c r="V25">
        <f>HYPERLINK("https://klasma.github.io/Logging_0360/klagomål/A 21607-2025 FSC-klagomål.docx", "A 21607-2025")</f>
        <v/>
      </c>
      <c r="W25">
        <f>HYPERLINK("https://klasma.github.io/Logging_0360/klagomålsmail/A 21607-2025 FSC-klagomål mail.docx", "A 21607-2025")</f>
        <v/>
      </c>
      <c r="X25">
        <f>HYPERLINK("https://klasma.github.io/Logging_0360/tillsyn/A 21607-2025 tillsynsbegäran.docx", "A 21607-2025")</f>
        <v/>
      </c>
      <c r="Y25">
        <f>HYPERLINK("https://klasma.github.io/Logging_0360/tillsynsmail/A 21607-2025 tillsynsbegäran mail.docx", "A 21607-2025")</f>
        <v/>
      </c>
    </row>
    <row r="26" ht="15" customHeight="1">
      <c r="A26" t="inlineStr">
        <is>
          <t>A 15040-2024</t>
        </is>
      </c>
      <c r="B26" s="1" t="n">
        <v>45399.48680555556</v>
      </c>
      <c r="C26" s="1" t="n">
        <v>45932</v>
      </c>
      <c r="D26" t="inlineStr">
        <is>
          <t>UPPSALA LÄN</t>
        </is>
      </c>
      <c r="E26" t="inlineStr">
        <is>
          <t>TIERP</t>
        </is>
      </c>
      <c r="G26" t="n">
        <v>7.2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Granbräken
Grönkulla</t>
        </is>
      </c>
      <c r="S26">
        <f>HYPERLINK("https://klasma.github.io/Logging_0360/artfynd/A 15040-2024 artfynd.xlsx", "A 15040-2024")</f>
        <v/>
      </c>
      <c r="T26">
        <f>HYPERLINK("https://klasma.github.io/Logging_0360/kartor/A 15040-2024 karta.png", "A 15040-2024")</f>
        <v/>
      </c>
      <c r="V26">
        <f>HYPERLINK("https://klasma.github.io/Logging_0360/klagomål/A 15040-2024 FSC-klagomål.docx", "A 15040-2024")</f>
        <v/>
      </c>
      <c r="W26">
        <f>HYPERLINK("https://klasma.github.io/Logging_0360/klagomålsmail/A 15040-2024 FSC-klagomål mail.docx", "A 15040-2024")</f>
        <v/>
      </c>
      <c r="X26">
        <f>HYPERLINK("https://klasma.github.io/Logging_0360/tillsyn/A 15040-2024 tillsynsbegäran.docx", "A 15040-2024")</f>
        <v/>
      </c>
      <c r="Y26">
        <f>HYPERLINK("https://klasma.github.io/Logging_0360/tillsynsmail/A 15040-2024 tillsynsbegäran mail.docx", "A 15040-2024")</f>
        <v/>
      </c>
    </row>
    <row r="27" ht="15" customHeight="1">
      <c r="A27" t="inlineStr">
        <is>
          <t>A 17074-2022</t>
        </is>
      </c>
      <c r="B27" s="1" t="n">
        <v>44677</v>
      </c>
      <c r="C27" s="1" t="n">
        <v>45932</v>
      </c>
      <c r="D27" t="inlineStr">
        <is>
          <t>UPPSALA LÄN</t>
        </is>
      </c>
      <c r="E27" t="inlineStr">
        <is>
          <t>TIERP</t>
        </is>
      </c>
      <c r="G27" t="n">
        <v>3.6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Tvåblad
Fläcknycklar</t>
        </is>
      </c>
      <c r="S27">
        <f>HYPERLINK("https://klasma.github.io/Logging_0360/artfynd/A 17074-2022 artfynd.xlsx", "A 17074-2022")</f>
        <v/>
      </c>
      <c r="T27">
        <f>HYPERLINK("https://klasma.github.io/Logging_0360/kartor/A 17074-2022 karta.png", "A 17074-2022")</f>
        <v/>
      </c>
      <c r="V27">
        <f>HYPERLINK("https://klasma.github.io/Logging_0360/klagomål/A 17074-2022 FSC-klagomål.docx", "A 17074-2022")</f>
        <v/>
      </c>
      <c r="W27">
        <f>HYPERLINK("https://klasma.github.io/Logging_0360/klagomålsmail/A 17074-2022 FSC-klagomål mail.docx", "A 17074-2022")</f>
        <v/>
      </c>
      <c r="X27">
        <f>HYPERLINK("https://klasma.github.io/Logging_0360/tillsyn/A 17074-2022 tillsynsbegäran.docx", "A 17074-2022")</f>
        <v/>
      </c>
      <c r="Y27">
        <f>HYPERLINK("https://klasma.github.io/Logging_0360/tillsynsmail/A 17074-2022 tillsynsbegäran mail.docx", "A 17074-2022")</f>
        <v/>
      </c>
    </row>
    <row r="28" ht="15" customHeight="1">
      <c r="A28" t="inlineStr">
        <is>
          <t>A 48687-2023</t>
        </is>
      </c>
      <c r="B28" s="1" t="n">
        <v>45208</v>
      </c>
      <c r="C28" s="1" t="n">
        <v>45932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Klasefibbla</t>
        </is>
      </c>
      <c r="S28">
        <f>HYPERLINK("https://klasma.github.io/Logging_0360/artfynd/A 48687-2023 artfynd.xlsx", "A 48687-2023")</f>
        <v/>
      </c>
      <c r="T28">
        <f>HYPERLINK("https://klasma.github.io/Logging_0360/kartor/A 48687-2023 karta.png", "A 48687-2023")</f>
        <v/>
      </c>
      <c r="V28">
        <f>HYPERLINK("https://klasma.github.io/Logging_0360/klagomål/A 48687-2023 FSC-klagomål.docx", "A 48687-2023")</f>
        <v/>
      </c>
      <c r="W28">
        <f>HYPERLINK("https://klasma.github.io/Logging_0360/klagomålsmail/A 48687-2023 FSC-klagomål mail.docx", "A 48687-2023")</f>
        <v/>
      </c>
      <c r="X28">
        <f>HYPERLINK("https://klasma.github.io/Logging_0360/tillsyn/A 48687-2023 tillsynsbegäran.docx", "A 48687-2023")</f>
        <v/>
      </c>
      <c r="Y28">
        <f>HYPERLINK("https://klasma.github.io/Logging_0360/tillsynsmail/A 48687-2023 tillsynsbegäran mail.docx", "A 48687-2023")</f>
        <v/>
      </c>
      <c r="Z28">
        <f>HYPERLINK("https://klasma.github.io/Logging_0360/fåglar/A 48687-2023 prioriterade fågelarter.docx", "A 48687-2023")</f>
        <v/>
      </c>
    </row>
    <row r="29" ht="15" customHeight="1">
      <c r="A29" t="inlineStr">
        <is>
          <t>A 53324-2021</t>
        </is>
      </c>
      <c r="B29" s="1" t="n">
        <v>44468</v>
      </c>
      <c r="C29" s="1" t="n">
        <v>45932</v>
      </c>
      <c r="D29" t="inlineStr">
        <is>
          <t>UPPSALA LÄN</t>
        </is>
      </c>
      <c r="E29" t="inlineStr">
        <is>
          <t>TIERP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Stor aspticka</t>
        </is>
      </c>
      <c r="S29">
        <f>HYPERLINK("https://klasma.github.io/Logging_0360/artfynd/A 53324-2021 artfynd.xlsx", "A 53324-2021")</f>
        <v/>
      </c>
      <c r="T29">
        <f>HYPERLINK("https://klasma.github.io/Logging_0360/kartor/A 53324-2021 karta.png", "A 53324-2021")</f>
        <v/>
      </c>
      <c r="V29">
        <f>HYPERLINK("https://klasma.github.io/Logging_0360/klagomål/A 53324-2021 FSC-klagomål.docx", "A 53324-2021")</f>
        <v/>
      </c>
      <c r="W29">
        <f>HYPERLINK("https://klasma.github.io/Logging_0360/klagomålsmail/A 53324-2021 FSC-klagomål mail.docx", "A 53324-2021")</f>
        <v/>
      </c>
      <c r="X29">
        <f>HYPERLINK("https://klasma.github.io/Logging_0360/tillsyn/A 53324-2021 tillsynsbegäran.docx", "A 53324-2021")</f>
        <v/>
      </c>
      <c r="Y29">
        <f>HYPERLINK("https://klasma.github.io/Logging_0360/tillsynsmail/A 53324-2021 tillsynsbegäran mail.docx", "A 53324-2021")</f>
        <v/>
      </c>
    </row>
    <row r="30" ht="15" customHeight="1">
      <c r="A30" t="inlineStr">
        <is>
          <t>A 25013-2025</t>
        </is>
      </c>
      <c r="B30" s="1" t="n">
        <v>45799.62886574074</v>
      </c>
      <c r="C30" s="1" t="n">
        <v>45932</v>
      </c>
      <c r="D30" t="inlineStr">
        <is>
          <t>UPPSALA LÄN</t>
        </is>
      </c>
      <c r="E30" t="inlineStr">
        <is>
          <t>TIERP</t>
        </is>
      </c>
      <c r="G30" t="n">
        <v>0.5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Rödgul trumpetsvamp</t>
        </is>
      </c>
      <c r="S30">
        <f>HYPERLINK("https://klasma.github.io/Logging_0360/artfynd/A 25013-2025 artfynd.xlsx", "A 25013-2025")</f>
        <v/>
      </c>
      <c r="T30">
        <f>HYPERLINK("https://klasma.github.io/Logging_0360/kartor/A 25013-2025 karta.png", "A 25013-2025")</f>
        <v/>
      </c>
      <c r="V30">
        <f>HYPERLINK("https://klasma.github.io/Logging_0360/klagomål/A 25013-2025 FSC-klagomål.docx", "A 25013-2025")</f>
        <v/>
      </c>
      <c r="W30">
        <f>HYPERLINK("https://klasma.github.io/Logging_0360/klagomålsmail/A 25013-2025 FSC-klagomål mail.docx", "A 25013-2025")</f>
        <v/>
      </c>
      <c r="X30">
        <f>HYPERLINK("https://klasma.github.io/Logging_0360/tillsyn/A 25013-2025 tillsynsbegäran.docx", "A 25013-2025")</f>
        <v/>
      </c>
      <c r="Y30">
        <f>HYPERLINK("https://klasma.github.io/Logging_0360/tillsynsmail/A 25013-2025 tillsynsbegäran mail.docx", "A 25013-2025")</f>
        <v/>
      </c>
    </row>
    <row r="31" ht="15" customHeight="1">
      <c r="A31" t="inlineStr">
        <is>
          <t>A 35188-2025</t>
        </is>
      </c>
      <c r="B31" s="1" t="n">
        <v>45853.32288194444</v>
      </c>
      <c r="C31" s="1" t="n">
        <v>45932</v>
      </c>
      <c r="D31" t="inlineStr">
        <is>
          <t>UPPSALA LÄN</t>
        </is>
      </c>
      <c r="E31" t="inlineStr">
        <is>
          <t>TIERP</t>
        </is>
      </c>
      <c r="G31" t="n">
        <v>1.8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Skogsknipprot
Fläcknycklar</t>
        </is>
      </c>
      <c r="S31">
        <f>HYPERLINK("https://klasma.github.io/Logging_0360/artfynd/A 35188-2025 artfynd.xlsx", "A 35188-2025")</f>
        <v/>
      </c>
      <c r="T31">
        <f>HYPERLINK("https://klasma.github.io/Logging_0360/kartor/A 35188-2025 karta.png", "A 35188-2025")</f>
        <v/>
      </c>
      <c r="V31">
        <f>HYPERLINK("https://klasma.github.io/Logging_0360/klagomål/A 35188-2025 FSC-klagomål.docx", "A 35188-2025")</f>
        <v/>
      </c>
      <c r="W31">
        <f>HYPERLINK("https://klasma.github.io/Logging_0360/klagomålsmail/A 35188-2025 FSC-klagomål mail.docx", "A 35188-2025")</f>
        <v/>
      </c>
      <c r="X31">
        <f>HYPERLINK("https://klasma.github.io/Logging_0360/tillsyn/A 35188-2025 tillsynsbegäran.docx", "A 35188-2025")</f>
        <v/>
      </c>
      <c r="Y31">
        <f>HYPERLINK("https://klasma.github.io/Logging_0360/tillsynsmail/A 35188-2025 tillsynsbegäran mail.docx", "A 35188-2025")</f>
        <v/>
      </c>
    </row>
    <row r="32" ht="15" customHeight="1">
      <c r="A32" t="inlineStr">
        <is>
          <t>A 42363-2025</t>
        </is>
      </c>
      <c r="B32" s="1" t="n">
        <v>45905.31760416667</v>
      </c>
      <c r="C32" s="1" t="n">
        <v>45932</v>
      </c>
      <c r="D32" t="inlineStr">
        <is>
          <t>UPPSALA LÄN</t>
        </is>
      </c>
      <c r="E32" t="inlineStr">
        <is>
          <t>TIERP</t>
        </is>
      </c>
      <c r="G32" t="n">
        <v>8.4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Ullticka</t>
        </is>
      </c>
      <c r="S32">
        <f>HYPERLINK("https://klasma.github.io/Logging_0360/artfynd/A 42363-2025 artfynd.xlsx", "A 42363-2025")</f>
        <v/>
      </c>
      <c r="T32">
        <f>HYPERLINK("https://klasma.github.io/Logging_0360/kartor/A 42363-2025 karta.png", "A 42363-2025")</f>
        <v/>
      </c>
      <c r="V32">
        <f>HYPERLINK("https://klasma.github.io/Logging_0360/klagomål/A 42363-2025 FSC-klagomål.docx", "A 42363-2025")</f>
        <v/>
      </c>
      <c r="W32">
        <f>HYPERLINK("https://klasma.github.io/Logging_0360/klagomålsmail/A 42363-2025 FSC-klagomål mail.docx", "A 42363-2025")</f>
        <v/>
      </c>
      <c r="X32">
        <f>HYPERLINK("https://klasma.github.io/Logging_0360/tillsyn/A 42363-2025 tillsynsbegäran.docx", "A 42363-2025")</f>
        <v/>
      </c>
      <c r="Y32">
        <f>HYPERLINK("https://klasma.github.io/Logging_0360/tillsynsmail/A 42363-2025 tillsynsbegäran mail.docx", "A 42363-2025")</f>
        <v/>
      </c>
      <c r="Z32">
        <f>HYPERLINK("https://klasma.github.io/Logging_0360/fåglar/A 42363-2025 prioriterade fågelarter.docx", "A 42363-2025")</f>
        <v/>
      </c>
    </row>
    <row r="33" ht="15" customHeight="1">
      <c r="A33" t="inlineStr">
        <is>
          <t>A 45851-2022</t>
        </is>
      </c>
      <c r="B33" s="1" t="n">
        <v>44846</v>
      </c>
      <c r="C33" s="1" t="n">
        <v>45932</v>
      </c>
      <c r="D33" t="inlineStr">
        <is>
          <t>UPPSALA LÄN</t>
        </is>
      </c>
      <c r="E33" t="inlineStr">
        <is>
          <t>TIERP</t>
        </is>
      </c>
      <c r="G33" t="n">
        <v>2.6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Olivspindling
Rödgul trumpetsvamp</t>
        </is>
      </c>
      <c r="S33">
        <f>HYPERLINK("https://klasma.github.io/Logging_0360/artfynd/A 45851-2022 artfynd.xlsx", "A 45851-2022")</f>
        <v/>
      </c>
      <c r="T33">
        <f>HYPERLINK("https://klasma.github.io/Logging_0360/kartor/A 45851-2022 karta.png", "A 45851-2022")</f>
        <v/>
      </c>
      <c r="V33">
        <f>HYPERLINK("https://klasma.github.io/Logging_0360/klagomål/A 45851-2022 FSC-klagomål.docx", "A 45851-2022")</f>
        <v/>
      </c>
      <c r="W33">
        <f>HYPERLINK("https://klasma.github.io/Logging_0360/klagomålsmail/A 45851-2022 FSC-klagomål mail.docx", "A 45851-2022")</f>
        <v/>
      </c>
      <c r="X33">
        <f>HYPERLINK("https://klasma.github.io/Logging_0360/tillsyn/A 45851-2022 tillsynsbegäran.docx", "A 45851-2022")</f>
        <v/>
      </c>
      <c r="Y33">
        <f>HYPERLINK("https://klasma.github.io/Logging_0360/tillsynsmail/A 45851-2022 tillsynsbegäran mail.docx", "A 45851-2022")</f>
        <v/>
      </c>
    </row>
    <row r="34" ht="15" customHeight="1">
      <c r="A34" t="inlineStr">
        <is>
          <t>A 17748-2025</t>
        </is>
      </c>
      <c r="B34" s="1" t="n">
        <v>45758.4828125</v>
      </c>
      <c r="C34" s="1" t="n">
        <v>45932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9.800000000000001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Opalfingersvamp
Skogsknipprot</t>
        </is>
      </c>
      <c r="S34">
        <f>HYPERLINK("https://klasma.github.io/Logging_0360/artfynd/A 17748-2025 artfynd.xlsx", "A 17748-2025")</f>
        <v/>
      </c>
      <c r="T34">
        <f>HYPERLINK("https://klasma.github.io/Logging_0360/kartor/A 17748-2025 karta.png", "A 17748-2025")</f>
        <v/>
      </c>
      <c r="V34">
        <f>HYPERLINK("https://klasma.github.io/Logging_0360/klagomål/A 17748-2025 FSC-klagomål.docx", "A 17748-2025")</f>
        <v/>
      </c>
      <c r="W34">
        <f>HYPERLINK("https://klasma.github.io/Logging_0360/klagomålsmail/A 17748-2025 FSC-klagomål mail.docx", "A 17748-2025")</f>
        <v/>
      </c>
      <c r="X34">
        <f>HYPERLINK("https://klasma.github.io/Logging_0360/tillsyn/A 17748-2025 tillsynsbegäran.docx", "A 17748-2025")</f>
        <v/>
      </c>
      <c r="Y34">
        <f>HYPERLINK("https://klasma.github.io/Logging_0360/tillsynsmail/A 17748-2025 tillsynsbegäran mail.docx", "A 17748-2025")</f>
        <v/>
      </c>
    </row>
    <row r="35" ht="15" customHeight="1">
      <c r="A35" t="inlineStr">
        <is>
          <t>A 39018-2024</t>
        </is>
      </c>
      <c r="B35" s="1" t="n">
        <v>45548.4465162037</v>
      </c>
      <c r="C35" s="1" t="n">
        <v>45932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Rödvingetrast
Talltita</t>
        </is>
      </c>
      <c r="S35">
        <f>HYPERLINK("https://klasma.github.io/Logging_0360/artfynd/A 39018-2024 artfynd.xlsx", "A 39018-2024")</f>
        <v/>
      </c>
      <c r="T35">
        <f>HYPERLINK("https://klasma.github.io/Logging_0360/kartor/A 39018-2024 karta.png", "A 39018-2024")</f>
        <v/>
      </c>
      <c r="V35">
        <f>HYPERLINK("https://klasma.github.io/Logging_0360/klagomål/A 39018-2024 FSC-klagomål.docx", "A 39018-2024")</f>
        <v/>
      </c>
      <c r="W35">
        <f>HYPERLINK("https://klasma.github.io/Logging_0360/klagomålsmail/A 39018-2024 FSC-klagomål mail.docx", "A 39018-2024")</f>
        <v/>
      </c>
      <c r="X35">
        <f>HYPERLINK("https://klasma.github.io/Logging_0360/tillsyn/A 39018-2024 tillsynsbegäran.docx", "A 39018-2024")</f>
        <v/>
      </c>
      <c r="Y35">
        <f>HYPERLINK("https://klasma.github.io/Logging_0360/tillsynsmail/A 39018-2024 tillsynsbegäran mail.docx", "A 39018-2024")</f>
        <v/>
      </c>
      <c r="Z35">
        <f>HYPERLINK("https://klasma.github.io/Logging_0360/fåglar/A 39018-2024 prioriterade fågelarter.docx", "A 39018-2024")</f>
        <v/>
      </c>
    </row>
    <row r="36" ht="15" customHeight="1">
      <c r="A36" t="inlineStr">
        <is>
          <t>A 140-2024</t>
        </is>
      </c>
      <c r="B36" s="1" t="n">
        <v>45294.44883101852</v>
      </c>
      <c r="C36" s="1" t="n">
        <v>45932</v>
      </c>
      <c r="D36" t="inlineStr">
        <is>
          <t>UPPSALA LÄN</t>
        </is>
      </c>
      <c r="E36" t="inlineStr">
        <is>
          <t>TIERP</t>
        </is>
      </c>
      <c r="G36" t="n">
        <v>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Ärtsångare</t>
        </is>
      </c>
      <c r="S36">
        <f>HYPERLINK("https://klasma.github.io/Logging_0360/artfynd/A 140-2024 artfynd.xlsx", "A 140-2024")</f>
        <v/>
      </c>
      <c r="T36">
        <f>HYPERLINK("https://klasma.github.io/Logging_0360/kartor/A 140-2024 karta.png", "A 140-2024")</f>
        <v/>
      </c>
      <c r="V36">
        <f>HYPERLINK("https://klasma.github.io/Logging_0360/klagomål/A 140-2024 FSC-klagomål.docx", "A 140-2024")</f>
        <v/>
      </c>
      <c r="W36">
        <f>HYPERLINK("https://klasma.github.io/Logging_0360/klagomålsmail/A 140-2024 FSC-klagomål mail.docx", "A 140-2024")</f>
        <v/>
      </c>
      <c r="X36">
        <f>HYPERLINK("https://klasma.github.io/Logging_0360/tillsyn/A 140-2024 tillsynsbegäran.docx", "A 140-2024")</f>
        <v/>
      </c>
      <c r="Y36">
        <f>HYPERLINK("https://klasma.github.io/Logging_0360/tillsynsmail/A 140-2024 tillsynsbegäran mail.docx", "A 140-2024")</f>
        <v/>
      </c>
      <c r="Z36">
        <f>HYPERLINK("https://klasma.github.io/Logging_0360/fåglar/A 140-2024 prioriterade fågelarter.docx", "A 140-2024")</f>
        <v/>
      </c>
    </row>
    <row r="37" ht="15" customHeight="1">
      <c r="A37" t="inlineStr">
        <is>
          <t>A 34979-2023</t>
        </is>
      </c>
      <c r="B37" s="1" t="n">
        <v>45142</v>
      </c>
      <c r="C37" s="1" t="n">
        <v>45932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Vedticka</t>
        </is>
      </c>
      <c r="S37">
        <f>HYPERLINK("https://klasma.github.io/Logging_0360/artfynd/A 34979-2023 artfynd.xlsx", "A 34979-2023")</f>
        <v/>
      </c>
      <c r="T37">
        <f>HYPERLINK("https://klasma.github.io/Logging_0360/kartor/A 34979-2023 karta.png", "A 34979-2023")</f>
        <v/>
      </c>
      <c r="V37">
        <f>HYPERLINK("https://klasma.github.io/Logging_0360/klagomål/A 34979-2023 FSC-klagomål.docx", "A 34979-2023")</f>
        <v/>
      </c>
      <c r="W37">
        <f>HYPERLINK("https://klasma.github.io/Logging_0360/klagomålsmail/A 34979-2023 FSC-klagomål mail.docx", "A 34979-2023")</f>
        <v/>
      </c>
      <c r="X37">
        <f>HYPERLINK("https://klasma.github.io/Logging_0360/tillsyn/A 34979-2023 tillsynsbegäran.docx", "A 34979-2023")</f>
        <v/>
      </c>
      <c r="Y37">
        <f>HYPERLINK("https://klasma.github.io/Logging_0360/tillsynsmail/A 34979-2023 tillsynsbegäran mail.docx", "A 34979-2023")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45932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45932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15680-2025</t>
        </is>
      </c>
      <c r="B40" s="1" t="n">
        <v>45748.4525</v>
      </c>
      <c r="C40" s="1" t="n">
        <v>45932</v>
      </c>
      <c r="D40" t="inlineStr">
        <is>
          <t>UPPSALA LÄN</t>
        </is>
      </c>
      <c r="E40" t="inlineStr">
        <is>
          <t>TIERP</t>
        </is>
      </c>
      <c r="F40" t="inlineStr">
        <is>
          <t>Kyrkan</t>
        </is>
      </c>
      <c r="G40" t="n">
        <v>13.5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HYPERLINK("https://klasma.github.io/Logging_0360/artfynd/A 15680-2025 artfynd.xlsx", "A 15680-2025")</f>
        <v/>
      </c>
      <c r="T40">
        <f>HYPERLINK("https://klasma.github.io/Logging_0360/kartor/A 15680-2025 karta.png", "A 15680-2025")</f>
        <v/>
      </c>
      <c r="V40">
        <f>HYPERLINK("https://klasma.github.io/Logging_0360/klagomål/A 15680-2025 FSC-klagomål.docx", "A 15680-2025")</f>
        <v/>
      </c>
      <c r="W40">
        <f>HYPERLINK("https://klasma.github.io/Logging_0360/klagomålsmail/A 15680-2025 FSC-klagomål mail.docx", "A 15680-2025")</f>
        <v/>
      </c>
      <c r="X40">
        <f>HYPERLINK("https://klasma.github.io/Logging_0360/tillsyn/A 15680-2025 tillsynsbegäran.docx", "A 15680-2025")</f>
        <v/>
      </c>
      <c r="Y40">
        <f>HYPERLINK("https://klasma.github.io/Logging_0360/tillsynsmail/A 15680-2025 tillsynsbegäran mail.docx", "A 15680-2025")</f>
        <v/>
      </c>
    </row>
    <row r="41" ht="15" customHeight="1">
      <c r="A41" t="inlineStr">
        <is>
          <t>A 22601-2025</t>
        </is>
      </c>
      <c r="B41" s="1" t="n">
        <v>45789</v>
      </c>
      <c r="C41" s="1" t="n">
        <v>45932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HYPERLINK("https://klasma.github.io/Logging_0360/artfynd/A 22601-2025 artfynd.xlsx", "A 22601-2025")</f>
        <v/>
      </c>
      <c r="T41">
        <f>HYPERLINK("https://klasma.github.io/Logging_0360/kartor/A 22601-2025 karta.png", "A 22601-2025")</f>
        <v/>
      </c>
      <c r="V41">
        <f>HYPERLINK("https://klasma.github.io/Logging_0360/klagomål/A 22601-2025 FSC-klagomål.docx", "A 22601-2025")</f>
        <v/>
      </c>
      <c r="W41">
        <f>HYPERLINK("https://klasma.github.io/Logging_0360/klagomålsmail/A 22601-2025 FSC-klagomål mail.docx", "A 22601-2025")</f>
        <v/>
      </c>
      <c r="X41">
        <f>HYPERLINK("https://klasma.github.io/Logging_0360/tillsyn/A 22601-2025 tillsynsbegäran.docx", "A 22601-2025")</f>
        <v/>
      </c>
      <c r="Y41">
        <f>HYPERLINK("https://klasma.github.io/Logging_0360/tillsynsmail/A 22601-2025 tillsynsbegäran mail.docx", "A 22601-2025")</f>
        <v/>
      </c>
    </row>
    <row r="42" ht="15" customHeight="1">
      <c r="A42" t="inlineStr">
        <is>
          <t>A 38821-2023</t>
        </is>
      </c>
      <c r="B42" s="1" t="n">
        <v>45163</v>
      </c>
      <c r="C42" s="1" t="n">
        <v>45932</v>
      </c>
      <c r="D42" t="inlineStr">
        <is>
          <t>UPPSALA LÄN</t>
        </is>
      </c>
      <c r="E42" t="inlineStr">
        <is>
          <t>TIERP</t>
        </is>
      </c>
      <c r="G42" t="n">
        <v>20.3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HYPERLINK("https://klasma.github.io/Logging_0360/artfynd/A 38821-2023 artfynd.xlsx", "A 38821-2023")</f>
        <v/>
      </c>
      <c r="T42">
        <f>HYPERLINK("https://klasma.github.io/Logging_0360/kartor/A 38821-2023 karta.png", "A 38821-2023")</f>
        <v/>
      </c>
      <c r="V42">
        <f>HYPERLINK("https://klasma.github.io/Logging_0360/klagomål/A 38821-2023 FSC-klagomål.docx", "A 38821-2023")</f>
        <v/>
      </c>
      <c r="W42">
        <f>HYPERLINK("https://klasma.github.io/Logging_0360/klagomålsmail/A 38821-2023 FSC-klagomål mail.docx", "A 38821-2023")</f>
        <v/>
      </c>
      <c r="X42">
        <f>HYPERLINK("https://klasma.github.io/Logging_0360/tillsyn/A 38821-2023 tillsynsbegäran.docx", "A 38821-2023")</f>
        <v/>
      </c>
      <c r="Y42">
        <f>HYPERLINK("https://klasma.github.io/Logging_0360/tillsynsmail/A 38821-2023 tillsynsbegäran mail.docx", "A 38821-2023")</f>
        <v/>
      </c>
    </row>
    <row r="43" ht="15" customHeight="1">
      <c r="A43" t="inlineStr">
        <is>
          <t>A 22777-2025</t>
        </is>
      </c>
      <c r="B43" s="1" t="n">
        <v>45789.63715277778</v>
      </c>
      <c r="C43" s="1" t="n">
        <v>45932</v>
      </c>
      <c r="D43" t="inlineStr">
        <is>
          <t>UPPSALA LÄN</t>
        </is>
      </c>
      <c r="E43" t="inlineStr">
        <is>
          <t>TIERP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Persiljespindling</t>
        </is>
      </c>
      <c r="S43">
        <f>HYPERLINK("https://klasma.github.io/Logging_0360/artfynd/A 22777-2025 artfynd.xlsx", "A 22777-2025")</f>
        <v/>
      </c>
      <c r="T43">
        <f>HYPERLINK("https://klasma.github.io/Logging_0360/kartor/A 22777-2025 karta.png", "A 22777-2025")</f>
        <v/>
      </c>
      <c r="V43">
        <f>HYPERLINK("https://klasma.github.io/Logging_0360/klagomål/A 22777-2025 FSC-klagomål.docx", "A 22777-2025")</f>
        <v/>
      </c>
      <c r="W43">
        <f>HYPERLINK("https://klasma.github.io/Logging_0360/klagomålsmail/A 22777-2025 FSC-klagomål mail.docx", "A 22777-2025")</f>
        <v/>
      </c>
      <c r="X43">
        <f>HYPERLINK("https://klasma.github.io/Logging_0360/tillsyn/A 22777-2025 tillsynsbegäran.docx", "A 22777-2025")</f>
        <v/>
      </c>
      <c r="Y43">
        <f>HYPERLINK("https://klasma.github.io/Logging_0360/tillsynsmail/A 22777-2025 tillsynsbegäran mail.docx", "A 22777-2025")</f>
        <v/>
      </c>
    </row>
    <row r="44" ht="15" customHeight="1">
      <c r="A44" t="inlineStr">
        <is>
          <t>A 58107-2024</t>
        </is>
      </c>
      <c r="B44" s="1" t="n">
        <v>45632</v>
      </c>
      <c r="C44" s="1" t="n">
        <v>45932</v>
      </c>
      <c r="D44" t="inlineStr">
        <is>
          <t>UPPSALA LÄN</t>
        </is>
      </c>
      <c r="E44" t="inlineStr">
        <is>
          <t>TIERP</t>
        </is>
      </c>
      <c r="G44" t="n">
        <v>0.6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Skogsknipprot</t>
        </is>
      </c>
      <c r="S44">
        <f>HYPERLINK("https://klasma.github.io/Logging_0360/artfynd/A 58107-2024 artfynd.xlsx", "A 58107-2024")</f>
        <v/>
      </c>
      <c r="T44">
        <f>HYPERLINK("https://klasma.github.io/Logging_0360/kartor/A 58107-2024 karta.png", "A 58107-2024")</f>
        <v/>
      </c>
      <c r="V44">
        <f>HYPERLINK("https://klasma.github.io/Logging_0360/klagomål/A 58107-2024 FSC-klagomål.docx", "A 58107-2024")</f>
        <v/>
      </c>
      <c r="W44">
        <f>HYPERLINK("https://klasma.github.io/Logging_0360/klagomålsmail/A 58107-2024 FSC-klagomål mail.docx", "A 58107-2024")</f>
        <v/>
      </c>
      <c r="X44">
        <f>HYPERLINK("https://klasma.github.io/Logging_0360/tillsyn/A 58107-2024 tillsynsbegäran.docx", "A 58107-2024")</f>
        <v/>
      </c>
      <c r="Y44">
        <f>HYPERLINK("https://klasma.github.io/Logging_0360/tillsynsmail/A 58107-2024 tillsynsbegäran mail.docx", "A 58107-2024")</f>
        <v/>
      </c>
    </row>
    <row r="45" ht="15" customHeight="1">
      <c r="A45" t="inlineStr">
        <is>
          <t>A 55331-2024</t>
        </is>
      </c>
      <c r="B45" s="1" t="n">
        <v>45621.68104166666</v>
      </c>
      <c r="C45" s="1" t="n">
        <v>45932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HYPERLINK("https://klasma.github.io/Logging_0360/artfynd/A 55331-2024 artfynd.xlsx", "A 55331-2024")</f>
        <v/>
      </c>
      <c r="T45">
        <f>HYPERLINK("https://klasma.github.io/Logging_0360/kartor/A 55331-2024 karta.png", "A 55331-2024")</f>
        <v/>
      </c>
      <c r="V45">
        <f>HYPERLINK("https://klasma.github.io/Logging_0360/klagomål/A 55331-2024 FSC-klagomål.docx", "A 55331-2024")</f>
        <v/>
      </c>
      <c r="W45">
        <f>HYPERLINK("https://klasma.github.io/Logging_0360/klagomålsmail/A 55331-2024 FSC-klagomål mail.docx", "A 55331-2024")</f>
        <v/>
      </c>
      <c r="X45">
        <f>HYPERLINK("https://klasma.github.io/Logging_0360/tillsyn/A 55331-2024 tillsynsbegäran.docx", "A 55331-2024")</f>
        <v/>
      </c>
      <c r="Y45">
        <f>HYPERLINK("https://klasma.github.io/Logging_0360/tillsynsmail/A 55331-2024 tillsynsbegäran mail.docx", "A 55331-2024")</f>
        <v/>
      </c>
      <c r="Z45">
        <f>HYPERLINK("https://klasma.github.io/Logging_0360/fåglar/A 55331-2024 prioriterade fågelarter.docx", "A 55331-2024")</f>
        <v/>
      </c>
    </row>
    <row r="46" ht="15" customHeight="1">
      <c r="A46" t="inlineStr">
        <is>
          <t>A 56972-2022</t>
        </is>
      </c>
      <c r="B46" s="1" t="n">
        <v>44894</v>
      </c>
      <c r="C46" s="1" t="n">
        <v>45932</v>
      </c>
      <c r="D46" t="inlineStr">
        <is>
          <t>UPPSALA LÄN</t>
        </is>
      </c>
      <c r="E46" t="inlineStr">
        <is>
          <t>TIERP</t>
        </is>
      </c>
      <c r="G46" t="n">
        <v>11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Violgubbe</t>
        </is>
      </c>
      <c r="S46">
        <f>HYPERLINK("https://klasma.github.io/Logging_0360/artfynd/A 56972-2022 artfynd.xlsx", "A 56972-2022")</f>
        <v/>
      </c>
      <c r="T46">
        <f>HYPERLINK("https://klasma.github.io/Logging_0360/kartor/A 56972-2022 karta.png", "A 56972-2022")</f>
        <v/>
      </c>
      <c r="V46">
        <f>HYPERLINK("https://klasma.github.io/Logging_0360/klagomål/A 56972-2022 FSC-klagomål.docx", "A 56972-2022")</f>
        <v/>
      </c>
      <c r="W46">
        <f>HYPERLINK("https://klasma.github.io/Logging_0360/klagomålsmail/A 56972-2022 FSC-klagomål mail.docx", "A 56972-2022")</f>
        <v/>
      </c>
      <c r="X46">
        <f>HYPERLINK("https://klasma.github.io/Logging_0360/tillsyn/A 56972-2022 tillsynsbegäran.docx", "A 56972-2022")</f>
        <v/>
      </c>
      <c r="Y46">
        <f>HYPERLINK("https://klasma.github.io/Logging_0360/tillsynsmail/A 56972-2022 tillsynsbegäran mail.docx", "A 56972-2022")</f>
        <v/>
      </c>
    </row>
    <row r="47" ht="15" customHeight="1">
      <c r="A47" t="inlineStr">
        <is>
          <t>A 3853-2025</t>
        </is>
      </c>
      <c r="B47" s="1" t="n">
        <v>45683</v>
      </c>
      <c r="C47" s="1" t="n">
        <v>45932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HYPERLINK("https://klasma.github.io/Logging_0360/artfynd/A 3853-2025 artfynd.xlsx", "A 3853-2025")</f>
        <v/>
      </c>
      <c r="T47">
        <f>HYPERLINK("https://klasma.github.io/Logging_0360/kartor/A 3853-2025 karta.png", "A 3853-2025")</f>
        <v/>
      </c>
      <c r="V47">
        <f>HYPERLINK("https://klasma.github.io/Logging_0360/klagomål/A 3853-2025 FSC-klagomål.docx", "A 3853-2025")</f>
        <v/>
      </c>
      <c r="W47">
        <f>HYPERLINK("https://klasma.github.io/Logging_0360/klagomålsmail/A 3853-2025 FSC-klagomål mail.docx", "A 3853-2025")</f>
        <v/>
      </c>
      <c r="X47">
        <f>HYPERLINK("https://klasma.github.io/Logging_0360/tillsyn/A 3853-2025 tillsynsbegäran.docx", "A 3853-2025")</f>
        <v/>
      </c>
      <c r="Y47">
        <f>HYPERLINK("https://klasma.github.io/Logging_0360/tillsynsmail/A 3853-2025 tillsynsbegäran mail.docx", "A 3853-2025")</f>
        <v/>
      </c>
    </row>
    <row r="48" ht="15" customHeight="1">
      <c r="A48" t="inlineStr">
        <is>
          <t>A 38151-2023</t>
        </is>
      </c>
      <c r="B48" s="1" t="n">
        <v>45160</v>
      </c>
      <c r="C48" s="1" t="n">
        <v>45932</v>
      </c>
      <c r="D48" t="inlineStr">
        <is>
          <t>UPPSALA LÄN</t>
        </is>
      </c>
      <c r="E48" t="inlineStr">
        <is>
          <t>TIERP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Tornseglare</t>
        </is>
      </c>
      <c r="S48">
        <f>HYPERLINK("https://klasma.github.io/Logging_0360/artfynd/A 38151-2023 artfynd.xlsx", "A 38151-2023")</f>
        <v/>
      </c>
      <c r="T48">
        <f>HYPERLINK("https://klasma.github.io/Logging_0360/kartor/A 38151-2023 karta.png", "A 38151-2023")</f>
        <v/>
      </c>
      <c r="V48">
        <f>HYPERLINK("https://klasma.github.io/Logging_0360/klagomål/A 38151-2023 FSC-klagomål.docx", "A 38151-2023")</f>
        <v/>
      </c>
      <c r="W48">
        <f>HYPERLINK("https://klasma.github.io/Logging_0360/klagomålsmail/A 38151-2023 FSC-klagomål mail.docx", "A 38151-2023")</f>
        <v/>
      </c>
      <c r="X48">
        <f>HYPERLINK("https://klasma.github.io/Logging_0360/tillsyn/A 38151-2023 tillsynsbegäran.docx", "A 38151-2023")</f>
        <v/>
      </c>
      <c r="Y48">
        <f>HYPERLINK("https://klasma.github.io/Logging_0360/tillsynsmail/A 38151-2023 tillsynsbegäran mail.docx", "A 38151-2023")</f>
        <v/>
      </c>
      <c r="Z48">
        <f>HYPERLINK("https://klasma.github.io/Logging_0360/fåglar/A 38151-2023 prioriterade fågelarter.docx", "A 38151-2023")</f>
        <v/>
      </c>
    </row>
    <row r="49" ht="15" customHeight="1">
      <c r="A49" t="inlineStr">
        <is>
          <t>A 10853-2025</t>
        </is>
      </c>
      <c r="B49" s="1" t="n">
        <v>45722.58457175926</v>
      </c>
      <c r="C49" s="1" t="n">
        <v>45932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HYPERLINK("https://klasma.github.io/Logging_0360/artfynd/A 10853-2025 artfynd.xlsx", "A 10853-2025")</f>
        <v/>
      </c>
      <c r="T49">
        <f>HYPERLINK("https://klasma.github.io/Logging_0360/kartor/A 10853-2025 karta.png", "A 10853-2025")</f>
        <v/>
      </c>
      <c r="V49">
        <f>HYPERLINK("https://klasma.github.io/Logging_0360/klagomål/A 10853-2025 FSC-klagomål.docx", "A 10853-2025")</f>
        <v/>
      </c>
      <c r="W49">
        <f>HYPERLINK("https://klasma.github.io/Logging_0360/klagomålsmail/A 10853-2025 FSC-klagomål mail.docx", "A 10853-2025")</f>
        <v/>
      </c>
      <c r="X49">
        <f>HYPERLINK("https://klasma.github.io/Logging_0360/tillsyn/A 10853-2025 tillsynsbegäran.docx", "A 10853-2025")</f>
        <v/>
      </c>
      <c r="Y49">
        <f>HYPERLINK("https://klasma.github.io/Logging_0360/tillsynsmail/A 10853-2025 tillsynsbegäran mail.docx", "A 10853-2025")</f>
        <v/>
      </c>
    </row>
    <row r="50" ht="15" customHeight="1">
      <c r="A50" t="inlineStr">
        <is>
          <t>A 57398-2024</t>
        </is>
      </c>
      <c r="B50" s="1" t="n">
        <v>45629</v>
      </c>
      <c r="C50" s="1" t="n">
        <v>45932</v>
      </c>
      <c r="D50" t="inlineStr">
        <is>
          <t>UPPSALA LÄN</t>
        </is>
      </c>
      <c r="E50" t="inlineStr">
        <is>
          <t>TIERP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Ängsskäreplattmal</t>
        </is>
      </c>
      <c r="S50">
        <f>HYPERLINK("https://klasma.github.io/Logging_0360/artfynd/A 57398-2024 artfynd.xlsx", "A 57398-2024")</f>
        <v/>
      </c>
      <c r="T50">
        <f>HYPERLINK("https://klasma.github.io/Logging_0360/kartor/A 57398-2024 karta.png", "A 57398-2024")</f>
        <v/>
      </c>
      <c r="V50">
        <f>HYPERLINK("https://klasma.github.io/Logging_0360/klagomål/A 57398-2024 FSC-klagomål.docx", "A 57398-2024")</f>
        <v/>
      </c>
      <c r="W50">
        <f>HYPERLINK("https://klasma.github.io/Logging_0360/klagomålsmail/A 57398-2024 FSC-klagomål mail.docx", "A 57398-2024")</f>
        <v/>
      </c>
      <c r="X50">
        <f>HYPERLINK("https://klasma.github.io/Logging_0360/tillsyn/A 57398-2024 tillsynsbegäran.docx", "A 57398-2024")</f>
        <v/>
      </c>
      <c r="Y50">
        <f>HYPERLINK("https://klasma.github.io/Logging_0360/tillsynsmail/A 57398-2024 tillsynsbegäran mail.docx", "A 57398-2024")</f>
        <v/>
      </c>
    </row>
    <row r="51" ht="15" customHeight="1">
      <c r="A51" t="inlineStr">
        <is>
          <t>A 14515-2025</t>
        </is>
      </c>
      <c r="B51" s="1" t="n">
        <v>45741.63833333334</v>
      </c>
      <c r="C51" s="1" t="n">
        <v>45932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HYPERLINK("https://klasma.github.io/Logging_0360/artfynd/A 14515-2025 artfynd.xlsx", "A 14515-2025")</f>
        <v/>
      </c>
      <c r="T51">
        <f>HYPERLINK("https://klasma.github.io/Logging_0360/kartor/A 14515-2025 karta.png", "A 14515-2025")</f>
        <v/>
      </c>
      <c r="V51">
        <f>HYPERLINK("https://klasma.github.io/Logging_0360/klagomål/A 14515-2025 FSC-klagomål.docx", "A 14515-2025")</f>
        <v/>
      </c>
      <c r="W51">
        <f>HYPERLINK("https://klasma.github.io/Logging_0360/klagomålsmail/A 14515-2025 FSC-klagomål mail.docx", "A 14515-2025")</f>
        <v/>
      </c>
      <c r="X51">
        <f>HYPERLINK("https://klasma.github.io/Logging_0360/tillsyn/A 14515-2025 tillsynsbegäran.docx", "A 14515-2025")</f>
        <v/>
      </c>
      <c r="Y51">
        <f>HYPERLINK("https://klasma.github.io/Logging_0360/tillsynsmail/A 14515-2025 tillsynsbegäran mail.docx", "A 14515-2025")</f>
        <v/>
      </c>
      <c r="Z51">
        <f>HYPERLINK("https://klasma.github.io/Logging_0360/fåglar/A 14515-2025 prioriterade fågelarter.docx", "A 14515-2025")</f>
        <v/>
      </c>
    </row>
    <row r="52" ht="15" customHeight="1">
      <c r="A52" t="inlineStr">
        <is>
          <t>A 10844-2025</t>
        </is>
      </c>
      <c r="B52" s="1" t="n">
        <v>45722.57790509259</v>
      </c>
      <c r="C52" s="1" t="n">
        <v>45932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4.3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HYPERLINK("https://klasma.github.io/Logging_0360/artfynd/A 10844-2025 artfynd.xlsx", "A 10844-2025")</f>
        <v/>
      </c>
      <c r="T52">
        <f>HYPERLINK("https://klasma.github.io/Logging_0360/kartor/A 10844-2025 karta.png", "A 10844-2025")</f>
        <v/>
      </c>
      <c r="V52">
        <f>HYPERLINK("https://klasma.github.io/Logging_0360/klagomål/A 10844-2025 FSC-klagomål.docx", "A 10844-2025")</f>
        <v/>
      </c>
      <c r="W52">
        <f>HYPERLINK("https://klasma.github.io/Logging_0360/klagomålsmail/A 10844-2025 FSC-klagomål mail.docx", "A 10844-2025")</f>
        <v/>
      </c>
      <c r="X52">
        <f>HYPERLINK("https://klasma.github.io/Logging_0360/tillsyn/A 10844-2025 tillsynsbegäran.docx", "A 10844-2025")</f>
        <v/>
      </c>
      <c r="Y52">
        <f>HYPERLINK("https://klasma.github.io/Logging_0360/tillsynsmail/A 10844-2025 tillsynsbegäran mail.docx", "A 10844-2025")</f>
        <v/>
      </c>
    </row>
    <row r="53" ht="15" customHeight="1">
      <c r="A53" t="inlineStr">
        <is>
          <t>A 5700-2024</t>
        </is>
      </c>
      <c r="B53" s="1" t="n">
        <v>45335</v>
      </c>
      <c r="C53" s="1" t="n">
        <v>45932</v>
      </c>
      <c r="D53" t="inlineStr">
        <is>
          <t>UPPSALA LÄN</t>
        </is>
      </c>
      <c r="E53" t="inlineStr">
        <is>
          <t>TIERP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HYPERLINK("https://klasma.github.io/Logging_0360/artfynd/A 5700-2024 artfynd.xlsx", "A 5700-2024")</f>
        <v/>
      </c>
      <c r="T53">
        <f>HYPERLINK("https://klasma.github.io/Logging_0360/kartor/A 5700-2024 karta.png", "A 5700-2024")</f>
        <v/>
      </c>
      <c r="V53">
        <f>HYPERLINK("https://klasma.github.io/Logging_0360/klagomål/A 5700-2024 FSC-klagomål.docx", "A 5700-2024")</f>
        <v/>
      </c>
      <c r="W53">
        <f>HYPERLINK("https://klasma.github.io/Logging_0360/klagomålsmail/A 5700-2024 FSC-klagomål mail.docx", "A 5700-2024")</f>
        <v/>
      </c>
      <c r="X53">
        <f>HYPERLINK("https://klasma.github.io/Logging_0360/tillsyn/A 5700-2024 tillsynsbegäran.docx", "A 5700-2024")</f>
        <v/>
      </c>
      <c r="Y53">
        <f>HYPERLINK("https://klasma.github.io/Logging_0360/tillsynsmail/A 5700-2024 tillsynsbegäran mail.docx", "A 5700-2024")</f>
        <v/>
      </c>
    </row>
    <row r="54" ht="15" customHeight="1">
      <c r="A54" t="inlineStr">
        <is>
          <t>A 5454-2022</t>
        </is>
      </c>
      <c r="B54" s="1" t="n">
        <v>44595</v>
      </c>
      <c r="C54" s="1" t="n">
        <v>45932</v>
      </c>
      <c r="D54" t="inlineStr">
        <is>
          <t>UPPSALA LÄN</t>
        </is>
      </c>
      <c r="E54" t="inlineStr">
        <is>
          <t>TIERP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Anisspindling</t>
        </is>
      </c>
      <c r="S54">
        <f>HYPERLINK("https://klasma.github.io/Logging_0360/artfynd/A 5454-2022 artfynd.xlsx", "A 5454-2022")</f>
        <v/>
      </c>
      <c r="T54">
        <f>HYPERLINK("https://klasma.github.io/Logging_0360/kartor/A 5454-2022 karta.png", "A 5454-2022")</f>
        <v/>
      </c>
      <c r="U54">
        <f>HYPERLINK("https://klasma.github.io/Logging_0360/knärot/A 5454-2022 karta knärot.png", "A 5454-2022")</f>
        <v/>
      </c>
      <c r="V54">
        <f>HYPERLINK("https://klasma.github.io/Logging_0360/klagomål/A 5454-2022 FSC-klagomål.docx", "A 5454-2022")</f>
        <v/>
      </c>
      <c r="W54">
        <f>HYPERLINK("https://klasma.github.io/Logging_0360/klagomålsmail/A 5454-2022 FSC-klagomål mail.docx", "A 5454-2022")</f>
        <v/>
      </c>
      <c r="X54">
        <f>HYPERLINK("https://klasma.github.io/Logging_0360/tillsyn/A 5454-2022 tillsynsbegäran.docx", "A 5454-2022")</f>
        <v/>
      </c>
      <c r="Y54">
        <f>HYPERLINK("https://klasma.github.io/Logging_0360/tillsynsmail/A 5454-2022 tillsynsbegäran mail.docx", "A 5454-2022")</f>
        <v/>
      </c>
    </row>
    <row r="55" ht="15" customHeight="1">
      <c r="A55" t="inlineStr">
        <is>
          <t>A 47520-2025</t>
        </is>
      </c>
      <c r="B55" s="1" t="n">
        <v>45931.32129629629</v>
      </c>
      <c r="C55" s="1" t="n">
        <v>45932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Klofibbla</t>
        </is>
      </c>
      <c r="S55">
        <f>HYPERLINK("https://klasma.github.io/Logging_0360/artfynd/A 47520-2025 artfynd.xlsx", "A 47520-2025")</f>
        <v/>
      </c>
      <c r="T55">
        <f>HYPERLINK("https://klasma.github.io/Logging_0360/kartor/A 47520-2025 karta.png", "A 47520-2025")</f>
        <v/>
      </c>
      <c r="V55">
        <f>HYPERLINK("https://klasma.github.io/Logging_0360/klagomål/A 47520-2025 FSC-klagomål.docx", "A 47520-2025")</f>
        <v/>
      </c>
      <c r="W55">
        <f>HYPERLINK("https://klasma.github.io/Logging_0360/klagomålsmail/A 47520-2025 FSC-klagomål mail.docx", "A 47520-2025")</f>
        <v/>
      </c>
      <c r="X55">
        <f>HYPERLINK("https://klasma.github.io/Logging_0360/tillsyn/A 47520-2025 tillsynsbegäran.docx", "A 47520-2025")</f>
        <v/>
      </c>
      <c r="Y55">
        <f>HYPERLINK("https://klasma.github.io/Logging_0360/tillsynsmail/A 47520-2025 tillsynsbegäran mail.docx", "A 47520-2025")</f>
        <v/>
      </c>
    </row>
    <row r="56" ht="15" customHeight="1">
      <c r="A56" t="inlineStr">
        <is>
          <t>A 27855-2025</t>
        </is>
      </c>
      <c r="B56" s="1" t="n">
        <v>45817</v>
      </c>
      <c r="C56" s="1" t="n">
        <v>45932</v>
      </c>
      <c r="D56" t="inlineStr">
        <is>
          <t>UPPSALA LÄN</t>
        </is>
      </c>
      <c r="E56" t="inlineStr">
        <is>
          <t>TIERP</t>
        </is>
      </c>
      <c r="G56" t="n">
        <v>7.5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Zontaggsvamp</t>
        </is>
      </c>
      <c r="S56">
        <f>HYPERLINK("https://klasma.github.io/Logging_0360/artfynd/A 27855-2025 artfynd.xlsx", "A 27855-2025")</f>
        <v/>
      </c>
      <c r="T56">
        <f>HYPERLINK("https://klasma.github.io/Logging_0360/kartor/A 27855-2025 karta.png", "A 27855-2025")</f>
        <v/>
      </c>
      <c r="V56">
        <f>HYPERLINK("https://klasma.github.io/Logging_0360/klagomål/A 27855-2025 FSC-klagomål.docx", "A 27855-2025")</f>
        <v/>
      </c>
      <c r="W56">
        <f>HYPERLINK("https://klasma.github.io/Logging_0360/klagomålsmail/A 27855-2025 FSC-klagomål mail.docx", "A 27855-2025")</f>
        <v/>
      </c>
      <c r="X56">
        <f>HYPERLINK("https://klasma.github.io/Logging_0360/tillsyn/A 27855-2025 tillsynsbegäran.docx", "A 27855-2025")</f>
        <v/>
      </c>
      <c r="Y56">
        <f>HYPERLINK("https://klasma.github.io/Logging_0360/tillsynsmail/A 27855-2025 tillsynsbegäran mail.docx", "A 27855-2025")</f>
        <v/>
      </c>
    </row>
    <row r="57" ht="15" customHeight="1">
      <c r="A57" t="inlineStr">
        <is>
          <t>A 2298-2024</t>
        </is>
      </c>
      <c r="B57" s="1" t="n">
        <v>45310.44064814815</v>
      </c>
      <c r="C57" s="1" t="n">
        <v>45932</v>
      </c>
      <c r="D57" t="inlineStr">
        <is>
          <t>UPPSALA LÄN</t>
        </is>
      </c>
      <c r="E57" t="inlineStr">
        <is>
          <t>TIERP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HYPERLINK("https://klasma.github.io/Logging_0360/artfynd/A 2298-2024 artfynd.xlsx", "A 2298-2024")</f>
        <v/>
      </c>
      <c r="T57">
        <f>HYPERLINK("https://klasma.github.io/Logging_0360/kartor/A 2298-2024 karta.png", "A 2298-2024")</f>
        <v/>
      </c>
      <c r="V57">
        <f>HYPERLINK("https://klasma.github.io/Logging_0360/klagomål/A 2298-2024 FSC-klagomål.docx", "A 2298-2024")</f>
        <v/>
      </c>
      <c r="W57">
        <f>HYPERLINK("https://klasma.github.io/Logging_0360/klagomålsmail/A 2298-2024 FSC-klagomål mail.docx", "A 2298-2024")</f>
        <v/>
      </c>
      <c r="X57">
        <f>HYPERLINK("https://klasma.github.io/Logging_0360/tillsyn/A 2298-2024 tillsynsbegäran.docx", "A 2298-2024")</f>
        <v/>
      </c>
      <c r="Y57">
        <f>HYPERLINK("https://klasma.github.io/Logging_0360/tillsynsmail/A 2298-2024 tillsynsbegäran mail.docx", "A 2298-2024")</f>
        <v/>
      </c>
    </row>
    <row r="58" ht="15" customHeight="1">
      <c r="A58" t="inlineStr">
        <is>
          <t>A 16733-2025</t>
        </is>
      </c>
      <c r="B58" s="1" t="n">
        <v>45754</v>
      </c>
      <c r="C58" s="1" t="n">
        <v>45932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Rödbrun blekspik</t>
        </is>
      </c>
      <c r="S58">
        <f>HYPERLINK("https://klasma.github.io/Logging_0360/artfynd/A 16733-2025 artfynd.xlsx", "A 16733-2025")</f>
        <v/>
      </c>
      <c r="T58">
        <f>HYPERLINK("https://klasma.github.io/Logging_0360/kartor/A 16733-2025 karta.png", "A 16733-2025")</f>
        <v/>
      </c>
      <c r="V58">
        <f>HYPERLINK("https://klasma.github.io/Logging_0360/klagomål/A 16733-2025 FSC-klagomål.docx", "A 16733-2025")</f>
        <v/>
      </c>
      <c r="W58">
        <f>HYPERLINK("https://klasma.github.io/Logging_0360/klagomålsmail/A 16733-2025 FSC-klagomål mail.docx", "A 16733-2025")</f>
        <v/>
      </c>
      <c r="X58">
        <f>HYPERLINK("https://klasma.github.io/Logging_0360/tillsyn/A 16733-2025 tillsynsbegäran.docx", "A 16733-2025")</f>
        <v/>
      </c>
      <c r="Y58">
        <f>HYPERLINK("https://klasma.github.io/Logging_0360/tillsynsmail/A 16733-2025 tillsynsbegäran mail.docx", "A 16733-2025")</f>
        <v/>
      </c>
    </row>
    <row r="59" ht="15" customHeight="1">
      <c r="A59" t="inlineStr">
        <is>
          <t>A 44680-2025</t>
        </is>
      </c>
      <c r="B59" s="1" t="n">
        <v>45917.57564814815</v>
      </c>
      <c r="C59" s="1" t="n">
        <v>45932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HYPERLINK("https://klasma.github.io/Logging_0360/artfynd/A 44680-2025 artfynd.xlsx", "A 44680-2025")</f>
        <v/>
      </c>
      <c r="T59">
        <f>HYPERLINK("https://klasma.github.io/Logging_0360/kartor/A 44680-2025 karta.png", "A 44680-2025")</f>
        <v/>
      </c>
      <c r="V59">
        <f>HYPERLINK("https://klasma.github.io/Logging_0360/klagomål/A 44680-2025 FSC-klagomål.docx", "A 44680-2025")</f>
        <v/>
      </c>
      <c r="W59">
        <f>HYPERLINK("https://klasma.github.io/Logging_0360/klagomålsmail/A 44680-2025 FSC-klagomål mail.docx", "A 44680-2025")</f>
        <v/>
      </c>
      <c r="X59">
        <f>HYPERLINK("https://klasma.github.io/Logging_0360/tillsyn/A 44680-2025 tillsynsbegäran.docx", "A 44680-2025")</f>
        <v/>
      </c>
      <c r="Y59">
        <f>HYPERLINK("https://klasma.github.io/Logging_0360/tillsynsmail/A 44680-2025 tillsynsbegäran mail.docx", "A 44680-2025")</f>
        <v/>
      </c>
      <c r="Z59">
        <f>HYPERLINK("https://klasma.github.io/Logging_0360/fåglar/A 44680-2025 prioriterade fågelarter.docx", "A 44680-2025")</f>
        <v/>
      </c>
    </row>
    <row r="60" ht="15" customHeight="1">
      <c r="A60" t="inlineStr">
        <is>
          <t>A 2332-2024</t>
        </is>
      </c>
      <c r="B60" s="1" t="n">
        <v>45310</v>
      </c>
      <c r="C60" s="1" t="n">
        <v>45932</v>
      </c>
      <c r="D60" t="inlineStr">
        <is>
          <t>UPPSALA LÄN</t>
        </is>
      </c>
      <c r="E60" t="inlineStr">
        <is>
          <t>TIERP</t>
        </is>
      </c>
      <c r="G60" t="n">
        <v>3.7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HYPERLINK("https://klasma.github.io/Logging_0360/artfynd/A 2332-2024 artfynd.xlsx", "A 2332-2024")</f>
        <v/>
      </c>
      <c r="T60">
        <f>HYPERLINK("https://klasma.github.io/Logging_0360/kartor/A 2332-2024 karta.png", "A 2332-2024")</f>
        <v/>
      </c>
      <c r="V60">
        <f>HYPERLINK("https://klasma.github.io/Logging_0360/klagomål/A 2332-2024 FSC-klagomål.docx", "A 2332-2024")</f>
        <v/>
      </c>
      <c r="W60">
        <f>HYPERLINK("https://klasma.github.io/Logging_0360/klagomålsmail/A 2332-2024 FSC-klagomål mail.docx", "A 2332-2024")</f>
        <v/>
      </c>
      <c r="X60">
        <f>HYPERLINK("https://klasma.github.io/Logging_0360/tillsyn/A 2332-2024 tillsynsbegäran.docx", "A 2332-2024")</f>
        <v/>
      </c>
      <c r="Y60">
        <f>HYPERLINK("https://klasma.github.io/Logging_0360/tillsynsmail/A 2332-2024 tillsynsbegäran mail.docx", "A 2332-2024")</f>
        <v/>
      </c>
      <c r="Z60">
        <f>HYPERLINK("https://klasma.github.io/Logging_0360/fåglar/A 2332-2024 prioriterade fågelarter.docx", "A 2332-2024")</f>
        <v/>
      </c>
    </row>
    <row r="61" ht="15" customHeight="1">
      <c r="A61" t="inlineStr">
        <is>
          <t>A 45460-2025</t>
        </is>
      </c>
      <c r="B61" s="1" t="n">
        <v>45922.49263888889</v>
      </c>
      <c r="C61" s="1" t="n">
        <v>45932</v>
      </c>
      <c r="D61" t="inlineStr">
        <is>
          <t>UPPSALA LÄN</t>
        </is>
      </c>
      <c r="E61" t="inlineStr">
        <is>
          <t>TIERP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Vårärt</t>
        </is>
      </c>
      <c r="S61">
        <f>HYPERLINK("https://klasma.github.io/Logging_0360/artfynd/A 45460-2025 artfynd.xlsx", "A 45460-2025")</f>
        <v/>
      </c>
      <c r="T61">
        <f>HYPERLINK("https://klasma.github.io/Logging_0360/kartor/A 45460-2025 karta.png", "A 45460-2025")</f>
        <v/>
      </c>
      <c r="V61">
        <f>HYPERLINK("https://klasma.github.io/Logging_0360/klagomål/A 45460-2025 FSC-klagomål.docx", "A 45460-2025")</f>
        <v/>
      </c>
      <c r="W61">
        <f>HYPERLINK("https://klasma.github.io/Logging_0360/klagomålsmail/A 45460-2025 FSC-klagomål mail.docx", "A 45460-2025")</f>
        <v/>
      </c>
      <c r="X61">
        <f>HYPERLINK("https://klasma.github.io/Logging_0360/tillsyn/A 45460-2025 tillsynsbegäran.docx", "A 45460-2025")</f>
        <v/>
      </c>
      <c r="Y61">
        <f>HYPERLINK("https://klasma.github.io/Logging_0360/tillsynsmail/A 45460-2025 tillsynsbegäran mail.docx", "A 45460-2025")</f>
        <v/>
      </c>
    </row>
    <row r="62" ht="15" customHeight="1">
      <c r="A62" t="inlineStr">
        <is>
          <t>A 18619-2025</t>
        </is>
      </c>
      <c r="B62" s="1" t="n">
        <v>45763.51265046297</v>
      </c>
      <c r="C62" s="1" t="n">
        <v>45932</v>
      </c>
      <c r="D62" t="inlineStr">
        <is>
          <t>UPPSALA LÄN</t>
        </is>
      </c>
      <c r="E62" t="inlineStr">
        <is>
          <t>TIERP</t>
        </is>
      </c>
      <c r="G62" t="n">
        <v>4.6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Nästrot</t>
        </is>
      </c>
      <c r="S62">
        <f>HYPERLINK("https://klasma.github.io/Logging_0360/artfynd/A 18619-2025 artfynd.xlsx", "A 18619-2025")</f>
        <v/>
      </c>
      <c r="T62">
        <f>HYPERLINK("https://klasma.github.io/Logging_0360/kartor/A 18619-2025 karta.png", "A 18619-2025")</f>
        <v/>
      </c>
      <c r="V62">
        <f>HYPERLINK("https://klasma.github.io/Logging_0360/klagomål/A 18619-2025 FSC-klagomål.docx", "A 18619-2025")</f>
        <v/>
      </c>
      <c r="W62">
        <f>HYPERLINK("https://klasma.github.io/Logging_0360/klagomålsmail/A 18619-2025 FSC-klagomål mail.docx", "A 18619-2025")</f>
        <v/>
      </c>
      <c r="X62">
        <f>HYPERLINK("https://klasma.github.io/Logging_0360/tillsyn/A 18619-2025 tillsynsbegäran.docx", "A 18619-2025")</f>
        <v/>
      </c>
      <c r="Y62">
        <f>HYPERLINK("https://klasma.github.io/Logging_0360/tillsynsmail/A 18619-2025 tillsynsbegäran mail.docx", "A 18619-2025")</f>
        <v/>
      </c>
    </row>
    <row r="63" ht="15" customHeight="1">
      <c r="A63" t="inlineStr">
        <is>
          <t>A 10848-2025</t>
        </is>
      </c>
      <c r="B63" s="1" t="n">
        <v>45722.58086805556</v>
      </c>
      <c r="C63" s="1" t="n">
        <v>45932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HYPERLINK("https://klasma.github.io/Logging_0360/artfynd/A 10848-2025 artfynd.xlsx", "A 10848-2025")</f>
        <v/>
      </c>
      <c r="T63">
        <f>HYPERLINK("https://klasma.github.io/Logging_0360/kartor/A 10848-2025 karta.png", "A 10848-2025")</f>
        <v/>
      </c>
      <c r="V63">
        <f>HYPERLINK("https://klasma.github.io/Logging_0360/klagomål/A 10848-2025 FSC-klagomål.docx", "A 10848-2025")</f>
        <v/>
      </c>
      <c r="W63">
        <f>HYPERLINK("https://klasma.github.io/Logging_0360/klagomålsmail/A 10848-2025 FSC-klagomål mail.docx", "A 10848-2025")</f>
        <v/>
      </c>
      <c r="X63">
        <f>HYPERLINK("https://klasma.github.io/Logging_0360/tillsyn/A 10848-2025 tillsynsbegäran.docx", "A 10848-2025")</f>
        <v/>
      </c>
      <c r="Y63">
        <f>HYPERLINK("https://klasma.github.io/Logging_0360/tillsynsmail/A 10848-2025 tillsynsbegäran mail.docx", "A 10848-2025")</f>
        <v/>
      </c>
      <c r="Z63">
        <f>HYPERLINK("https://klasma.github.io/Logging_0360/fåglar/A 10848-2025 prioriterade fågelarter.docx", "A 10848-2025")</f>
        <v/>
      </c>
    </row>
    <row r="64" ht="15" customHeight="1">
      <c r="A64" t="inlineStr">
        <is>
          <t>A 43680-2022</t>
        </is>
      </c>
      <c r="B64" s="1" t="n">
        <v>44837</v>
      </c>
      <c r="C64" s="1" t="n">
        <v>45932</v>
      </c>
      <c r="D64" t="inlineStr">
        <is>
          <t>UPPSALA LÄN</t>
        </is>
      </c>
      <c r="E64" t="inlineStr">
        <is>
          <t>TIERP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18996-2021</t>
        </is>
      </c>
      <c r="B65" s="1" t="n">
        <v>44308</v>
      </c>
      <c r="C65" s="1" t="n">
        <v>45932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53489-2020</t>
        </is>
      </c>
      <c r="B66" s="1" t="n">
        <v>44123.77354166667</v>
      </c>
      <c r="C66" s="1" t="n">
        <v>45932</v>
      </c>
      <c r="D66" t="inlineStr">
        <is>
          <t>UPPSALA LÄN</t>
        </is>
      </c>
      <c r="E66" t="inlineStr">
        <is>
          <t>TIERP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11937-2021</t>
        </is>
      </c>
      <c r="B67" s="1" t="n">
        <v>44266</v>
      </c>
      <c r="C67" s="1" t="n">
        <v>45932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24431-2021</t>
        </is>
      </c>
      <c r="B68" s="1" t="n">
        <v>44337</v>
      </c>
      <c r="C68" s="1" t="n">
        <v>45932</v>
      </c>
      <c r="D68" t="inlineStr">
        <is>
          <t>UPPSALA LÄN</t>
        </is>
      </c>
      <c r="E68" t="inlineStr">
        <is>
          <t>TIERP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48880-2021</t>
        </is>
      </c>
      <c r="B69" s="1" t="n">
        <v>44452</v>
      </c>
      <c r="C69" s="1" t="n">
        <v>45932</v>
      </c>
      <c r="D69" t="inlineStr">
        <is>
          <t>UPPSALA LÄN</t>
        </is>
      </c>
      <c r="E69" t="inlineStr">
        <is>
          <t>TIERP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52025-2021</t>
        </is>
      </c>
      <c r="B70" s="1" t="n">
        <v>44463</v>
      </c>
      <c r="C70" s="1" t="n">
        <v>45932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50677-2020</t>
        </is>
      </c>
      <c r="B71" s="1" t="n">
        <v>44111</v>
      </c>
      <c r="C71" s="1" t="n">
        <v>45932</v>
      </c>
      <c r="D71" t="inlineStr">
        <is>
          <t>UPPSALA LÄN</t>
        </is>
      </c>
      <c r="E71" t="inlineStr">
        <is>
          <t>TIERP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5204-2022</t>
        </is>
      </c>
      <c r="B72" s="1" t="n">
        <v>44594.46940972222</v>
      </c>
      <c r="C72" s="1" t="n">
        <v>45932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74473-2021</t>
        </is>
      </c>
      <c r="B73" s="1" t="n">
        <v>44560</v>
      </c>
      <c r="C73" s="1" t="n">
        <v>45932</v>
      </c>
      <c r="D73" t="inlineStr">
        <is>
          <t>UPPSALA LÄN</t>
        </is>
      </c>
      <c r="E73" t="inlineStr">
        <is>
          <t>TIERP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22592-2022</t>
        </is>
      </c>
      <c r="B74" s="1" t="n">
        <v>44713</v>
      </c>
      <c r="C74" s="1" t="n">
        <v>45932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65491-2021</t>
        </is>
      </c>
      <c r="B75" s="1" t="n">
        <v>44516.36832175926</v>
      </c>
      <c r="C75" s="1" t="n">
        <v>45932</v>
      </c>
      <c r="D75" t="inlineStr">
        <is>
          <t>UPPSALA LÄN</t>
        </is>
      </c>
      <c r="E75" t="inlineStr">
        <is>
          <t>TIERP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65255-2021</t>
        </is>
      </c>
      <c r="B76" s="1" t="n">
        <v>44515</v>
      </c>
      <c r="C76" s="1" t="n">
        <v>45932</v>
      </c>
      <c r="D76" t="inlineStr">
        <is>
          <t>UPPSALA LÄN</t>
        </is>
      </c>
      <c r="E76" t="inlineStr">
        <is>
          <t>TIERP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22810-2022</t>
        </is>
      </c>
      <c r="B77" s="1" t="n">
        <v>44715.41534722222</v>
      </c>
      <c r="C77" s="1" t="n">
        <v>45932</v>
      </c>
      <c r="D77" t="inlineStr">
        <is>
          <t>UPPSALA LÄN</t>
        </is>
      </c>
      <c r="E77" t="inlineStr">
        <is>
          <t>TIERP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56740-2021</t>
        </is>
      </c>
      <c r="B78" s="1" t="n">
        <v>44481</v>
      </c>
      <c r="C78" s="1" t="n">
        <v>45932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45225-2021</t>
        </is>
      </c>
      <c r="B79" s="1" t="n">
        <v>44439.57831018518</v>
      </c>
      <c r="C79" s="1" t="n">
        <v>45932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2534-2022</t>
        </is>
      </c>
      <c r="B80" s="1" t="n">
        <v>44579</v>
      </c>
      <c r="C80" s="1" t="n">
        <v>45932</v>
      </c>
      <c r="D80" t="inlineStr">
        <is>
          <t>UPPSALA LÄN</t>
        </is>
      </c>
      <c r="E80" t="inlineStr">
        <is>
          <t>TIERP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2559-2022</t>
        </is>
      </c>
      <c r="B81" s="1" t="n">
        <v>44580</v>
      </c>
      <c r="C81" s="1" t="n">
        <v>45932</v>
      </c>
      <c r="D81" t="inlineStr">
        <is>
          <t>UPPSALA LÄN</t>
        </is>
      </c>
      <c r="E81" t="inlineStr">
        <is>
          <t>TIERP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21775-2022</t>
        </is>
      </c>
      <c r="B82" s="1" t="n">
        <v>44708</v>
      </c>
      <c r="C82" s="1" t="n">
        <v>45932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21776-2022</t>
        </is>
      </c>
      <c r="B83" s="1" t="n">
        <v>44708</v>
      </c>
      <c r="C83" s="1" t="n">
        <v>45932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54952-2022</t>
        </is>
      </c>
      <c r="B84" s="1" t="n">
        <v>44886.47109953704</v>
      </c>
      <c r="C84" s="1" t="n">
        <v>45932</v>
      </c>
      <c r="D84" t="inlineStr">
        <is>
          <t>UPPSALA LÄN</t>
        </is>
      </c>
      <c r="E84" t="inlineStr">
        <is>
          <t>TIERP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15677-2021</t>
        </is>
      </c>
      <c r="B85" s="1" t="n">
        <v>44286</v>
      </c>
      <c r="C85" s="1" t="n">
        <v>45932</v>
      </c>
      <c r="D85" t="inlineStr">
        <is>
          <t>UPPSALA LÄN</t>
        </is>
      </c>
      <c r="E85" t="inlineStr">
        <is>
          <t>TIERP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40765-2022</t>
        </is>
      </c>
      <c r="B86" s="1" t="n">
        <v>44824.59918981481</v>
      </c>
      <c r="C86" s="1" t="n">
        <v>45932</v>
      </c>
      <c r="D86" t="inlineStr">
        <is>
          <t>UPPSALA LÄN</t>
        </is>
      </c>
      <c r="E86" t="inlineStr">
        <is>
          <t>TIERP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249-2021</t>
        </is>
      </c>
      <c r="B87" s="1" t="n">
        <v>44200</v>
      </c>
      <c r="C87" s="1" t="n">
        <v>45932</v>
      </c>
      <c r="D87" t="inlineStr">
        <is>
          <t>UPPSALA LÄN</t>
        </is>
      </c>
      <c r="E87" t="inlineStr">
        <is>
          <t>TIERP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65225-2020</t>
        </is>
      </c>
      <c r="B88" s="1" t="n">
        <v>44172.8127662037</v>
      </c>
      <c r="C88" s="1" t="n">
        <v>45932</v>
      </c>
      <c r="D88" t="inlineStr">
        <is>
          <t>UPPSALA LÄN</t>
        </is>
      </c>
      <c r="E88" t="inlineStr">
        <is>
          <t>TIERP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44690-2021</t>
        </is>
      </c>
      <c r="B89" s="1" t="n">
        <v>44438</v>
      </c>
      <c r="C89" s="1" t="n">
        <v>45932</v>
      </c>
      <c r="D89" t="inlineStr">
        <is>
          <t>UPPSALA LÄN</t>
        </is>
      </c>
      <c r="E89" t="inlineStr">
        <is>
          <t>TIERP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40804-2021</t>
        </is>
      </c>
      <c r="B90" s="1" t="n">
        <v>44421</v>
      </c>
      <c r="C90" s="1" t="n">
        <v>45932</v>
      </c>
      <c r="D90" t="inlineStr">
        <is>
          <t>UPPSALA LÄN</t>
        </is>
      </c>
      <c r="E90" t="inlineStr">
        <is>
          <t>TIERP</t>
        </is>
      </c>
      <c r="F90" t="inlineStr">
        <is>
          <t>Kyrkan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2795-2022</t>
        </is>
      </c>
      <c r="B91" s="1" t="n">
        <v>44581</v>
      </c>
      <c r="C91" s="1" t="n">
        <v>45932</v>
      </c>
      <c r="D91" t="inlineStr">
        <is>
          <t>UPPSALA LÄN</t>
        </is>
      </c>
      <c r="E91" t="inlineStr">
        <is>
          <t>TIERP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48982-2021</t>
        </is>
      </c>
      <c r="B92" s="1" t="n">
        <v>44453</v>
      </c>
      <c r="C92" s="1" t="n">
        <v>45932</v>
      </c>
      <c r="D92" t="inlineStr">
        <is>
          <t>UPPSALA LÄN</t>
        </is>
      </c>
      <c r="E92" t="inlineStr">
        <is>
          <t>TIERP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10783-2022</t>
        </is>
      </c>
      <c r="B93" s="1" t="n">
        <v>44627.47141203703</v>
      </c>
      <c r="C93" s="1" t="n">
        <v>45932</v>
      </c>
      <c r="D93" t="inlineStr">
        <is>
          <t>UPPSALA LÄN</t>
        </is>
      </c>
      <c r="E93" t="inlineStr">
        <is>
          <t>TIERP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62897-2021</t>
        </is>
      </c>
      <c r="B94" s="1" t="n">
        <v>44504.63344907408</v>
      </c>
      <c r="C94" s="1" t="n">
        <v>45932</v>
      </c>
      <c r="D94" t="inlineStr">
        <is>
          <t>UPPSALA LÄN</t>
        </is>
      </c>
      <c r="E94" t="inlineStr">
        <is>
          <t>TIERP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9288-2022</t>
        </is>
      </c>
      <c r="B95" s="1" t="n">
        <v>44616</v>
      </c>
      <c r="C95" s="1" t="n">
        <v>45932</v>
      </c>
      <c r="D95" t="inlineStr">
        <is>
          <t>UPPSALA LÄN</t>
        </is>
      </c>
      <c r="E95" t="inlineStr">
        <is>
          <t>TIERP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10777-2022</t>
        </is>
      </c>
      <c r="B96" s="1" t="n">
        <v>44627.46730324074</v>
      </c>
      <c r="C96" s="1" t="n">
        <v>45932</v>
      </c>
      <c r="D96" t="inlineStr">
        <is>
          <t>UPPSALA LÄN</t>
        </is>
      </c>
      <c r="E96" t="inlineStr">
        <is>
          <t>TIERP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33890-2022</t>
        </is>
      </c>
      <c r="B97" s="1" t="n">
        <v>44790.60746527778</v>
      </c>
      <c r="C97" s="1" t="n">
        <v>45932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36166-2021</t>
        </is>
      </c>
      <c r="B98" s="1" t="n">
        <v>44389</v>
      </c>
      <c r="C98" s="1" t="n">
        <v>45932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2157-2021</t>
        </is>
      </c>
      <c r="B99" s="1" t="n">
        <v>44211</v>
      </c>
      <c r="C99" s="1" t="n">
        <v>45932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41971-2022</t>
        </is>
      </c>
      <c r="B100" s="1" t="n">
        <v>44827</v>
      </c>
      <c r="C100" s="1" t="n">
        <v>45932</v>
      </c>
      <c r="D100" t="inlineStr">
        <is>
          <t>UPPSALA LÄN</t>
        </is>
      </c>
      <c r="E100" t="inlineStr">
        <is>
          <t>TIERP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65814-2021</t>
        </is>
      </c>
      <c r="B101" s="1" t="n">
        <v>44517</v>
      </c>
      <c r="C101" s="1" t="n">
        <v>45932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53751-2021</t>
        </is>
      </c>
      <c r="B102" s="1" t="n">
        <v>44469.55407407408</v>
      </c>
      <c r="C102" s="1" t="n">
        <v>45932</v>
      </c>
      <c r="D102" t="inlineStr">
        <is>
          <t>UPPSALA LÄN</t>
        </is>
      </c>
      <c r="E102" t="inlineStr">
        <is>
          <t>TIERP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48485-2021</t>
        </is>
      </c>
      <c r="B103" s="1" t="n">
        <v>44452</v>
      </c>
      <c r="C103" s="1" t="n">
        <v>45932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2810-2021</t>
        </is>
      </c>
      <c r="B104" s="1" t="n">
        <v>44215</v>
      </c>
      <c r="C104" s="1" t="n">
        <v>45932</v>
      </c>
      <c r="D104" t="inlineStr">
        <is>
          <t>UPPSALA LÄN</t>
        </is>
      </c>
      <c r="E104" t="inlineStr">
        <is>
          <t>TIERP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63504-2020</t>
        </is>
      </c>
      <c r="B105" s="1" t="n">
        <v>44165</v>
      </c>
      <c r="C105" s="1" t="n">
        <v>45932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50.3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59378-2021</t>
        </is>
      </c>
      <c r="B106" s="1" t="n">
        <v>44491</v>
      </c>
      <c r="C106" s="1" t="n">
        <v>45932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73317-2021</t>
        </is>
      </c>
      <c r="B107" s="1" t="n">
        <v>44551</v>
      </c>
      <c r="C107" s="1" t="n">
        <v>45932</v>
      </c>
      <c r="D107" t="inlineStr">
        <is>
          <t>UPPSALA LÄN</t>
        </is>
      </c>
      <c r="E107" t="inlineStr">
        <is>
          <t>TIERP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29983-2022</t>
        </is>
      </c>
      <c r="B108" s="1" t="n">
        <v>44756.69783564815</v>
      </c>
      <c r="C108" s="1" t="n">
        <v>45932</v>
      </c>
      <c r="D108" t="inlineStr">
        <is>
          <t>UPPSALA LÄN</t>
        </is>
      </c>
      <c r="E108" t="inlineStr">
        <is>
          <t>TIERP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53766-2021</t>
        </is>
      </c>
      <c r="B109" s="1" t="n">
        <v>44469.56458333333</v>
      </c>
      <c r="C109" s="1" t="n">
        <v>45932</v>
      </c>
      <c r="D109" t="inlineStr">
        <is>
          <t>UPPSALA LÄN</t>
        </is>
      </c>
      <c r="E109" t="inlineStr">
        <is>
          <t>TIERP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12194-2022</t>
        </is>
      </c>
      <c r="B110" s="1" t="n">
        <v>44636.93181712963</v>
      </c>
      <c r="C110" s="1" t="n">
        <v>45932</v>
      </c>
      <c r="D110" t="inlineStr">
        <is>
          <t>UPPSALA LÄN</t>
        </is>
      </c>
      <c r="E110" t="inlineStr">
        <is>
          <t>TIERP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26111-2022</t>
        </is>
      </c>
      <c r="B111" s="1" t="n">
        <v>44734</v>
      </c>
      <c r="C111" s="1" t="n">
        <v>45932</v>
      </c>
      <c r="D111" t="inlineStr">
        <is>
          <t>UPPSALA LÄN</t>
        </is>
      </c>
      <c r="E111" t="inlineStr">
        <is>
          <t>TIERP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39838-2021</t>
        </is>
      </c>
      <c r="B112" s="1" t="n">
        <v>44417</v>
      </c>
      <c r="C112" s="1" t="n">
        <v>45932</v>
      </c>
      <c r="D112" t="inlineStr">
        <is>
          <t>UPPSALA LÄN</t>
        </is>
      </c>
      <c r="E112" t="inlineStr">
        <is>
          <t>TIERP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49933-2022</t>
        </is>
      </c>
      <c r="B113" s="1" t="n">
        <v>44865</v>
      </c>
      <c r="C113" s="1" t="n">
        <v>45932</v>
      </c>
      <c r="D113" t="inlineStr">
        <is>
          <t>UPPSALA LÄN</t>
        </is>
      </c>
      <c r="E113" t="inlineStr">
        <is>
          <t>TIERP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57028-2021</t>
        </is>
      </c>
      <c r="B114" s="1" t="n">
        <v>44482</v>
      </c>
      <c r="C114" s="1" t="n">
        <v>45932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24276-2021</t>
        </is>
      </c>
      <c r="B115" s="1" t="n">
        <v>44337</v>
      </c>
      <c r="C115" s="1" t="n">
        <v>45932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71774-2021</t>
        </is>
      </c>
      <c r="B116" s="1" t="n">
        <v>44543.52140046296</v>
      </c>
      <c r="C116" s="1" t="n">
        <v>45932</v>
      </c>
      <c r="D116" t="inlineStr">
        <is>
          <t>UPPSALA LÄN</t>
        </is>
      </c>
      <c r="E116" t="inlineStr">
        <is>
          <t>TIERP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2814-2022</t>
        </is>
      </c>
      <c r="B117" s="1" t="n">
        <v>44581</v>
      </c>
      <c r="C117" s="1" t="n">
        <v>45932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56498-2021</t>
        </is>
      </c>
      <c r="B118" s="1" t="n">
        <v>44480</v>
      </c>
      <c r="C118" s="1" t="n">
        <v>45932</v>
      </c>
      <c r="D118" t="inlineStr">
        <is>
          <t>UPPSALA LÄN</t>
        </is>
      </c>
      <c r="E118" t="inlineStr">
        <is>
          <t>TIERP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59625-2020</t>
        </is>
      </c>
      <c r="B119" s="1" t="n">
        <v>44150</v>
      </c>
      <c r="C119" s="1" t="n">
        <v>45932</v>
      </c>
      <c r="D119" t="inlineStr">
        <is>
          <t>UPPSALA LÄN</t>
        </is>
      </c>
      <c r="E119" t="inlineStr">
        <is>
          <t>TIERP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33286-2022</t>
        </is>
      </c>
      <c r="B120" s="1" t="n">
        <v>44788</v>
      </c>
      <c r="C120" s="1" t="n">
        <v>45932</v>
      </c>
      <c r="D120" t="inlineStr">
        <is>
          <t>UPPSALA LÄN</t>
        </is>
      </c>
      <c r="E120" t="inlineStr">
        <is>
          <t>TIERP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48575-2022</t>
        </is>
      </c>
      <c r="B121" s="1" t="n">
        <v>44859</v>
      </c>
      <c r="C121" s="1" t="n">
        <v>45932</v>
      </c>
      <c r="D121" t="inlineStr">
        <is>
          <t>UPPSALA LÄN</t>
        </is>
      </c>
      <c r="E121" t="inlineStr">
        <is>
          <t>TIERP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27860-2022</t>
        </is>
      </c>
      <c r="B122" s="1" t="n">
        <v>44743</v>
      </c>
      <c r="C122" s="1" t="n">
        <v>45932</v>
      </c>
      <c r="D122" t="inlineStr">
        <is>
          <t>UPPSALA LÄN</t>
        </is>
      </c>
      <c r="E122" t="inlineStr">
        <is>
          <t>TIERP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47414-2022</t>
        </is>
      </c>
      <c r="B123" s="1" t="n">
        <v>44853.5450462963</v>
      </c>
      <c r="C123" s="1" t="n">
        <v>45932</v>
      </c>
      <c r="D123" t="inlineStr">
        <is>
          <t>UPPSALA LÄN</t>
        </is>
      </c>
      <c r="E123" t="inlineStr">
        <is>
          <t>TIERP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49053-2021</t>
        </is>
      </c>
      <c r="B124" s="1" t="n">
        <v>44453</v>
      </c>
      <c r="C124" s="1" t="n">
        <v>45932</v>
      </c>
      <c r="D124" t="inlineStr">
        <is>
          <t>UPPSALA LÄN</t>
        </is>
      </c>
      <c r="E124" t="inlineStr">
        <is>
          <t>TIERP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21047-2022</t>
        </is>
      </c>
      <c r="B125" s="1" t="n">
        <v>44704.44180555556</v>
      </c>
      <c r="C125" s="1" t="n">
        <v>45932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18097-2022</t>
        </is>
      </c>
      <c r="B126" s="1" t="n">
        <v>44684.47436342593</v>
      </c>
      <c r="C126" s="1" t="n">
        <v>45932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56509-2021</t>
        </is>
      </c>
      <c r="B127" s="1" t="n">
        <v>44480.58166666667</v>
      </c>
      <c r="C127" s="1" t="n">
        <v>45932</v>
      </c>
      <c r="D127" t="inlineStr">
        <is>
          <t>UPPSALA LÄN</t>
        </is>
      </c>
      <c r="E127" t="inlineStr">
        <is>
          <t>TIERP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60441-2021</t>
        </is>
      </c>
      <c r="B128" s="1" t="n">
        <v>44496</v>
      </c>
      <c r="C128" s="1" t="n">
        <v>45932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13650-2022</t>
        </is>
      </c>
      <c r="B129" s="1" t="n">
        <v>44648.65048611111</v>
      </c>
      <c r="C129" s="1" t="n">
        <v>45932</v>
      </c>
      <c r="D129" t="inlineStr">
        <is>
          <t>UPPSALA LÄN</t>
        </is>
      </c>
      <c r="E129" t="inlineStr">
        <is>
          <t>TIERP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13656-2022</t>
        </is>
      </c>
      <c r="B130" s="1" t="n">
        <v>44648.65753472222</v>
      </c>
      <c r="C130" s="1" t="n">
        <v>45932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16556-2022</t>
        </is>
      </c>
      <c r="B131" s="1" t="n">
        <v>44672.41855324074</v>
      </c>
      <c r="C131" s="1" t="n">
        <v>45932</v>
      </c>
      <c r="D131" t="inlineStr">
        <is>
          <t>UPPSALA LÄN</t>
        </is>
      </c>
      <c r="E131" t="inlineStr">
        <is>
          <t>TIERP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53666-2021</t>
        </is>
      </c>
      <c r="B132" s="1" t="n">
        <v>44469</v>
      </c>
      <c r="C132" s="1" t="n">
        <v>45932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1227-2021</t>
        </is>
      </c>
      <c r="B133" s="1" t="n">
        <v>44208</v>
      </c>
      <c r="C133" s="1" t="n">
        <v>45932</v>
      </c>
      <c r="D133" t="inlineStr">
        <is>
          <t>UPPSALA LÄN</t>
        </is>
      </c>
      <c r="E133" t="inlineStr">
        <is>
          <t>TIERP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20885-2022</t>
        </is>
      </c>
      <c r="B134" s="1" t="n">
        <v>44701.57021990741</v>
      </c>
      <c r="C134" s="1" t="n">
        <v>45932</v>
      </c>
      <c r="D134" t="inlineStr">
        <is>
          <t>UPPSALA LÄN</t>
        </is>
      </c>
      <c r="E134" t="inlineStr">
        <is>
          <t>TIERP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29103-2022</t>
        </is>
      </c>
      <c r="B135" s="1" t="n">
        <v>44750</v>
      </c>
      <c r="C135" s="1" t="n">
        <v>45932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16124-2021</t>
        </is>
      </c>
      <c r="B136" s="1" t="n">
        <v>44291</v>
      </c>
      <c r="C136" s="1" t="n">
        <v>45932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72975-2021</t>
        </is>
      </c>
      <c r="B137" s="1" t="n">
        <v>44548</v>
      </c>
      <c r="C137" s="1" t="n">
        <v>45932</v>
      </c>
      <c r="D137" t="inlineStr">
        <is>
          <t>UPPSALA LÄN</t>
        </is>
      </c>
      <c r="E137" t="inlineStr">
        <is>
          <t>TIERP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31103-2022</t>
        </is>
      </c>
      <c r="B138" s="1" t="n">
        <v>44769.65189814815</v>
      </c>
      <c r="C138" s="1" t="n">
        <v>45932</v>
      </c>
      <c r="D138" t="inlineStr">
        <is>
          <t>UPPSALA LÄN</t>
        </is>
      </c>
      <c r="E138" t="inlineStr">
        <is>
          <t>TIERP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2559-2021</t>
        </is>
      </c>
      <c r="B139" s="1" t="n">
        <v>44214</v>
      </c>
      <c r="C139" s="1" t="n">
        <v>45932</v>
      </c>
      <c r="D139" t="inlineStr">
        <is>
          <t>UPPSALA LÄN</t>
        </is>
      </c>
      <c r="E139" t="inlineStr">
        <is>
          <t>TIERP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17579-2025</t>
        </is>
      </c>
      <c r="B140" s="1" t="n">
        <v>45757.65542824074</v>
      </c>
      <c r="C140" s="1" t="n">
        <v>45932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48455-2021</t>
        </is>
      </c>
      <c r="B141" s="1" t="n">
        <v>44452</v>
      </c>
      <c r="C141" s="1" t="n">
        <v>45932</v>
      </c>
      <c r="D141" t="inlineStr">
        <is>
          <t>UPPSALA LÄN</t>
        </is>
      </c>
      <c r="E141" t="inlineStr">
        <is>
          <t>TIERP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11496-2022</t>
        </is>
      </c>
      <c r="B142" s="1" t="n">
        <v>44631.29655092592</v>
      </c>
      <c r="C142" s="1" t="n">
        <v>45932</v>
      </c>
      <c r="D142" t="inlineStr">
        <is>
          <t>UPPSALA LÄN</t>
        </is>
      </c>
      <c r="E142" t="inlineStr">
        <is>
          <t>TIERP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38109-2023</t>
        </is>
      </c>
      <c r="B143" s="1" t="n">
        <v>45161.32083333333</v>
      </c>
      <c r="C143" s="1" t="n">
        <v>45932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27533-2022</t>
        </is>
      </c>
      <c r="B144" s="1" t="n">
        <v>44742</v>
      </c>
      <c r="C144" s="1" t="n">
        <v>45932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61617-2022</t>
        </is>
      </c>
      <c r="B145" s="1" t="n">
        <v>44916.6696875</v>
      </c>
      <c r="C145" s="1" t="n">
        <v>45932</v>
      </c>
      <c r="D145" t="inlineStr">
        <is>
          <t>UPPSALA LÄN</t>
        </is>
      </c>
      <c r="E145" t="inlineStr">
        <is>
          <t>TIERP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44946-2022</t>
        </is>
      </c>
      <c r="B146" s="1" t="n">
        <v>44841.57192129629</v>
      </c>
      <c r="C146" s="1" t="n">
        <v>45932</v>
      </c>
      <c r="D146" t="inlineStr">
        <is>
          <t>UPPSALA LÄN</t>
        </is>
      </c>
      <c r="E146" t="inlineStr">
        <is>
          <t>TIERP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59865-2020</t>
        </is>
      </c>
      <c r="B147" s="1" t="n">
        <v>44151</v>
      </c>
      <c r="C147" s="1" t="n">
        <v>45932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11570-2025</t>
        </is>
      </c>
      <c r="B148" s="1" t="n">
        <v>45727.37976851852</v>
      </c>
      <c r="C148" s="1" t="n">
        <v>45932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öst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25476-2022</t>
        </is>
      </c>
      <c r="B149" s="1" t="n">
        <v>44732</v>
      </c>
      <c r="C149" s="1" t="n">
        <v>45932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47422-2022</t>
        </is>
      </c>
      <c r="B150" s="1" t="n">
        <v>44853.57118055555</v>
      </c>
      <c r="C150" s="1" t="n">
        <v>45932</v>
      </c>
      <c r="D150" t="inlineStr">
        <is>
          <t>UPPSALA LÄN</t>
        </is>
      </c>
      <c r="E150" t="inlineStr">
        <is>
          <t>TIERP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57536-2022</t>
        </is>
      </c>
      <c r="B151" s="1" t="n">
        <v>44896.69231481481</v>
      </c>
      <c r="C151" s="1" t="n">
        <v>45932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29737-2022</t>
        </is>
      </c>
      <c r="B152" s="1" t="n">
        <v>44755</v>
      </c>
      <c r="C152" s="1" t="n">
        <v>45932</v>
      </c>
      <c r="D152" t="inlineStr">
        <is>
          <t>UPPSALA LÄN</t>
        </is>
      </c>
      <c r="E152" t="inlineStr">
        <is>
          <t>TIERP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24869-2022</t>
        </is>
      </c>
      <c r="B153" s="1" t="n">
        <v>44728</v>
      </c>
      <c r="C153" s="1" t="n">
        <v>45932</v>
      </c>
      <c r="D153" t="inlineStr">
        <is>
          <t>UPPSALA LÄN</t>
        </is>
      </c>
      <c r="E153" t="inlineStr">
        <is>
          <t>TIERP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12591-2021</t>
        </is>
      </c>
      <c r="B154" s="1" t="n">
        <v>44270</v>
      </c>
      <c r="C154" s="1" t="n">
        <v>45932</v>
      </c>
      <c r="D154" t="inlineStr">
        <is>
          <t>UPPSALA LÄN</t>
        </is>
      </c>
      <c r="E154" t="inlineStr">
        <is>
          <t>TIERP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49718-2020</t>
        </is>
      </c>
      <c r="B155" s="1" t="n">
        <v>44106</v>
      </c>
      <c r="C155" s="1" t="n">
        <v>45932</v>
      </c>
      <c r="D155" t="inlineStr">
        <is>
          <t>UPPSALA LÄN</t>
        </is>
      </c>
      <c r="E155" t="inlineStr">
        <is>
          <t>TIERP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7352-2023</t>
        </is>
      </c>
      <c r="B156" s="1" t="n">
        <v>44966</v>
      </c>
      <c r="C156" s="1" t="n">
        <v>45932</v>
      </c>
      <c r="D156" t="inlineStr">
        <is>
          <t>UPPSALA LÄN</t>
        </is>
      </c>
      <c r="E156" t="inlineStr">
        <is>
          <t>TIERP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60151-2022</t>
        </is>
      </c>
      <c r="B157" s="1" t="n">
        <v>44909.71309027778</v>
      </c>
      <c r="C157" s="1" t="n">
        <v>45932</v>
      </c>
      <c r="D157" t="inlineStr">
        <is>
          <t>UPPSALA LÄN</t>
        </is>
      </c>
      <c r="E157" t="inlineStr">
        <is>
          <t>TIERP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52969-2023</t>
        </is>
      </c>
      <c r="B158" s="1" t="n">
        <v>45226.60010416667</v>
      </c>
      <c r="C158" s="1" t="n">
        <v>45932</v>
      </c>
      <c r="D158" t="inlineStr">
        <is>
          <t>UPPSALA LÄN</t>
        </is>
      </c>
      <c r="E158" t="inlineStr">
        <is>
          <t>TIERP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437-2023</t>
        </is>
      </c>
      <c r="B159" s="1" t="n">
        <v>44924</v>
      </c>
      <c r="C159" s="1" t="n">
        <v>45932</v>
      </c>
      <c r="D159" t="inlineStr">
        <is>
          <t>UPPSALA LÄN</t>
        </is>
      </c>
      <c r="E159" t="inlineStr">
        <is>
          <t>TIERP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19522-2025</t>
        </is>
      </c>
      <c r="B160" s="1" t="n">
        <v>45770.45707175926</v>
      </c>
      <c r="C160" s="1" t="n">
        <v>45932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26656-2022</t>
        </is>
      </c>
      <c r="B161" s="1" t="n">
        <v>44739</v>
      </c>
      <c r="C161" s="1" t="n">
        <v>45932</v>
      </c>
      <c r="D161" t="inlineStr">
        <is>
          <t>UPPSALA LÄN</t>
        </is>
      </c>
      <c r="E161" t="inlineStr">
        <is>
          <t>TIERP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20641-2025</t>
        </is>
      </c>
      <c r="B162" s="1" t="n">
        <v>45776.37788194444</v>
      </c>
      <c r="C162" s="1" t="n">
        <v>45932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20644-2025</t>
        </is>
      </c>
      <c r="B163" s="1" t="n">
        <v>45776.37835648148</v>
      </c>
      <c r="C163" s="1" t="n">
        <v>45932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32871-2024</t>
        </is>
      </c>
      <c r="B164" s="1" t="n">
        <v>45516.66552083333</v>
      </c>
      <c r="C164" s="1" t="n">
        <v>45932</v>
      </c>
      <c r="D164" t="inlineStr">
        <is>
          <t>UPPSALA LÄN</t>
        </is>
      </c>
      <c r="E164" t="inlineStr">
        <is>
          <t>TIERP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5289-2023</t>
        </is>
      </c>
      <c r="B165" s="1" t="n">
        <v>44959.52206018518</v>
      </c>
      <c r="C165" s="1" t="n">
        <v>45932</v>
      </c>
      <c r="D165" t="inlineStr">
        <is>
          <t>UPPSALA LÄN</t>
        </is>
      </c>
      <c r="E165" t="inlineStr">
        <is>
          <t>TIERP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20886-2025</t>
        </is>
      </c>
      <c r="B166" s="1" t="n">
        <v>45777.36902777778</v>
      </c>
      <c r="C166" s="1" t="n">
        <v>45932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öst AB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29089-2021</t>
        </is>
      </c>
      <c r="B167" s="1" t="n">
        <v>44358.56138888889</v>
      </c>
      <c r="C167" s="1" t="n">
        <v>45932</v>
      </c>
      <c r="D167" t="inlineStr">
        <is>
          <t>UPPSALA LÄN</t>
        </is>
      </c>
      <c r="E167" t="inlineStr">
        <is>
          <t>TIERP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51606-2022</t>
        </is>
      </c>
      <c r="B168" s="1" t="n">
        <v>44871.72850694445</v>
      </c>
      <c r="C168" s="1" t="n">
        <v>45932</v>
      </c>
      <c r="D168" t="inlineStr">
        <is>
          <t>UPPSALA LÄN</t>
        </is>
      </c>
      <c r="E168" t="inlineStr">
        <is>
          <t>TIERP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20676-2025</t>
        </is>
      </c>
      <c r="B169" s="1" t="n">
        <v>45776.4450462963</v>
      </c>
      <c r="C169" s="1" t="n">
        <v>45932</v>
      </c>
      <c r="D169" t="inlineStr">
        <is>
          <t>UPPSALA LÄN</t>
        </is>
      </c>
      <c r="E169" t="inlineStr">
        <is>
          <t>TIERP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21047-2025</t>
        </is>
      </c>
      <c r="B170" s="1" t="n">
        <v>45777.55640046296</v>
      </c>
      <c r="C170" s="1" t="n">
        <v>45932</v>
      </c>
      <c r="D170" t="inlineStr">
        <is>
          <t>UPPSALA LÄN</t>
        </is>
      </c>
      <c r="E170" t="inlineStr">
        <is>
          <t>TIERP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47419-2022</t>
        </is>
      </c>
      <c r="B171" s="1" t="n">
        <v>44853.56622685185</v>
      </c>
      <c r="C171" s="1" t="n">
        <v>45932</v>
      </c>
      <c r="D171" t="inlineStr">
        <is>
          <t>UPPSALA LÄN</t>
        </is>
      </c>
      <c r="E171" t="inlineStr">
        <is>
          <t>TIERP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1951-2024</t>
        </is>
      </c>
      <c r="B172" s="1" t="n">
        <v>45308.49630787037</v>
      </c>
      <c r="C172" s="1" t="n">
        <v>45932</v>
      </c>
      <c r="D172" t="inlineStr">
        <is>
          <t>UPPSALA LÄN</t>
        </is>
      </c>
      <c r="E172" t="inlineStr">
        <is>
          <t>TIERP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58492-2023</t>
        </is>
      </c>
      <c r="B173" s="1" t="n">
        <v>45251</v>
      </c>
      <c r="C173" s="1" t="n">
        <v>45932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28881-2022</t>
        </is>
      </c>
      <c r="B174" s="1" t="n">
        <v>44749.52354166667</v>
      </c>
      <c r="C174" s="1" t="n">
        <v>45932</v>
      </c>
      <c r="D174" t="inlineStr">
        <is>
          <t>UPPSALA LÄN</t>
        </is>
      </c>
      <c r="E174" t="inlineStr">
        <is>
          <t>TIERP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44775-2024</t>
        </is>
      </c>
      <c r="B175" s="1" t="n">
        <v>45574</v>
      </c>
      <c r="C175" s="1" t="n">
        <v>45932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11302-2025</t>
        </is>
      </c>
      <c r="B176" s="1" t="n">
        <v>45726.4434375</v>
      </c>
      <c r="C176" s="1" t="n">
        <v>45932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öst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10780-2022</t>
        </is>
      </c>
      <c r="B177" s="1" t="n">
        <v>44627.4699537037</v>
      </c>
      <c r="C177" s="1" t="n">
        <v>45932</v>
      </c>
      <c r="D177" t="inlineStr">
        <is>
          <t>UPPSALA LÄN</t>
        </is>
      </c>
      <c r="E177" t="inlineStr">
        <is>
          <t>TIERP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10785-2022</t>
        </is>
      </c>
      <c r="B178" s="1" t="n">
        <v>44627.4737962963</v>
      </c>
      <c r="C178" s="1" t="n">
        <v>45932</v>
      </c>
      <c r="D178" t="inlineStr">
        <is>
          <t>UPPSALA LÄN</t>
        </is>
      </c>
      <c r="E178" t="inlineStr">
        <is>
          <t>TIERP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8958-2024</t>
        </is>
      </c>
      <c r="B179" s="1" t="n">
        <v>45357.45214120371</v>
      </c>
      <c r="C179" s="1" t="n">
        <v>45932</v>
      </c>
      <c r="D179" t="inlineStr">
        <is>
          <t>UPPSALA LÄN</t>
        </is>
      </c>
      <c r="E179" t="inlineStr">
        <is>
          <t>TIERP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21325-2025</t>
        </is>
      </c>
      <c r="B180" s="1" t="n">
        <v>45782.3503587963</v>
      </c>
      <c r="C180" s="1" t="n">
        <v>45932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12449-2022</t>
        </is>
      </c>
      <c r="B181" s="1" t="n">
        <v>44638.40253472222</v>
      </c>
      <c r="C181" s="1" t="n">
        <v>45932</v>
      </c>
      <c r="D181" t="inlineStr">
        <is>
          <t>UPPSALA LÄN</t>
        </is>
      </c>
      <c r="E181" t="inlineStr">
        <is>
          <t>TIERP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21398-2025</t>
        </is>
      </c>
      <c r="B182" s="1" t="n">
        <v>45782.483125</v>
      </c>
      <c r="C182" s="1" t="n">
        <v>45932</v>
      </c>
      <c r="D182" t="inlineStr">
        <is>
          <t>UPPSALA LÄN</t>
        </is>
      </c>
      <c r="E182" t="inlineStr">
        <is>
          <t>TIERP</t>
        </is>
      </c>
      <c r="F182" t="inlineStr">
        <is>
          <t>Kyrkan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21635-2025</t>
        </is>
      </c>
      <c r="B183" s="1" t="n">
        <v>45783.4287962963</v>
      </c>
      <c r="C183" s="1" t="n">
        <v>45932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21782-2025</t>
        </is>
      </c>
      <c r="B184" s="1" t="n">
        <v>45783.66872685185</v>
      </c>
      <c r="C184" s="1" t="n">
        <v>45932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40793-2021</t>
        </is>
      </c>
      <c r="B185" s="1" t="n">
        <v>44421</v>
      </c>
      <c r="C185" s="1" t="n">
        <v>45932</v>
      </c>
      <c r="D185" t="inlineStr">
        <is>
          <t>UPPSALA LÄN</t>
        </is>
      </c>
      <c r="E185" t="inlineStr">
        <is>
          <t>TIERP</t>
        </is>
      </c>
      <c r="F185" t="inlineStr">
        <is>
          <t>Kyrkan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21473-2025</t>
        </is>
      </c>
      <c r="B186" s="1" t="n">
        <v>45782.59054398148</v>
      </c>
      <c r="C186" s="1" t="n">
        <v>45932</v>
      </c>
      <c r="D186" t="inlineStr">
        <is>
          <t>UPPSALA LÄN</t>
        </is>
      </c>
      <c r="E186" t="inlineStr">
        <is>
          <t>TIERP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13456-2025</t>
        </is>
      </c>
      <c r="B187" s="1" t="n">
        <v>45736.38332175926</v>
      </c>
      <c r="C187" s="1" t="n">
        <v>45932</v>
      </c>
      <c r="D187" t="inlineStr">
        <is>
          <t>UPPSALA LÄN</t>
        </is>
      </c>
      <c r="E187" t="inlineStr">
        <is>
          <t>TIERP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38298-2023</t>
        </is>
      </c>
      <c r="B188" s="1" t="n">
        <v>45161.64891203704</v>
      </c>
      <c r="C188" s="1" t="n">
        <v>45932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18039-2024</t>
        </is>
      </c>
      <c r="B189" s="1" t="n">
        <v>45420.36299768519</v>
      </c>
      <c r="C189" s="1" t="n">
        <v>45932</v>
      </c>
      <c r="D189" t="inlineStr">
        <is>
          <t>UPPSALA LÄN</t>
        </is>
      </c>
      <c r="E189" t="inlineStr">
        <is>
          <t>TIERP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21636-2025</t>
        </is>
      </c>
      <c r="B190" s="1" t="n">
        <v>45783.42976851852</v>
      </c>
      <c r="C190" s="1" t="n">
        <v>45932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6288-2023</t>
        </is>
      </c>
      <c r="B191" s="1" t="n">
        <v>44965.42444444444</v>
      </c>
      <c r="C191" s="1" t="n">
        <v>45932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58242-2020</t>
        </is>
      </c>
      <c r="B192" s="1" t="n">
        <v>44144</v>
      </c>
      <c r="C192" s="1" t="n">
        <v>45932</v>
      </c>
      <c r="D192" t="inlineStr">
        <is>
          <t>UPPSALA LÄN</t>
        </is>
      </c>
      <c r="E192" t="inlineStr">
        <is>
          <t>TIERP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23828-2021</t>
        </is>
      </c>
      <c r="B193" s="1" t="n">
        <v>44335</v>
      </c>
      <c r="C193" s="1" t="n">
        <v>45932</v>
      </c>
      <c r="D193" t="inlineStr">
        <is>
          <t>UPPSALA LÄN</t>
        </is>
      </c>
      <c r="E193" t="inlineStr">
        <is>
          <t>TIERP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37476-2024</t>
        </is>
      </c>
      <c r="B194" s="1" t="n">
        <v>45541.29972222223</v>
      </c>
      <c r="C194" s="1" t="n">
        <v>45932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21889-2025</t>
        </is>
      </c>
      <c r="B195" s="1" t="n">
        <v>45784.43336805556</v>
      </c>
      <c r="C195" s="1" t="n">
        <v>45932</v>
      </c>
      <c r="D195" t="inlineStr">
        <is>
          <t>UPPSALA LÄN</t>
        </is>
      </c>
      <c r="E195" t="inlineStr">
        <is>
          <t>TIERP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22083-2025</t>
        </is>
      </c>
      <c r="B196" s="1" t="n">
        <v>45785</v>
      </c>
      <c r="C196" s="1" t="n">
        <v>45932</v>
      </c>
      <c r="D196" t="inlineStr">
        <is>
          <t>UPPSALA LÄN</t>
        </is>
      </c>
      <c r="E196" t="inlineStr">
        <is>
          <t>TIERP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20552-2025</t>
        </is>
      </c>
      <c r="B197" s="1" t="n">
        <v>45775.63877314814</v>
      </c>
      <c r="C197" s="1" t="n">
        <v>45932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48486-2022</t>
        </is>
      </c>
      <c r="B198" s="1" t="n">
        <v>44858.783125</v>
      </c>
      <c r="C198" s="1" t="n">
        <v>45932</v>
      </c>
      <c r="D198" t="inlineStr">
        <is>
          <t>UPPSALA LÄN</t>
        </is>
      </c>
      <c r="E198" t="inlineStr">
        <is>
          <t>TIERP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21905-2025</t>
        </is>
      </c>
      <c r="B199" s="1" t="n">
        <v>45784.46221064815</v>
      </c>
      <c r="C199" s="1" t="n">
        <v>45932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öst AB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28538-2024</t>
        </is>
      </c>
      <c r="B200" s="1" t="n">
        <v>45478</v>
      </c>
      <c r="C200" s="1" t="n">
        <v>45932</v>
      </c>
      <c r="D200" t="inlineStr">
        <is>
          <t>UPPSALA LÄN</t>
        </is>
      </c>
      <c r="E200" t="inlineStr">
        <is>
          <t>TIERP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5857-2021</t>
        </is>
      </c>
      <c r="B201" s="1" t="n">
        <v>44231</v>
      </c>
      <c r="C201" s="1" t="n">
        <v>45932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39802-2022</t>
        </is>
      </c>
      <c r="B202" s="1" t="n">
        <v>44819.52074074074</v>
      </c>
      <c r="C202" s="1" t="n">
        <v>45932</v>
      </c>
      <c r="D202" t="inlineStr">
        <is>
          <t>UPPSALA LÄN</t>
        </is>
      </c>
      <c r="E202" t="inlineStr">
        <is>
          <t>TIERP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2901-2023</t>
        </is>
      </c>
      <c r="B203" s="1" t="n">
        <v>44945</v>
      </c>
      <c r="C203" s="1" t="n">
        <v>45932</v>
      </c>
      <c r="D203" t="inlineStr">
        <is>
          <t>UPPSALA LÄN</t>
        </is>
      </c>
      <c r="E203" t="inlineStr">
        <is>
          <t>TIERP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61640-2023</t>
        </is>
      </c>
      <c r="B204" s="1" t="n">
        <v>45265.56704861111</v>
      </c>
      <c r="C204" s="1" t="n">
        <v>45932</v>
      </c>
      <c r="D204" t="inlineStr">
        <is>
          <t>UPPSALA LÄN</t>
        </is>
      </c>
      <c r="E204" t="inlineStr">
        <is>
          <t>TIERP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50413-2020</t>
        </is>
      </c>
      <c r="B205" s="1" t="n">
        <v>44110</v>
      </c>
      <c r="C205" s="1" t="n">
        <v>45932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44430-2023</t>
        </is>
      </c>
      <c r="B206" s="1" t="n">
        <v>45189</v>
      </c>
      <c r="C206" s="1" t="n">
        <v>45932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73-2023</t>
        </is>
      </c>
      <c r="B207" s="1" t="n">
        <v>44928.45600694444</v>
      </c>
      <c r="C207" s="1" t="n">
        <v>45932</v>
      </c>
      <c r="D207" t="inlineStr">
        <is>
          <t>UPPSALA LÄN</t>
        </is>
      </c>
      <c r="E207" t="inlineStr">
        <is>
          <t>TIERP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58900-2023</t>
        </is>
      </c>
      <c r="B208" s="1" t="n">
        <v>45252</v>
      </c>
      <c r="C208" s="1" t="n">
        <v>45932</v>
      </c>
      <c r="D208" t="inlineStr">
        <is>
          <t>UPPSALA LÄN</t>
        </is>
      </c>
      <c r="E208" t="inlineStr">
        <is>
          <t>TIERP</t>
        </is>
      </c>
      <c r="G208" t="n">
        <v>25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58947-2023</t>
        </is>
      </c>
      <c r="B209" s="1" t="n">
        <v>45252.57987268519</v>
      </c>
      <c r="C209" s="1" t="n">
        <v>45932</v>
      </c>
      <c r="D209" t="inlineStr">
        <is>
          <t>UPPSALA LÄN</t>
        </is>
      </c>
      <c r="E209" t="inlineStr">
        <is>
          <t>TIERP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22392-2025</t>
        </is>
      </c>
      <c r="B210" s="1" t="n">
        <v>45786.5116087963</v>
      </c>
      <c r="C210" s="1" t="n">
        <v>45932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15055-2024</t>
        </is>
      </c>
      <c r="B211" s="1" t="n">
        <v>45399</v>
      </c>
      <c r="C211" s="1" t="n">
        <v>45932</v>
      </c>
      <c r="D211" t="inlineStr">
        <is>
          <t>UPPSALA LÄN</t>
        </is>
      </c>
      <c r="E211" t="inlineStr">
        <is>
          <t>TIERP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59350-2021</t>
        </is>
      </c>
      <c r="B212" s="1" t="n">
        <v>44491.3346875</v>
      </c>
      <c r="C212" s="1" t="n">
        <v>45932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51716-2023</t>
        </is>
      </c>
      <c r="B213" s="1" t="n">
        <v>45222</v>
      </c>
      <c r="C213" s="1" t="n">
        <v>45932</v>
      </c>
      <c r="D213" t="inlineStr">
        <is>
          <t>UPPSALA LÄN</t>
        </is>
      </c>
      <c r="E213" t="inlineStr">
        <is>
          <t>TIERP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25408-2023</t>
        </is>
      </c>
      <c r="B214" s="1" t="n">
        <v>45080</v>
      </c>
      <c r="C214" s="1" t="n">
        <v>45932</v>
      </c>
      <c r="D214" t="inlineStr">
        <is>
          <t>UPPSALA LÄN</t>
        </is>
      </c>
      <c r="E214" t="inlineStr">
        <is>
          <t>TIERP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13354-2024</t>
        </is>
      </c>
      <c r="B215" s="1" t="n">
        <v>45387.33554398148</v>
      </c>
      <c r="C215" s="1" t="n">
        <v>45932</v>
      </c>
      <c r="D215" t="inlineStr">
        <is>
          <t>UPPSALA LÄN</t>
        </is>
      </c>
      <c r="E215" t="inlineStr">
        <is>
          <t>TIERP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49061-2021</t>
        </is>
      </c>
      <c r="B216" s="1" t="n">
        <v>44453.60243055555</v>
      </c>
      <c r="C216" s="1" t="n">
        <v>45932</v>
      </c>
      <c r="D216" t="inlineStr">
        <is>
          <t>UPPSALA LÄN</t>
        </is>
      </c>
      <c r="E216" t="inlineStr">
        <is>
          <t>TIERP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35001-2024</t>
        </is>
      </c>
      <c r="B217" s="1" t="n">
        <v>45527</v>
      </c>
      <c r="C217" s="1" t="n">
        <v>45932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64128-2023</t>
        </is>
      </c>
      <c r="B218" s="1" t="n">
        <v>45279.51664351852</v>
      </c>
      <c r="C218" s="1" t="n">
        <v>45932</v>
      </c>
      <c r="D218" t="inlineStr">
        <is>
          <t>UPPSALA LÄN</t>
        </is>
      </c>
      <c r="E218" t="inlineStr">
        <is>
          <t>TIERP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54449-2024</t>
        </is>
      </c>
      <c r="B219" s="1" t="n">
        <v>45617</v>
      </c>
      <c r="C219" s="1" t="n">
        <v>45932</v>
      </c>
      <c r="D219" t="inlineStr">
        <is>
          <t>UPPSALA LÄN</t>
        </is>
      </c>
      <c r="E219" t="inlineStr">
        <is>
          <t>TIERP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45915-2024</t>
        </is>
      </c>
      <c r="B220" s="1" t="n">
        <v>45580</v>
      </c>
      <c r="C220" s="1" t="n">
        <v>45932</v>
      </c>
      <c r="D220" t="inlineStr">
        <is>
          <t>UPPSALA LÄN</t>
        </is>
      </c>
      <c r="E220" t="inlineStr">
        <is>
          <t>TIERP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19339-2025</t>
        </is>
      </c>
      <c r="B221" s="1" t="n">
        <v>45769.59454861111</v>
      </c>
      <c r="C221" s="1" t="n">
        <v>45932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16494-2025</t>
        </is>
      </c>
      <c r="B222" s="1" t="n">
        <v>45751.59844907407</v>
      </c>
      <c r="C222" s="1" t="n">
        <v>45932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36902-2024</t>
        </is>
      </c>
      <c r="B223" s="1" t="n">
        <v>45538</v>
      </c>
      <c r="C223" s="1" t="n">
        <v>45932</v>
      </c>
      <c r="D223" t="inlineStr">
        <is>
          <t>UPPSALA LÄN</t>
        </is>
      </c>
      <c r="E223" t="inlineStr">
        <is>
          <t>TIERP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22769-2025</t>
        </is>
      </c>
      <c r="B224" s="1" t="n">
        <v>45789.63409722222</v>
      </c>
      <c r="C224" s="1" t="n">
        <v>45932</v>
      </c>
      <c r="D224" t="inlineStr">
        <is>
          <t>UPPSALA LÄN</t>
        </is>
      </c>
      <c r="E224" t="inlineStr">
        <is>
          <t>TIERP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22528-2025</t>
        </is>
      </c>
      <c r="B225" s="1" t="n">
        <v>45786</v>
      </c>
      <c r="C225" s="1" t="n">
        <v>45932</v>
      </c>
      <c r="D225" t="inlineStr">
        <is>
          <t>UPPSALA LÄN</t>
        </is>
      </c>
      <c r="E225" t="inlineStr">
        <is>
          <t>TIERP</t>
        </is>
      </c>
      <c r="F225" t="inlineStr">
        <is>
          <t>Övriga Aktiebolag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23759-2024</t>
        </is>
      </c>
      <c r="B226" s="1" t="n">
        <v>45455</v>
      </c>
      <c r="C226" s="1" t="n">
        <v>45932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4314-2025</t>
        </is>
      </c>
      <c r="B227" s="1" t="n">
        <v>45685.70260416667</v>
      </c>
      <c r="C227" s="1" t="n">
        <v>45932</v>
      </c>
      <c r="D227" t="inlineStr">
        <is>
          <t>UPPSALA LÄN</t>
        </is>
      </c>
      <c r="E227" t="inlineStr">
        <is>
          <t>TIERP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4343-2025</t>
        </is>
      </c>
      <c r="B228" s="1" t="n">
        <v>45685.91146990741</v>
      </c>
      <c r="C228" s="1" t="n">
        <v>45932</v>
      </c>
      <c r="D228" t="inlineStr">
        <is>
          <t>UPPSALA LÄN</t>
        </is>
      </c>
      <c r="E228" t="inlineStr">
        <is>
          <t>TIERP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46275-2022</t>
        </is>
      </c>
      <c r="B229" s="1" t="n">
        <v>44847</v>
      </c>
      <c r="C229" s="1" t="n">
        <v>45932</v>
      </c>
      <c r="D229" t="inlineStr">
        <is>
          <t>UPPSALA LÄN</t>
        </is>
      </c>
      <c r="E229" t="inlineStr">
        <is>
          <t>TIERP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17944-2023</t>
        </is>
      </c>
      <c r="B230" s="1" t="n">
        <v>45040.43703703704</v>
      </c>
      <c r="C230" s="1" t="n">
        <v>45932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7359-2023</t>
        </is>
      </c>
      <c r="B231" s="1" t="n">
        <v>44966</v>
      </c>
      <c r="C231" s="1" t="n">
        <v>45932</v>
      </c>
      <c r="D231" t="inlineStr">
        <is>
          <t>UPPSALA LÄN</t>
        </is>
      </c>
      <c r="E231" t="inlineStr">
        <is>
          <t>TIERP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23198-2025</t>
        </is>
      </c>
      <c r="B232" s="1" t="n">
        <v>45791.45799768518</v>
      </c>
      <c r="C232" s="1" t="n">
        <v>45932</v>
      </c>
      <c r="D232" t="inlineStr">
        <is>
          <t>UPPSALA LÄN</t>
        </is>
      </c>
      <c r="E232" t="inlineStr">
        <is>
          <t>TIERP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44505-2023</t>
        </is>
      </c>
      <c r="B233" s="1" t="n">
        <v>45184</v>
      </c>
      <c r="C233" s="1" t="n">
        <v>45932</v>
      </c>
      <c r="D233" t="inlineStr">
        <is>
          <t>UPPSALA LÄN</t>
        </is>
      </c>
      <c r="E233" t="inlineStr">
        <is>
          <t>TIERP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24238-2024</t>
        </is>
      </c>
      <c r="B234" s="1" t="n">
        <v>45457</v>
      </c>
      <c r="C234" s="1" t="n">
        <v>45932</v>
      </c>
      <c r="D234" t="inlineStr">
        <is>
          <t>UPPSALA LÄN</t>
        </is>
      </c>
      <c r="E234" t="inlineStr">
        <is>
          <t>TIERP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32326-2022</t>
        </is>
      </c>
      <c r="B235" s="1" t="n">
        <v>44781.68261574074</v>
      </c>
      <c r="C235" s="1" t="n">
        <v>45932</v>
      </c>
      <c r="D235" t="inlineStr">
        <is>
          <t>UPPSALA LÄN</t>
        </is>
      </c>
      <c r="E235" t="inlineStr">
        <is>
          <t>TIERP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23204-2025</t>
        </is>
      </c>
      <c r="B236" s="1" t="n">
        <v>45791.46357638889</v>
      </c>
      <c r="C236" s="1" t="n">
        <v>45932</v>
      </c>
      <c r="D236" t="inlineStr">
        <is>
          <t>UPPSALA LÄN</t>
        </is>
      </c>
      <c r="E236" t="inlineStr">
        <is>
          <t>TIERP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23201-2025</t>
        </is>
      </c>
      <c r="B237" s="1" t="n">
        <v>45791.4603587963</v>
      </c>
      <c r="C237" s="1" t="n">
        <v>45932</v>
      </c>
      <c r="D237" t="inlineStr">
        <is>
          <t>UPPSALA LÄN</t>
        </is>
      </c>
      <c r="E237" t="inlineStr">
        <is>
          <t>TIERP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24278-2021</t>
        </is>
      </c>
      <c r="B238" s="1" t="n">
        <v>44337</v>
      </c>
      <c r="C238" s="1" t="n">
        <v>45932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14860-2022</t>
        </is>
      </c>
      <c r="B239" s="1" t="n">
        <v>44656</v>
      </c>
      <c r="C239" s="1" t="n">
        <v>45932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15193-2024</t>
        </is>
      </c>
      <c r="B240" s="1" t="n">
        <v>45400.41387731482</v>
      </c>
      <c r="C240" s="1" t="n">
        <v>45932</v>
      </c>
      <c r="D240" t="inlineStr">
        <is>
          <t>UPPSALA LÄN</t>
        </is>
      </c>
      <c r="E240" t="inlineStr">
        <is>
          <t>TIERP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22663-2022</t>
        </is>
      </c>
      <c r="B241" s="1" t="n">
        <v>44713</v>
      </c>
      <c r="C241" s="1" t="n">
        <v>45932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5994-2023</t>
        </is>
      </c>
      <c r="B242" s="1" t="n">
        <v>44964</v>
      </c>
      <c r="C242" s="1" t="n">
        <v>45932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23796-2025</t>
        </is>
      </c>
      <c r="B243" s="1" t="n">
        <v>45793.5515162037</v>
      </c>
      <c r="C243" s="1" t="n">
        <v>45932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1384-2023</t>
        </is>
      </c>
      <c r="B244" s="1" t="n">
        <v>44936</v>
      </c>
      <c r="C244" s="1" t="n">
        <v>45932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61827-2024</t>
        </is>
      </c>
      <c r="B245" s="1" t="n">
        <v>45649.6225</v>
      </c>
      <c r="C245" s="1" t="n">
        <v>45932</v>
      </c>
      <c r="D245" t="inlineStr">
        <is>
          <t>UPPSALA LÄN</t>
        </is>
      </c>
      <c r="E245" t="inlineStr">
        <is>
          <t>TIERP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32190-2022</t>
        </is>
      </c>
      <c r="B246" s="1" t="n">
        <v>44781.3843287037</v>
      </c>
      <c r="C246" s="1" t="n">
        <v>45932</v>
      </c>
      <c r="D246" t="inlineStr">
        <is>
          <t>UPPSALA LÄN</t>
        </is>
      </c>
      <c r="E246" t="inlineStr">
        <is>
          <t>TIERP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21032-2022</t>
        </is>
      </c>
      <c r="B247" s="1" t="n">
        <v>44704</v>
      </c>
      <c r="C247" s="1" t="n">
        <v>45932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59589-2022</t>
        </is>
      </c>
      <c r="B248" s="1" t="n">
        <v>44907</v>
      </c>
      <c r="C248" s="1" t="n">
        <v>45932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13447-2023</t>
        </is>
      </c>
      <c r="B249" s="1" t="n">
        <v>45005</v>
      </c>
      <c r="C249" s="1" t="n">
        <v>45932</v>
      </c>
      <c r="D249" t="inlineStr">
        <is>
          <t>UPPSALA LÄN</t>
        </is>
      </c>
      <c r="E249" t="inlineStr">
        <is>
          <t>TIERP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61013-2020</t>
        </is>
      </c>
      <c r="B250" s="1" t="n">
        <v>44154</v>
      </c>
      <c r="C250" s="1" t="n">
        <v>45932</v>
      </c>
      <c r="D250" t="inlineStr">
        <is>
          <t>UPPSALA LÄN</t>
        </is>
      </c>
      <c r="E250" t="inlineStr">
        <is>
          <t>TIERP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3561-2023</t>
        </is>
      </c>
      <c r="B251" s="1" t="n">
        <v>44950.47427083334</v>
      </c>
      <c r="C251" s="1" t="n">
        <v>45932</v>
      </c>
      <c r="D251" t="inlineStr">
        <is>
          <t>UPPSALA LÄN</t>
        </is>
      </c>
      <c r="E251" t="inlineStr">
        <is>
          <t>TIERP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56947-2022</t>
        </is>
      </c>
      <c r="B252" s="1" t="n">
        <v>44894</v>
      </c>
      <c r="C252" s="1" t="n">
        <v>45932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8768-2023</t>
        </is>
      </c>
      <c r="B253" s="1" t="n">
        <v>44978.5362037037</v>
      </c>
      <c r="C253" s="1" t="n">
        <v>45932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12786-2024</t>
        </is>
      </c>
      <c r="B254" s="1" t="n">
        <v>45384.60682870371</v>
      </c>
      <c r="C254" s="1" t="n">
        <v>45932</v>
      </c>
      <c r="D254" t="inlineStr">
        <is>
          <t>UPPSALA LÄN</t>
        </is>
      </c>
      <c r="E254" t="inlineStr">
        <is>
          <t>TIERP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8879-2025</t>
        </is>
      </c>
      <c r="B255" s="1" t="n">
        <v>45713</v>
      </c>
      <c r="C255" s="1" t="n">
        <v>45932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33677-2023</t>
        </is>
      </c>
      <c r="B256" s="1" t="n">
        <v>45119</v>
      </c>
      <c r="C256" s="1" t="n">
        <v>45932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57.7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60314-2024</t>
        </is>
      </c>
      <c r="B257" s="1" t="n">
        <v>45643</v>
      </c>
      <c r="C257" s="1" t="n">
        <v>45932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5170-2022</t>
        </is>
      </c>
      <c r="B258" s="1" t="n">
        <v>44594.41829861111</v>
      </c>
      <c r="C258" s="1" t="n">
        <v>45932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2549-2025</t>
        </is>
      </c>
      <c r="B259" s="1" t="n">
        <v>45674</v>
      </c>
      <c r="C259" s="1" t="n">
        <v>45932</v>
      </c>
      <c r="D259" t="inlineStr">
        <is>
          <t>UPPSALA LÄN</t>
        </is>
      </c>
      <c r="E259" t="inlineStr">
        <is>
          <t>TIERP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59482-2023</t>
        </is>
      </c>
      <c r="B260" s="1" t="n">
        <v>45253</v>
      </c>
      <c r="C260" s="1" t="n">
        <v>45932</v>
      </c>
      <c r="D260" t="inlineStr">
        <is>
          <t>UPPSALA LÄN</t>
        </is>
      </c>
      <c r="E260" t="inlineStr">
        <is>
          <t>TIERP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5963-2023</t>
        </is>
      </c>
      <c r="B261" s="1" t="n">
        <v>44964</v>
      </c>
      <c r="C261" s="1" t="n">
        <v>45932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28346-2022</t>
        </is>
      </c>
      <c r="B262" s="1" t="n">
        <v>44747</v>
      </c>
      <c r="C262" s="1" t="n">
        <v>45932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48736-2023</t>
        </is>
      </c>
      <c r="B263" s="1" t="n">
        <v>45203</v>
      </c>
      <c r="C263" s="1" t="n">
        <v>45932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43605-2023</t>
        </is>
      </c>
      <c r="B264" s="1" t="n">
        <v>45181</v>
      </c>
      <c r="C264" s="1" t="n">
        <v>45932</v>
      </c>
      <c r="D264" t="inlineStr">
        <is>
          <t>UPPSALA LÄN</t>
        </is>
      </c>
      <c r="E264" t="inlineStr">
        <is>
          <t>TIERP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59534-2022</t>
        </is>
      </c>
      <c r="B265" s="1" t="n">
        <v>44907.56795138889</v>
      </c>
      <c r="C265" s="1" t="n">
        <v>45932</v>
      </c>
      <c r="D265" t="inlineStr">
        <is>
          <t>UPPSALA LÄN</t>
        </is>
      </c>
      <c r="E265" t="inlineStr">
        <is>
          <t>TIERP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37053-2024</t>
        </is>
      </c>
      <c r="B266" s="1" t="n">
        <v>45539.43512731481</v>
      </c>
      <c r="C266" s="1" t="n">
        <v>45932</v>
      </c>
      <c r="D266" t="inlineStr">
        <is>
          <t>UPPSALA LÄN</t>
        </is>
      </c>
      <c r="E266" t="inlineStr">
        <is>
          <t>TIERP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61518-2024</t>
        </is>
      </c>
      <c r="B267" s="1" t="n">
        <v>45646.57768518518</v>
      </c>
      <c r="C267" s="1" t="n">
        <v>45932</v>
      </c>
      <c r="D267" t="inlineStr">
        <is>
          <t>UPPSALA LÄN</t>
        </is>
      </c>
      <c r="E267" t="inlineStr">
        <is>
          <t>TIERP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32212-2024</t>
        </is>
      </c>
      <c r="B268" s="1" t="n">
        <v>45511</v>
      </c>
      <c r="C268" s="1" t="n">
        <v>45932</v>
      </c>
      <c r="D268" t="inlineStr">
        <is>
          <t>UPPSALA LÄN</t>
        </is>
      </c>
      <c r="E268" t="inlineStr">
        <is>
          <t>TIERP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24150-2025</t>
        </is>
      </c>
      <c r="B269" s="1" t="n">
        <v>45796.65540509259</v>
      </c>
      <c r="C269" s="1" t="n">
        <v>45932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1572-2023</t>
        </is>
      </c>
      <c r="B270" s="1" t="n">
        <v>44937.61023148148</v>
      </c>
      <c r="C270" s="1" t="n">
        <v>45932</v>
      </c>
      <c r="D270" t="inlineStr">
        <is>
          <t>UPPSALA LÄN</t>
        </is>
      </c>
      <c r="E270" t="inlineStr">
        <is>
          <t>TIERP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44382-2024</t>
        </is>
      </c>
      <c r="B271" s="1" t="n">
        <v>45573.66729166666</v>
      </c>
      <c r="C271" s="1" t="n">
        <v>45932</v>
      </c>
      <c r="D271" t="inlineStr">
        <is>
          <t>UPPSALA LÄN</t>
        </is>
      </c>
      <c r="E271" t="inlineStr">
        <is>
          <t>TIERP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24160-2025</t>
        </is>
      </c>
      <c r="B272" s="1" t="n">
        <v>45796.66336805555</v>
      </c>
      <c r="C272" s="1" t="n">
        <v>45932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14483-2024</t>
        </is>
      </c>
      <c r="B273" s="1" t="n">
        <v>45394</v>
      </c>
      <c r="C273" s="1" t="n">
        <v>45932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9893-2022</t>
        </is>
      </c>
      <c r="B274" s="1" t="n">
        <v>44620.62225694444</v>
      </c>
      <c r="C274" s="1" t="n">
        <v>45932</v>
      </c>
      <c r="D274" t="inlineStr">
        <is>
          <t>UPPSALA LÄN</t>
        </is>
      </c>
      <c r="E274" t="inlineStr">
        <is>
          <t>TIERP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56173-2024</t>
        </is>
      </c>
      <c r="B275" s="1" t="n">
        <v>45624.55622685186</v>
      </c>
      <c r="C275" s="1" t="n">
        <v>45932</v>
      </c>
      <c r="D275" t="inlineStr">
        <is>
          <t>UPPSALA LÄN</t>
        </is>
      </c>
      <c r="E275" t="inlineStr">
        <is>
          <t>TIERP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12657-2025</t>
        </is>
      </c>
      <c r="B276" s="1" t="n">
        <v>45733.42229166667</v>
      </c>
      <c r="C276" s="1" t="n">
        <v>45932</v>
      </c>
      <c r="D276" t="inlineStr">
        <is>
          <t>UPPSALA LÄN</t>
        </is>
      </c>
      <c r="E276" t="inlineStr">
        <is>
          <t>TIERP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12662-2025</t>
        </is>
      </c>
      <c r="B277" s="1" t="n">
        <v>45733.42510416666</v>
      </c>
      <c r="C277" s="1" t="n">
        <v>45932</v>
      </c>
      <c r="D277" t="inlineStr">
        <is>
          <t>UPPSALA LÄN</t>
        </is>
      </c>
      <c r="E277" t="inlineStr">
        <is>
          <t>TIERP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12695-2025</t>
        </is>
      </c>
      <c r="B278" s="1" t="n">
        <v>45733.46116898148</v>
      </c>
      <c r="C278" s="1" t="n">
        <v>45932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40864-2023</t>
        </is>
      </c>
      <c r="B279" s="1" t="n">
        <v>45173.3516087963</v>
      </c>
      <c r="C279" s="1" t="n">
        <v>45932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24124-2025</t>
        </is>
      </c>
      <c r="B280" s="1" t="n">
        <v>45796.6252662037</v>
      </c>
      <c r="C280" s="1" t="n">
        <v>45932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44774-2024</t>
        </is>
      </c>
      <c r="B281" s="1" t="n">
        <v>45574</v>
      </c>
      <c r="C281" s="1" t="n">
        <v>45932</v>
      </c>
      <c r="D281" t="inlineStr">
        <is>
          <t>UPPSALA LÄN</t>
        </is>
      </c>
      <c r="E281" t="inlineStr">
        <is>
          <t>TIERP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2676-2024</t>
        </is>
      </c>
      <c r="B282" s="1" t="n">
        <v>45314.43193287037</v>
      </c>
      <c r="C282" s="1" t="n">
        <v>45932</v>
      </c>
      <c r="D282" t="inlineStr">
        <is>
          <t>UPPSALA LÄN</t>
        </is>
      </c>
      <c r="E282" t="inlineStr">
        <is>
          <t>TIERP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61156-2024</t>
        </is>
      </c>
      <c r="B283" s="1" t="n">
        <v>45645.59362268518</v>
      </c>
      <c r="C283" s="1" t="n">
        <v>45932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34835-2024</t>
        </is>
      </c>
      <c r="B284" s="1" t="n">
        <v>45526</v>
      </c>
      <c r="C284" s="1" t="n">
        <v>45932</v>
      </c>
      <c r="D284" t="inlineStr">
        <is>
          <t>UPPSALA LÄN</t>
        </is>
      </c>
      <c r="E284" t="inlineStr">
        <is>
          <t>TIERP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11308-2025</t>
        </is>
      </c>
      <c r="B285" s="1" t="n">
        <v>45726.44707175926</v>
      </c>
      <c r="C285" s="1" t="n">
        <v>45932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61230-2024</t>
        </is>
      </c>
      <c r="B286" s="1" t="n">
        <v>45645</v>
      </c>
      <c r="C286" s="1" t="n">
        <v>45932</v>
      </c>
      <c r="D286" t="inlineStr">
        <is>
          <t>UPPSALA LÄN</t>
        </is>
      </c>
      <c r="E286" t="inlineStr">
        <is>
          <t>TIERP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HYPERLINK("https://klasma.github.io/Logging_0360/knärot/A 61230-2024 karta knärot.png", "A 61230-2024")</f>
        <v/>
      </c>
      <c r="V286">
        <f>HYPERLINK("https://klasma.github.io/Logging_0360/klagomål/A 61230-2024 FSC-klagomål.docx", "A 61230-2024")</f>
        <v/>
      </c>
      <c r="W286">
        <f>HYPERLINK("https://klasma.github.io/Logging_0360/klagomålsmail/A 61230-2024 FSC-klagomål mail.docx", "A 61230-2024")</f>
        <v/>
      </c>
      <c r="X286">
        <f>HYPERLINK("https://klasma.github.io/Logging_0360/tillsyn/A 61230-2024 tillsynsbegäran.docx", "A 61230-2024")</f>
        <v/>
      </c>
      <c r="Y286">
        <f>HYPERLINK("https://klasma.github.io/Logging_0360/tillsynsmail/A 61230-2024 tillsynsbegäran mail.docx", "A 61230-2024")</f>
        <v/>
      </c>
    </row>
    <row r="287" ht="15" customHeight="1">
      <c r="A287" t="inlineStr">
        <is>
          <t>A 55678-2024</t>
        </is>
      </c>
      <c r="B287" s="1" t="n">
        <v>45622.65828703704</v>
      </c>
      <c r="C287" s="1" t="n">
        <v>45932</v>
      </c>
      <c r="D287" t="inlineStr">
        <is>
          <t>UPPSALA LÄN</t>
        </is>
      </c>
      <c r="E287" t="inlineStr">
        <is>
          <t>TIERP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16516-2025</t>
        </is>
      </c>
      <c r="B288" s="1" t="n">
        <v>45751.63172453704</v>
      </c>
      <c r="C288" s="1" t="n">
        <v>45932</v>
      </c>
      <c r="D288" t="inlineStr">
        <is>
          <t>UPPSALA LÄN</t>
        </is>
      </c>
      <c r="E288" t="inlineStr">
        <is>
          <t>TIERP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56350-2022</t>
        </is>
      </c>
      <c r="B289" s="1" t="n">
        <v>44890</v>
      </c>
      <c r="C289" s="1" t="n">
        <v>45932</v>
      </c>
      <c r="D289" t="inlineStr">
        <is>
          <t>UPPSALA LÄN</t>
        </is>
      </c>
      <c r="E289" t="inlineStr">
        <is>
          <t>TIERP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7127-2024</t>
        </is>
      </c>
      <c r="B290" s="1" t="n">
        <v>45344.338125</v>
      </c>
      <c r="C290" s="1" t="n">
        <v>45932</v>
      </c>
      <c r="D290" t="inlineStr">
        <is>
          <t>UPPSALA LÄN</t>
        </is>
      </c>
      <c r="E290" t="inlineStr">
        <is>
          <t>TIERP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24807-2025</t>
        </is>
      </c>
      <c r="B291" s="1" t="n">
        <v>45799.44140046297</v>
      </c>
      <c r="C291" s="1" t="n">
        <v>45932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36561-2022</t>
        </is>
      </c>
      <c r="B292" s="1" t="n">
        <v>44804</v>
      </c>
      <c r="C292" s="1" t="n">
        <v>45932</v>
      </c>
      <c r="D292" t="inlineStr">
        <is>
          <t>UPPSALA LÄN</t>
        </is>
      </c>
      <c r="E292" t="inlineStr">
        <is>
          <t>TIERP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38464-2023</t>
        </is>
      </c>
      <c r="B293" s="1" t="n">
        <v>45162.44894675926</v>
      </c>
      <c r="C293" s="1" t="n">
        <v>45932</v>
      </c>
      <c r="D293" t="inlineStr">
        <is>
          <t>UPPSALA LÄN</t>
        </is>
      </c>
      <c r="E293" t="inlineStr">
        <is>
          <t>TIERP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60154-2022</t>
        </is>
      </c>
      <c r="B294" s="1" t="n">
        <v>44909</v>
      </c>
      <c r="C294" s="1" t="n">
        <v>45932</v>
      </c>
      <c r="D294" t="inlineStr">
        <is>
          <t>UPPSALA LÄN</t>
        </is>
      </c>
      <c r="E294" t="inlineStr">
        <is>
          <t>TIERP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10550-2024</t>
        </is>
      </c>
      <c r="B295" s="1" t="n">
        <v>45366.5775462963</v>
      </c>
      <c r="C295" s="1" t="n">
        <v>45932</v>
      </c>
      <c r="D295" t="inlineStr">
        <is>
          <t>UPPSALA LÄN</t>
        </is>
      </c>
      <c r="E295" t="inlineStr">
        <is>
          <t>TIERP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6075-2023</t>
        </is>
      </c>
      <c r="B296" s="1" t="n">
        <v>44964.52627314815</v>
      </c>
      <c r="C296" s="1" t="n">
        <v>45932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4329-2023</t>
        </is>
      </c>
      <c r="B297" s="1" t="n">
        <v>44953</v>
      </c>
      <c r="C297" s="1" t="n">
        <v>45932</v>
      </c>
      <c r="D297" t="inlineStr">
        <is>
          <t>UPPSALA LÄN</t>
        </is>
      </c>
      <c r="E297" t="inlineStr">
        <is>
          <t>TIERP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52380-2023</t>
        </is>
      </c>
      <c r="B298" s="1" t="n">
        <v>45224.79760416667</v>
      </c>
      <c r="C298" s="1" t="n">
        <v>45932</v>
      </c>
      <c r="D298" t="inlineStr">
        <is>
          <t>UPPSALA LÄN</t>
        </is>
      </c>
      <c r="E298" t="inlineStr">
        <is>
          <t>TIERP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24975-2025</t>
        </is>
      </c>
      <c r="B299" s="1" t="n">
        <v>45799.59126157407</v>
      </c>
      <c r="C299" s="1" t="n">
        <v>45932</v>
      </c>
      <c r="D299" t="inlineStr">
        <is>
          <t>UPPSALA LÄN</t>
        </is>
      </c>
      <c r="E299" t="inlineStr">
        <is>
          <t>TIERP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15504-2025</t>
        </is>
      </c>
      <c r="B300" s="1" t="n">
        <v>45747.595</v>
      </c>
      <c r="C300" s="1" t="n">
        <v>45932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18060-2025</t>
        </is>
      </c>
      <c r="B301" s="1" t="n">
        <v>45761</v>
      </c>
      <c r="C301" s="1" t="n">
        <v>45932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13460-2024</t>
        </is>
      </c>
      <c r="B302" s="1" t="n">
        <v>45387.55097222222</v>
      </c>
      <c r="C302" s="1" t="n">
        <v>45932</v>
      </c>
      <c r="D302" t="inlineStr">
        <is>
          <t>UPPSALA LÄN</t>
        </is>
      </c>
      <c r="E302" t="inlineStr">
        <is>
          <t>TIERP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57142-2023</t>
        </is>
      </c>
      <c r="B303" s="1" t="n">
        <v>45245.39725694444</v>
      </c>
      <c r="C303" s="1" t="n">
        <v>45932</v>
      </c>
      <c r="D303" t="inlineStr">
        <is>
          <t>UPPSALA LÄN</t>
        </is>
      </c>
      <c r="E303" t="inlineStr">
        <is>
          <t>TIERP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25671-2025</t>
        </is>
      </c>
      <c r="B304" s="1" t="n">
        <v>45803.63006944444</v>
      </c>
      <c r="C304" s="1" t="n">
        <v>45932</v>
      </c>
      <c r="D304" t="inlineStr">
        <is>
          <t>UPPSALA LÄN</t>
        </is>
      </c>
      <c r="E304" t="inlineStr">
        <is>
          <t>TIERP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41389-2024</t>
        </is>
      </c>
      <c r="B305" s="1" t="n">
        <v>45560</v>
      </c>
      <c r="C305" s="1" t="n">
        <v>45932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10551-2024</t>
        </is>
      </c>
      <c r="B306" s="1" t="n">
        <v>45366.58351851852</v>
      </c>
      <c r="C306" s="1" t="n">
        <v>45932</v>
      </c>
      <c r="D306" t="inlineStr">
        <is>
          <t>UPPSALA LÄN</t>
        </is>
      </c>
      <c r="E306" t="inlineStr">
        <is>
          <t>TIERP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22274-2025</t>
        </is>
      </c>
      <c r="B307" s="1" t="n">
        <v>45786</v>
      </c>
      <c r="C307" s="1" t="n">
        <v>45932</v>
      </c>
      <c r="D307" t="inlineStr">
        <is>
          <t>UPPSALA LÄN</t>
        </is>
      </c>
      <c r="E307" t="inlineStr">
        <is>
          <t>TIERP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61152-2024</t>
        </is>
      </c>
      <c r="B308" s="1" t="n">
        <v>45645</v>
      </c>
      <c r="C308" s="1" t="n">
        <v>45932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34082-2023</t>
        </is>
      </c>
      <c r="B309" s="1" t="n">
        <v>45135</v>
      </c>
      <c r="C309" s="1" t="n">
        <v>45932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55688-2024</t>
        </is>
      </c>
      <c r="B310" s="1" t="n">
        <v>45622.67170138889</v>
      </c>
      <c r="C310" s="1" t="n">
        <v>45932</v>
      </c>
      <c r="D310" t="inlineStr">
        <is>
          <t>UPPSALA LÄN</t>
        </is>
      </c>
      <c r="E310" t="inlineStr">
        <is>
          <t>TIERP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54737-2023</t>
        </is>
      </c>
      <c r="B311" s="1" t="n">
        <v>45229</v>
      </c>
      <c r="C311" s="1" t="n">
        <v>45932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63260-2020</t>
        </is>
      </c>
      <c r="B312" s="1" t="n">
        <v>44164.81450231482</v>
      </c>
      <c r="C312" s="1" t="n">
        <v>45932</v>
      </c>
      <c r="D312" t="inlineStr">
        <is>
          <t>UPPSALA LÄN</t>
        </is>
      </c>
      <c r="E312" t="inlineStr">
        <is>
          <t>TIERP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39333-2024</t>
        </is>
      </c>
      <c r="B313" s="1" t="n">
        <v>45551</v>
      </c>
      <c r="C313" s="1" t="n">
        <v>45932</v>
      </c>
      <c r="D313" t="inlineStr">
        <is>
          <t>UPPSALA LÄN</t>
        </is>
      </c>
      <c r="E313" t="inlineStr">
        <is>
          <t>TIERP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17642-2025</t>
        </is>
      </c>
      <c r="B314" s="1" t="n">
        <v>45758</v>
      </c>
      <c r="C314" s="1" t="n">
        <v>45932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väst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7068-2022</t>
        </is>
      </c>
      <c r="B315" s="1" t="n">
        <v>44603</v>
      </c>
      <c r="C315" s="1" t="n">
        <v>45932</v>
      </c>
      <c r="D315" t="inlineStr">
        <is>
          <t>UPPSALA LÄN</t>
        </is>
      </c>
      <c r="E315" t="inlineStr">
        <is>
          <t>TIERP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22636-2024</t>
        </is>
      </c>
      <c r="B316" s="1" t="n">
        <v>45447</v>
      </c>
      <c r="C316" s="1" t="n">
        <v>45932</v>
      </c>
      <c r="D316" t="inlineStr">
        <is>
          <t>UPPSALA LÄN</t>
        </is>
      </c>
      <c r="E316" t="inlineStr">
        <is>
          <t>TIERP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15851-2023</t>
        </is>
      </c>
      <c r="B317" s="1" t="n">
        <v>45022</v>
      </c>
      <c r="C317" s="1" t="n">
        <v>45932</v>
      </c>
      <c r="D317" t="inlineStr">
        <is>
          <t>UPPSALA LÄN</t>
        </is>
      </c>
      <c r="E317" t="inlineStr">
        <is>
          <t>TIERP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25927-2025</t>
        </is>
      </c>
      <c r="B318" s="1" t="n">
        <v>45804.57641203704</v>
      </c>
      <c r="C318" s="1" t="n">
        <v>45932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11529-2022</t>
        </is>
      </c>
      <c r="B319" s="1" t="n">
        <v>44631.38126157408</v>
      </c>
      <c r="C319" s="1" t="n">
        <v>45932</v>
      </c>
      <c r="D319" t="inlineStr">
        <is>
          <t>UPPSALA LÄN</t>
        </is>
      </c>
      <c r="E319" t="inlineStr">
        <is>
          <t>TIERP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26040-2025</t>
        </is>
      </c>
      <c r="B320" s="1" t="n">
        <v>45804.69550925926</v>
      </c>
      <c r="C320" s="1" t="n">
        <v>45932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26321-2025</t>
        </is>
      </c>
      <c r="B321" s="1" t="n">
        <v>45805</v>
      </c>
      <c r="C321" s="1" t="n">
        <v>45932</v>
      </c>
      <c r="D321" t="inlineStr">
        <is>
          <t>UPPSALA LÄN</t>
        </is>
      </c>
      <c r="E321" t="inlineStr">
        <is>
          <t>TIERP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43640-2024</t>
        </is>
      </c>
      <c r="B322" s="1" t="n">
        <v>45569</v>
      </c>
      <c r="C322" s="1" t="n">
        <v>45932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8772-2023</t>
        </is>
      </c>
      <c r="B323" s="1" t="n">
        <v>44978.5591087963</v>
      </c>
      <c r="C323" s="1" t="n">
        <v>45932</v>
      </c>
      <c r="D323" t="inlineStr">
        <is>
          <t>UPPSALA LÄN</t>
        </is>
      </c>
      <c r="E323" t="inlineStr">
        <is>
          <t>TIERP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8774-2023</t>
        </is>
      </c>
      <c r="B324" s="1" t="n">
        <v>44978.56202546296</v>
      </c>
      <c r="C324" s="1" t="n">
        <v>45932</v>
      </c>
      <c r="D324" t="inlineStr">
        <is>
          <t>UPPSALA LÄN</t>
        </is>
      </c>
      <c r="E324" t="inlineStr">
        <is>
          <t>TIERP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25953-2025</t>
        </is>
      </c>
      <c r="B325" s="1" t="n">
        <v>45804.60184027778</v>
      </c>
      <c r="C325" s="1" t="n">
        <v>45932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48403-2022</t>
        </is>
      </c>
      <c r="B326" s="1" t="n">
        <v>44858.61703703704</v>
      </c>
      <c r="C326" s="1" t="n">
        <v>45932</v>
      </c>
      <c r="D326" t="inlineStr">
        <is>
          <t>UPPSALA LÄN</t>
        </is>
      </c>
      <c r="E326" t="inlineStr">
        <is>
          <t>TIERP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15574-2024</t>
        </is>
      </c>
      <c r="B327" s="1" t="n">
        <v>45401.68577546296</v>
      </c>
      <c r="C327" s="1" t="n">
        <v>45932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46952-2025</t>
        </is>
      </c>
      <c r="B328" s="1" t="n">
        <v>45929.471875</v>
      </c>
      <c r="C328" s="1" t="n">
        <v>45932</v>
      </c>
      <c r="D328" t="inlineStr">
        <is>
          <t>UPPSALA LÄN</t>
        </is>
      </c>
      <c r="E328" t="inlineStr">
        <is>
          <t>TIERP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25900-2025</t>
        </is>
      </c>
      <c r="B329" s="1" t="n">
        <v>45804.54819444445</v>
      </c>
      <c r="C329" s="1" t="n">
        <v>45932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26559-2025</t>
        </is>
      </c>
      <c r="B330" s="1" t="n">
        <v>45807.63822916667</v>
      </c>
      <c r="C330" s="1" t="n">
        <v>45932</v>
      </c>
      <c r="D330" t="inlineStr">
        <is>
          <t>UPPSALA LÄN</t>
        </is>
      </c>
      <c r="E330" t="inlineStr">
        <is>
          <t>TIERP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26541-2025</t>
        </is>
      </c>
      <c r="B331" s="1" t="n">
        <v>45807.58495370371</v>
      </c>
      <c r="C331" s="1" t="n">
        <v>45932</v>
      </c>
      <c r="D331" t="inlineStr">
        <is>
          <t>UPPSALA LÄN</t>
        </is>
      </c>
      <c r="E331" t="inlineStr">
        <is>
          <t>TIERP</t>
        </is>
      </c>
      <c r="G331" t="n">
        <v>10.6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26555-2025</t>
        </is>
      </c>
      <c r="B332" s="1" t="n">
        <v>45807.61832175926</v>
      </c>
      <c r="C332" s="1" t="n">
        <v>45932</v>
      </c>
      <c r="D332" t="inlineStr">
        <is>
          <t>UPPSALA LÄN</t>
        </is>
      </c>
      <c r="E332" t="inlineStr">
        <is>
          <t>TIERP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26556-2025</t>
        </is>
      </c>
      <c r="B333" s="1" t="n">
        <v>45807.62752314815</v>
      </c>
      <c r="C333" s="1" t="n">
        <v>45932</v>
      </c>
      <c r="D333" t="inlineStr">
        <is>
          <t>UPPSALA LÄN</t>
        </is>
      </c>
      <c r="E333" t="inlineStr">
        <is>
          <t>TIERP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23312-2025</t>
        </is>
      </c>
      <c r="B334" s="1" t="n">
        <v>45791</v>
      </c>
      <c r="C334" s="1" t="n">
        <v>45932</v>
      </c>
      <c r="D334" t="inlineStr">
        <is>
          <t>UPPSALA LÄN</t>
        </is>
      </c>
      <c r="E334" t="inlineStr">
        <is>
          <t>TIERP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34980-2024</t>
        </is>
      </c>
      <c r="B335" s="1" t="n">
        <v>45527</v>
      </c>
      <c r="C335" s="1" t="n">
        <v>45932</v>
      </c>
      <c r="D335" t="inlineStr">
        <is>
          <t>UPPSALA LÄN</t>
        </is>
      </c>
      <c r="E335" t="inlineStr">
        <is>
          <t>TIERP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60011-2024</t>
        </is>
      </c>
      <c r="B336" s="1" t="n">
        <v>45642</v>
      </c>
      <c r="C336" s="1" t="n">
        <v>45932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20317-2025</t>
        </is>
      </c>
      <c r="B337" s="1" t="n">
        <v>45775</v>
      </c>
      <c r="C337" s="1" t="n">
        <v>45932</v>
      </c>
      <c r="D337" t="inlineStr">
        <is>
          <t>UPPSALA LÄN</t>
        </is>
      </c>
      <c r="E337" t="inlineStr">
        <is>
          <t>TIERP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18110-2025</t>
        </is>
      </c>
      <c r="B338" s="1" t="n">
        <v>45761.56990740741</v>
      </c>
      <c r="C338" s="1" t="n">
        <v>45932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väst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2899-2023</t>
        </is>
      </c>
      <c r="B339" s="1" t="n">
        <v>44945</v>
      </c>
      <c r="C339" s="1" t="n">
        <v>45932</v>
      </c>
      <c r="D339" t="inlineStr">
        <is>
          <t>UPPSALA LÄN</t>
        </is>
      </c>
      <c r="E339" t="inlineStr">
        <is>
          <t>TIERP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20750-2023</t>
        </is>
      </c>
      <c r="B340" s="1" t="n">
        <v>45058.53024305555</v>
      </c>
      <c r="C340" s="1" t="n">
        <v>45932</v>
      </c>
      <c r="D340" t="inlineStr">
        <is>
          <t>UPPSALA LÄN</t>
        </is>
      </c>
      <c r="E340" t="inlineStr">
        <is>
          <t>TIERP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48970-2021</t>
        </is>
      </c>
      <c r="B341" s="1" t="n">
        <v>44453</v>
      </c>
      <c r="C341" s="1" t="n">
        <v>45932</v>
      </c>
      <c r="D341" t="inlineStr">
        <is>
          <t>UPPSALA LÄN</t>
        </is>
      </c>
      <c r="E341" t="inlineStr">
        <is>
          <t>TIERP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16631-2023</t>
        </is>
      </c>
      <c r="B342" s="1" t="n">
        <v>45030</v>
      </c>
      <c r="C342" s="1" t="n">
        <v>45932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36150-2021</t>
        </is>
      </c>
      <c r="B343" s="1" t="n">
        <v>44389</v>
      </c>
      <c r="C343" s="1" t="n">
        <v>45932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4409-2023</t>
        </is>
      </c>
      <c r="B344" s="1" t="n">
        <v>44956.36935185185</v>
      </c>
      <c r="C344" s="1" t="n">
        <v>45932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59658-2024</t>
        </is>
      </c>
      <c r="B345" s="1" t="n">
        <v>45639</v>
      </c>
      <c r="C345" s="1" t="n">
        <v>45932</v>
      </c>
      <c r="D345" t="inlineStr">
        <is>
          <t>UPPSALA LÄN</t>
        </is>
      </c>
      <c r="E345" t="inlineStr">
        <is>
          <t>TIERP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26714-2025</t>
        </is>
      </c>
      <c r="B346" s="1" t="n">
        <v>45810.47152777778</v>
      </c>
      <c r="C346" s="1" t="n">
        <v>45932</v>
      </c>
      <c r="D346" t="inlineStr">
        <is>
          <t>UPPSALA LÄN</t>
        </is>
      </c>
      <c r="E346" t="inlineStr">
        <is>
          <t>TIERP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45769-2022</t>
        </is>
      </c>
      <c r="B347" s="1" t="n">
        <v>44846.38762731481</v>
      </c>
      <c r="C347" s="1" t="n">
        <v>45932</v>
      </c>
      <c r="D347" t="inlineStr">
        <is>
          <t>UPPSALA LÄN</t>
        </is>
      </c>
      <c r="E347" t="inlineStr">
        <is>
          <t>TIERP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7065-2024</t>
        </is>
      </c>
      <c r="B348" s="1" t="n">
        <v>45343.66717592593</v>
      </c>
      <c r="C348" s="1" t="n">
        <v>45932</v>
      </c>
      <c r="D348" t="inlineStr">
        <is>
          <t>UPPSALA LÄN</t>
        </is>
      </c>
      <c r="E348" t="inlineStr">
        <is>
          <t>TIERP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59731-2022</t>
        </is>
      </c>
      <c r="B349" s="1" t="n">
        <v>44908</v>
      </c>
      <c r="C349" s="1" t="n">
        <v>45932</v>
      </c>
      <c r="D349" t="inlineStr">
        <is>
          <t>UPPSALA LÄN</t>
        </is>
      </c>
      <c r="E349" t="inlineStr">
        <is>
          <t>TIERP</t>
        </is>
      </c>
      <c r="F349" t="inlineStr">
        <is>
          <t>Kyrkan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7370-2023</t>
        </is>
      </c>
      <c r="B350" s="1" t="n">
        <v>44971</v>
      </c>
      <c r="C350" s="1" t="n">
        <v>45932</v>
      </c>
      <c r="D350" t="inlineStr">
        <is>
          <t>UPPSALA LÄN</t>
        </is>
      </c>
      <c r="E350" t="inlineStr">
        <is>
          <t>TIERP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26771-2024</t>
        </is>
      </c>
      <c r="B351" s="1" t="n">
        <v>45470</v>
      </c>
      <c r="C351" s="1" t="n">
        <v>45932</v>
      </c>
      <c r="D351" t="inlineStr">
        <is>
          <t>UPPSALA LÄN</t>
        </is>
      </c>
      <c r="E351" t="inlineStr">
        <is>
          <t>TIERP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32207-2021</t>
        </is>
      </c>
      <c r="B352" s="1" t="n">
        <v>44371</v>
      </c>
      <c r="C352" s="1" t="n">
        <v>45932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26161-2022</t>
        </is>
      </c>
      <c r="B353" s="1" t="n">
        <v>44735</v>
      </c>
      <c r="C353" s="1" t="n">
        <v>45932</v>
      </c>
      <c r="D353" t="inlineStr">
        <is>
          <t>UPPSALA LÄN</t>
        </is>
      </c>
      <c r="E353" t="inlineStr">
        <is>
          <t>TIERP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319-2023</t>
        </is>
      </c>
      <c r="B354" s="1" t="n">
        <v>44929</v>
      </c>
      <c r="C354" s="1" t="n">
        <v>45932</v>
      </c>
      <c r="D354" t="inlineStr">
        <is>
          <t>UPPSALA LÄN</t>
        </is>
      </c>
      <c r="E354" t="inlineStr">
        <is>
          <t>TIERP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5918-2022</t>
        </is>
      </c>
      <c r="B355" s="1" t="n">
        <v>44597.83796296296</v>
      </c>
      <c r="C355" s="1" t="n">
        <v>45932</v>
      </c>
      <c r="D355" t="inlineStr">
        <is>
          <t>UPPSALA LÄN</t>
        </is>
      </c>
      <c r="E355" t="inlineStr">
        <is>
          <t>TIERP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20021-2025</t>
        </is>
      </c>
      <c r="B356" s="1" t="n">
        <v>45772.33785879629</v>
      </c>
      <c r="C356" s="1" t="n">
        <v>45932</v>
      </c>
      <c r="D356" t="inlineStr">
        <is>
          <t>UPPSALA LÄN</t>
        </is>
      </c>
      <c r="E356" t="inlineStr">
        <is>
          <t>TIERP</t>
        </is>
      </c>
      <c r="F356" t="inlineStr">
        <is>
          <t>Kyrkan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2266-2023</t>
        </is>
      </c>
      <c r="B357" s="1" t="n">
        <v>44942.49743055556</v>
      </c>
      <c r="C357" s="1" t="n">
        <v>45932</v>
      </c>
      <c r="D357" t="inlineStr">
        <is>
          <t>UPPSALA LÄN</t>
        </is>
      </c>
      <c r="E357" t="inlineStr">
        <is>
          <t>TIERP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27382-2025</t>
        </is>
      </c>
      <c r="B358" s="1" t="n">
        <v>45812.66421296296</v>
      </c>
      <c r="C358" s="1" t="n">
        <v>45932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13368-2024</t>
        </is>
      </c>
      <c r="B359" s="1" t="n">
        <v>45387</v>
      </c>
      <c r="C359" s="1" t="n">
        <v>45932</v>
      </c>
      <c r="D359" t="inlineStr">
        <is>
          <t>UPPSALA LÄN</t>
        </is>
      </c>
      <c r="E359" t="inlineStr">
        <is>
          <t>TIERP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45848-2024</t>
        </is>
      </c>
      <c r="B360" s="1" t="n">
        <v>45580</v>
      </c>
      <c r="C360" s="1" t="n">
        <v>45932</v>
      </c>
      <c r="D360" t="inlineStr">
        <is>
          <t>UPPSALA LÄN</t>
        </is>
      </c>
      <c r="E360" t="inlineStr">
        <is>
          <t>TIERP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52388-2022</t>
        </is>
      </c>
      <c r="B361" s="1" t="n">
        <v>44874</v>
      </c>
      <c r="C361" s="1" t="n">
        <v>45932</v>
      </c>
      <c r="D361" t="inlineStr">
        <is>
          <t>UPPSALA LÄN</t>
        </is>
      </c>
      <c r="E361" t="inlineStr">
        <is>
          <t>TIERP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27360-2025</t>
        </is>
      </c>
      <c r="B362" s="1" t="n">
        <v>45812.63758101852</v>
      </c>
      <c r="C362" s="1" t="n">
        <v>45932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66241-2021</t>
        </is>
      </c>
      <c r="B363" s="1" t="n">
        <v>44518.40658564815</v>
      </c>
      <c r="C363" s="1" t="n">
        <v>45932</v>
      </c>
      <c r="D363" t="inlineStr">
        <is>
          <t>UPPSALA LÄN</t>
        </is>
      </c>
      <c r="E363" t="inlineStr">
        <is>
          <t>TIERP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46644-2025</t>
        </is>
      </c>
      <c r="B364" s="1" t="n">
        <v>45926.47443287037</v>
      </c>
      <c r="C364" s="1" t="n">
        <v>45932</v>
      </c>
      <c r="D364" t="inlineStr">
        <is>
          <t>UPPSALA LÄN</t>
        </is>
      </c>
      <c r="E364" t="inlineStr">
        <is>
          <t>TIERP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15793-2025</t>
        </is>
      </c>
      <c r="B365" s="1" t="n">
        <v>45748.6355787037</v>
      </c>
      <c r="C365" s="1" t="n">
        <v>45932</v>
      </c>
      <c r="D365" t="inlineStr">
        <is>
          <t>UPPSALA LÄN</t>
        </is>
      </c>
      <c r="E365" t="inlineStr">
        <is>
          <t>TIERP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27270-2025</t>
        </is>
      </c>
      <c r="B366" s="1" t="n">
        <v>45812.4972337963</v>
      </c>
      <c r="C366" s="1" t="n">
        <v>45932</v>
      </c>
      <c r="D366" t="inlineStr">
        <is>
          <t>UPPSALA LÄN</t>
        </is>
      </c>
      <c r="E366" t="inlineStr">
        <is>
          <t>TIERP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27629-2025</t>
        </is>
      </c>
      <c r="B367" s="1" t="n">
        <v>45813.55859953703</v>
      </c>
      <c r="C367" s="1" t="n">
        <v>45932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24.6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27252-2025</t>
        </is>
      </c>
      <c r="B368" s="1" t="n">
        <v>45812.47153935185</v>
      </c>
      <c r="C368" s="1" t="n">
        <v>45932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63912-2020</t>
        </is>
      </c>
      <c r="B369" s="1" t="n">
        <v>44166.86582175926</v>
      </c>
      <c r="C369" s="1" t="n">
        <v>45932</v>
      </c>
      <c r="D369" t="inlineStr">
        <is>
          <t>UPPSALA LÄN</t>
        </is>
      </c>
      <c r="E369" t="inlineStr">
        <is>
          <t>TIERP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20911-2022</t>
        </is>
      </c>
      <c r="B370" s="1" t="n">
        <v>44701.60350694445</v>
      </c>
      <c r="C370" s="1" t="n">
        <v>45932</v>
      </c>
      <c r="D370" t="inlineStr">
        <is>
          <t>UPPSALA LÄN</t>
        </is>
      </c>
      <c r="E370" t="inlineStr">
        <is>
          <t>TIERP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43222-2025</t>
        </is>
      </c>
      <c r="B371" s="1" t="n">
        <v>45910.47983796296</v>
      </c>
      <c r="C371" s="1" t="n">
        <v>45932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38940-2025</t>
        </is>
      </c>
      <c r="B372" s="1" t="n">
        <v>45887.64688657408</v>
      </c>
      <c r="C372" s="1" t="n">
        <v>45932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22393-2024</t>
        </is>
      </c>
      <c r="B373" s="1" t="n">
        <v>45446</v>
      </c>
      <c r="C373" s="1" t="n">
        <v>45932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47505-2024</t>
        </is>
      </c>
      <c r="B374" s="1" t="n">
        <v>45587.60459490741</v>
      </c>
      <c r="C374" s="1" t="n">
        <v>45932</v>
      </c>
      <c r="D374" t="inlineStr">
        <is>
          <t>UPPSALA LÄN</t>
        </is>
      </c>
      <c r="E374" t="inlineStr">
        <is>
          <t>TIERP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28223-2025</t>
        </is>
      </c>
      <c r="B375" s="1" t="n">
        <v>45818.47733796296</v>
      </c>
      <c r="C375" s="1" t="n">
        <v>45932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28285-2025</t>
        </is>
      </c>
      <c r="B376" s="1" t="n">
        <v>45818.58984953703</v>
      </c>
      <c r="C376" s="1" t="n">
        <v>45932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34837-2024</t>
        </is>
      </c>
      <c r="B377" s="1" t="n">
        <v>45526</v>
      </c>
      <c r="C377" s="1" t="n">
        <v>45932</v>
      </c>
      <c r="D377" t="inlineStr">
        <is>
          <t>UPPSALA LÄN</t>
        </is>
      </c>
      <c r="E377" t="inlineStr">
        <is>
          <t>TIERP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28252-2025</t>
        </is>
      </c>
      <c r="B378" s="1" t="n">
        <v>45818.54159722223</v>
      </c>
      <c r="C378" s="1" t="n">
        <v>45932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64540-2023</t>
        </is>
      </c>
      <c r="B379" s="1" t="n">
        <v>45281.37799768519</v>
      </c>
      <c r="C379" s="1" t="n">
        <v>45932</v>
      </c>
      <c r="D379" t="inlineStr">
        <is>
          <t>UPPSALA LÄN</t>
        </is>
      </c>
      <c r="E379" t="inlineStr">
        <is>
          <t>TIERP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56946-2023</t>
        </is>
      </c>
      <c r="B380" s="1" t="n">
        <v>45244.6134837963</v>
      </c>
      <c r="C380" s="1" t="n">
        <v>45932</v>
      </c>
      <c r="D380" t="inlineStr">
        <is>
          <t>UPPSALA LÄN</t>
        </is>
      </c>
      <c r="E380" t="inlineStr">
        <is>
          <t>TIERP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2301-2024</t>
        </is>
      </c>
      <c r="B381" s="1" t="n">
        <v>45310.44783564815</v>
      </c>
      <c r="C381" s="1" t="n">
        <v>45932</v>
      </c>
      <c r="D381" t="inlineStr">
        <is>
          <t>UPPSALA LÄN</t>
        </is>
      </c>
      <c r="E381" t="inlineStr">
        <is>
          <t>TIERP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44762-2023</t>
        </is>
      </c>
      <c r="B382" s="1" t="n">
        <v>45190</v>
      </c>
      <c r="C382" s="1" t="n">
        <v>45932</v>
      </c>
      <c r="D382" t="inlineStr">
        <is>
          <t>UPPSALA LÄN</t>
        </is>
      </c>
      <c r="E382" t="inlineStr">
        <is>
          <t>TIERP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29056-2025</t>
        </is>
      </c>
      <c r="B383" s="1" t="n">
        <v>45821.47273148148</v>
      </c>
      <c r="C383" s="1" t="n">
        <v>45932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49647-2022</t>
        </is>
      </c>
      <c r="B384" s="1" t="n">
        <v>44862</v>
      </c>
      <c r="C384" s="1" t="n">
        <v>45932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12885-2024</t>
        </is>
      </c>
      <c r="B385" s="1" t="n">
        <v>45385</v>
      </c>
      <c r="C385" s="1" t="n">
        <v>45932</v>
      </c>
      <c r="D385" t="inlineStr">
        <is>
          <t>UPPSALA LÄN</t>
        </is>
      </c>
      <c r="E385" t="inlineStr">
        <is>
          <t>TIERP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29282-2025</t>
        </is>
      </c>
      <c r="B386" s="1" t="n">
        <v>45824.42741898148</v>
      </c>
      <c r="C386" s="1" t="n">
        <v>45932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43713-2022</t>
        </is>
      </c>
      <c r="B387" s="1" t="n">
        <v>44837.66217592593</v>
      </c>
      <c r="C387" s="1" t="n">
        <v>45932</v>
      </c>
      <c r="D387" t="inlineStr">
        <is>
          <t>UPPSALA LÄN</t>
        </is>
      </c>
      <c r="E387" t="inlineStr">
        <is>
          <t>TIERP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29133-2025</t>
        </is>
      </c>
      <c r="B388" s="1" t="n">
        <v>45821.60461805556</v>
      </c>
      <c r="C388" s="1" t="n">
        <v>45932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29382-2025</t>
        </is>
      </c>
      <c r="B389" s="1" t="n">
        <v>45824.59332175926</v>
      </c>
      <c r="C389" s="1" t="n">
        <v>45932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61615-2022</t>
        </is>
      </c>
      <c r="B390" s="1" t="n">
        <v>44916.66769675926</v>
      </c>
      <c r="C390" s="1" t="n">
        <v>45932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19840-2022</t>
        </is>
      </c>
      <c r="B391" s="1" t="n">
        <v>44696</v>
      </c>
      <c r="C391" s="1" t="n">
        <v>45932</v>
      </c>
      <c r="D391" t="inlineStr">
        <is>
          <t>UPPSALA LÄN</t>
        </is>
      </c>
      <c r="E391" t="inlineStr">
        <is>
          <t>TIERP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30083-2025</t>
        </is>
      </c>
      <c r="B392" s="1" t="n">
        <v>45826.65520833333</v>
      </c>
      <c r="C392" s="1" t="n">
        <v>45932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14241-2024</t>
        </is>
      </c>
      <c r="B393" s="1" t="n">
        <v>45393</v>
      </c>
      <c r="C393" s="1" t="n">
        <v>45932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6364-2023</t>
        </is>
      </c>
      <c r="B394" s="1" t="n">
        <v>44965.60422453703</v>
      </c>
      <c r="C394" s="1" t="n">
        <v>45932</v>
      </c>
      <c r="D394" t="inlineStr">
        <is>
          <t>UPPSALA LÄN</t>
        </is>
      </c>
      <c r="E394" t="inlineStr">
        <is>
          <t>TIERP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31525-2025</t>
        </is>
      </c>
      <c r="B395" s="1" t="n">
        <v>45833.61322916667</v>
      </c>
      <c r="C395" s="1" t="n">
        <v>45932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12809-2025</t>
        </is>
      </c>
      <c r="B396" s="1" t="n">
        <v>45733.6156712963</v>
      </c>
      <c r="C396" s="1" t="n">
        <v>45932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14516-2025</t>
        </is>
      </c>
      <c r="B397" s="1" t="n">
        <v>45741.6415162037</v>
      </c>
      <c r="C397" s="1" t="n">
        <v>45932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30742-2021</t>
        </is>
      </c>
      <c r="B398" s="1" t="n">
        <v>44365</v>
      </c>
      <c r="C398" s="1" t="n">
        <v>45932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46512-2024</t>
        </is>
      </c>
      <c r="B399" s="1" t="n">
        <v>45582.62050925926</v>
      </c>
      <c r="C399" s="1" t="n">
        <v>45932</v>
      </c>
      <c r="D399" t="inlineStr">
        <is>
          <t>UPPSALA LÄN</t>
        </is>
      </c>
      <c r="E399" t="inlineStr">
        <is>
          <t>TIERP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49946-2022</t>
        </is>
      </c>
      <c r="B400" s="1" t="n">
        <v>44865</v>
      </c>
      <c r="C400" s="1" t="n">
        <v>45932</v>
      </c>
      <c r="D400" t="inlineStr">
        <is>
          <t>UPPSALA LÄN</t>
        </is>
      </c>
      <c r="E400" t="inlineStr">
        <is>
          <t>TIERP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21017-2022</t>
        </is>
      </c>
      <c r="B401" s="1" t="n">
        <v>44704</v>
      </c>
      <c r="C401" s="1" t="n">
        <v>45932</v>
      </c>
      <c r="D401" t="inlineStr">
        <is>
          <t>UPPSALA LÄN</t>
        </is>
      </c>
      <c r="E401" t="inlineStr">
        <is>
          <t>TIERP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21034-2022</t>
        </is>
      </c>
      <c r="B402" s="1" t="n">
        <v>44704.40528935185</v>
      </c>
      <c r="C402" s="1" t="n">
        <v>45932</v>
      </c>
      <c r="D402" t="inlineStr">
        <is>
          <t>UPPSALA LÄN</t>
        </is>
      </c>
      <c r="E402" t="inlineStr">
        <is>
          <t>TIERP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31083-2025</t>
        </is>
      </c>
      <c r="B403" s="1" t="n">
        <v>45832.58662037037</v>
      </c>
      <c r="C403" s="1" t="n">
        <v>45932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31549-2025</t>
        </is>
      </c>
      <c r="B404" s="1" t="n">
        <v>45833.63829861111</v>
      </c>
      <c r="C404" s="1" t="n">
        <v>45932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31556-2025</t>
        </is>
      </c>
      <c r="B405" s="1" t="n">
        <v>45833.65157407407</v>
      </c>
      <c r="C405" s="1" t="n">
        <v>45932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6497-2023</t>
        </is>
      </c>
      <c r="B406" s="1" t="n">
        <v>44966</v>
      </c>
      <c r="C406" s="1" t="n">
        <v>45932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öst AB</t>
        </is>
      </c>
      <c r="G406" t="n">
        <v>12.9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31201-2025</t>
        </is>
      </c>
      <c r="B407" s="1" t="n">
        <v>45832.69688657407</v>
      </c>
      <c r="C407" s="1" t="n">
        <v>45932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46550-2024</t>
        </is>
      </c>
      <c r="B408" s="1" t="n">
        <v>45582.66524305556</v>
      </c>
      <c r="C408" s="1" t="n">
        <v>45932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31523-2025</t>
        </is>
      </c>
      <c r="B409" s="1" t="n">
        <v>45833.60854166667</v>
      </c>
      <c r="C409" s="1" t="n">
        <v>45932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31199-2025</t>
        </is>
      </c>
      <c r="B410" s="1" t="n">
        <v>45832.69494212963</v>
      </c>
      <c r="C410" s="1" t="n">
        <v>45932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13509-2025</t>
        </is>
      </c>
      <c r="B411" s="1" t="n">
        <v>45736.46944444445</v>
      </c>
      <c r="C411" s="1" t="n">
        <v>45932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31383-2025</t>
        </is>
      </c>
      <c r="B412" s="1" t="n">
        <v>45833.45049768518</v>
      </c>
      <c r="C412" s="1" t="n">
        <v>45932</v>
      </c>
      <c r="D412" t="inlineStr">
        <is>
          <t>UPPSALA LÄN</t>
        </is>
      </c>
      <c r="E412" t="inlineStr">
        <is>
          <t>TIERP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31421-2025</t>
        </is>
      </c>
      <c r="B413" s="1" t="n">
        <v>45833.48898148148</v>
      </c>
      <c r="C413" s="1" t="n">
        <v>45932</v>
      </c>
      <c r="D413" t="inlineStr">
        <is>
          <t>UPPSALA LÄN</t>
        </is>
      </c>
      <c r="E413" t="inlineStr">
        <is>
          <t>TIERP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30867-2025</t>
        </is>
      </c>
      <c r="B414" s="1" t="n">
        <v>45832.32575231481</v>
      </c>
      <c r="C414" s="1" t="n">
        <v>45932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46976-2021</t>
        </is>
      </c>
      <c r="B415" s="1" t="n">
        <v>44446</v>
      </c>
      <c r="C415" s="1" t="n">
        <v>45932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31949-2025</t>
        </is>
      </c>
      <c r="B416" s="1" t="n">
        <v>45835.32549768518</v>
      </c>
      <c r="C416" s="1" t="n">
        <v>45932</v>
      </c>
      <c r="D416" t="inlineStr">
        <is>
          <t>UPPSALA LÄN</t>
        </is>
      </c>
      <c r="E416" t="inlineStr">
        <is>
          <t>TIERP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5997-2023</t>
        </is>
      </c>
      <c r="B417" s="1" t="n">
        <v>44964</v>
      </c>
      <c r="C417" s="1" t="n">
        <v>45932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6048-2023</t>
        </is>
      </c>
      <c r="B418" s="1" t="n">
        <v>44964</v>
      </c>
      <c r="C418" s="1" t="n">
        <v>45932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32227-2025</t>
        </is>
      </c>
      <c r="B419" s="1" t="n">
        <v>45835.59493055556</v>
      </c>
      <c r="C419" s="1" t="n">
        <v>45932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31616-2025</t>
        </is>
      </c>
      <c r="B420" s="1" t="n">
        <v>45833.816875</v>
      </c>
      <c r="C420" s="1" t="n">
        <v>45932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32184-2025</t>
        </is>
      </c>
      <c r="B421" s="1" t="n">
        <v>45835.56524305556</v>
      </c>
      <c r="C421" s="1" t="n">
        <v>45932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20854-2024</t>
        </is>
      </c>
      <c r="B422" s="1" t="n">
        <v>45439.42039351852</v>
      </c>
      <c r="C422" s="1" t="n">
        <v>45932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60123-2024</t>
        </is>
      </c>
      <c r="B423" s="1" t="n">
        <v>45642.58673611111</v>
      </c>
      <c r="C423" s="1" t="n">
        <v>45932</v>
      </c>
      <c r="D423" t="inlineStr">
        <is>
          <t>UPPSALA LÄN</t>
        </is>
      </c>
      <c r="E423" t="inlineStr">
        <is>
          <t>TIERP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34198-2023</t>
        </is>
      </c>
      <c r="B424" s="1" t="n">
        <v>45138</v>
      </c>
      <c r="C424" s="1" t="n">
        <v>45932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32209-2025</t>
        </is>
      </c>
      <c r="B425" s="1" t="n">
        <v>45835.58365740741</v>
      </c>
      <c r="C425" s="1" t="n">
        <v>45932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32296-2025</t>
        </is>
      </c>
      <c r="B426" s="1" t="n">
        <v>45835</v>
      </c>
      <c r="C426" s="1" t="n">
        <v>45932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väst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32194-2025</t>
        </is>
      </c>
      <c r="B427" s="1" t="n">
        <v>45835.57256944444</v>
      </c>
      <c r="C427" s="1" t="n">
        <v>45932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32199-2025</t>
        </is>
      </c>
      <c r="B428" s="1" t="n">
        <v>45835.57688657408</v>
      </c>
      <c r="C428" s="1" t="n">
        <v>45932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4083-2022</t>
        </is>
      </c>
      <c r="B429" s="1" t="n">
        <v>44588</v>
      </c>
      <c r="C429" s="1" t="n">
        <v>45932</v>
      </c>
      <c r="D429" t="inlineStr">
        <is>
          <t>UPPSALA LÄN</t>
        </is>
      </c>
      <c r="E429" t="inlineStr">
        <is>
          <t>TIERP</t>
        </is>
      </c>
      <c r="G429" t="n">
        <v>26.1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31614-2025</t>
        </is>
      </c>
      <c r="B430" s="1" t="n">
        <v>45833.81484953704</v>
      </c>
      <c r="C430" s="1" t="n">
        <v>45932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17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13464-2024</t>
        </is>
      </c>
      <c r="B431" s="1" t="n">
        <v>45387.55987268518</v>
      </c>
      <c r="C431" s="1" t="n">
        <v>45932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32665-2023</t>
        </is>
      </c>
      <c r="B432" s="1" t="n">
        <v>45121.63271990741</v>
      </c>
      <c r="C432" s="1" t="n">
        <v>45932</v>
      </c>
      <c r="D432" t="inlineStr">
        <is>
          <t>UPPSALA LÄN</t>
        </is>
      </c>
      <c r="E432" t="inlineStr">
        <is>
          <t>TIERP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13356-2024</t>
        </is>
      </c>
      <c r="B433" s="1" t="n">
        <v>45387.34152777777</v>
      </c>
      <c r="C433" s="1" t="n">
        <v>45932</v>
      </c>
      <c r="D433" t="inlineStr">
        <is>
          <t>UPPSALA LÄN</t>
        </is>
      </c>
      <c r="E433" t="inlineStr">
        <is>
          <t>TIERP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19523-2025</t>
        </is>
      </c>
      <c r="B434" s="1" t="n">
        <v>45770.45944444444</v>
      </c>
      <c r="C434" s="1" t="n">
        <v>45932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61149-2024</t>
        </is>
      </c>
      <c r="B435" s="1" t="n">
        <v>45645</v>
      </c>
      <c r="C435" s="1" t="n">
        <v>45932</v>
      </c>
      <c r="D435" t="inlineStr">
        <is>
          <t>UPPSALA LÄN</t>
        </is>
      </c>
      <c r="E435" t="inlineStr">
        <is>
          <t>TIERP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18734-2025</t>
        </is>
      </c>
      <c r="B436" s="1" t="n">
        <v>45763.67659722222</v>
      </c>
      <c r="C436" s="1" t="n">
        <v>45932</v>
      </c>
      <c r="D436" t="inlineStr">
        <is>
          <t>UPPSALA LÄN</t>
        </is>
      </c>
      <c r="E436" t="inlineStr">
        <is>
          <t>TIERP</t>
        </is>
      </c>
      <c r="F436" t="inlineStr">
        <is>
          <t>Kyrkan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55423-2022</t>
        </is>
      </c>
      <c r="B437" s="1" t="n">
        <v>44887</v>
      </c>
      <c r="C437" s="1" t="n">
        <v>45932</v>
      </c>
      <c r="D437" t="inlineStr">
        <is>
          <t>UPPSALA LÄN</t>
        </is>
      </c>
      <c r="E437" t="inlineStr">
        <is>
          <t>TIERP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32376-2025</t>
        </is>
      </c>
      <c r="B438" s="1" t="n">
        <v>45837.72260416667</v>
      </c>
      <c r="C438" s="1" t="n">
        <v>45932</v>
      </c>
      <c r="D438" t="inlineStr">
        <is>
          <t>UPPSALA LÄN</t>
        </is>
      </c>
      <c r="E438" t="inlineStr">
        <is>
          <t>TIERP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33180-2025</t>
        </is>
      </c>
      <c r="B439" s="1" t="n">
        <v>45840.5905324074</v>
      </c>
      <c r="C439" s="1" t="n">
        <v>45932</v>
      </c>
      <c r="D439" t="inlineStr">
        <is>
          <t>UPPSALA LÄN</t>
        </is>
      </c>
      <c r="E439" t="inlineStr">
        <is>
          <t>TIERP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33570-2025</t>
        </is>
      </c>
      <c r="B440" s="1" t="n">
        <v>45841</v>
      </c>
      <c r="C440" s="1" t="n">
        <v>45932</v>
      </c>
      <c r="D440" t="inlineStr">
        <is>
          <t>UPPSALA LÄN</t>
        </is>
      </c>
      <c r="E440" t="inlineStr">
        <is>
          <t>TIERP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34460-2022</t>
        </is>
      </c>
      <c r="B441" s="1" t="n">
        <v>44792</v>
      </c>
      <c r="C441" s="1" t="n">
        <v>45932</v>
      </c>
      <c r="D441" t="inlineStr">
        <is>
          <t>UPPSALA LÄN</t>
        </is>
      </c>
      <c r="E441" t="inlineStr">
        <is>
          <t>TIERP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18412-2025</t>
        </is>
      </c>
      <c r="B442" s="1" t="n">
        <v>45762.61427083334</v>
      </c>
      <c r="C442" s="1" t="n">
        <v>45932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28912-2023</t>
        </is>
      </c>
      <c r="B443" s="1" t="n">
        <v>45104.53165509259</v>
      </c>
      <c r="C443" s="1" t="n">
        <v>45932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7036-2021</t>
        </is>
      </c>
      <c r="B444" s="1" t="n">
        <v>44237</v>
      </c>
      <c r="C444" s="1" t="n">
        <v>45932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22901-2023</t>
        </is>
      </c>
      <c r="B445" s="1" t="n">
        <v>45072</v>
      </c>
      <c r="C445" s="1" t="n">
        <v>45932</v>
      </c>
      <c r="D445" t="inlineStr">
        <is>
          <t>UPPSALA LÄN</t>
        </is>
      </c>
      <c r="E445" t="inlineStr">
        <is>
          <t>TIERP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34044-2025</t>
        </is>
      </c>
      <c r="B446" s="1" t="n">
        <v>45845.38168981481</v>
      </c>
      <c r="C446" s="1" t="n">
        <v>45932</v>
      </c>
      <c r="D446" t="inlineStr">
        <is>
          <t>UPPSALA LÄN</t>
        </is>
      </c>
      <c r="E446" t="inlineStr">
        <is>
          <t>TIERP</t>
        </is>
      </c>
      <c r="F446" t="inlineStr">
        <is>
          <t>Övriga Aktiebolag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33946-2025</t>
        </is>
      </c>
      <c r="B447" s="1" t="n">
        <v>45842.65422453704</v>
      </c>
      <c r="C447" s="1" t="n">
        <v>45932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63649-2023</t>
        </is>
      </c>
      <c r="B448" s="1" t="n">
        <v>45275.59357638889</v>
      </c>
      <c r="C448" s="1" t="n">
        <v>45932</v>
      </c>
      <c r="D448" t="inlineStr">
        <is>
          <t>UPPSALA LÄN</t>
        </is>
      </c>
      <c r="E448" t="inlineStr">
        <is>
          <t>TIERP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34035-2025</t>
        </is>
      </c>
      <c r="B449" s="1" t="n">
        <v>45845.36872685186</v>
      </c>
      <c r="C449" s="1" t="n">
        <v>45932</v>
      </c>
      <c r="D449" t="inlineStr">
        <is>
          <t>UPPSALA LÄN</t>
        </is>
      </c>
      <c r="E449" t="inlineStr">
        <is>
          <t>TIERP</t>
        </is>
      </c>
      <c r="F449" t="inlineStr">
        <is>
          <t>Övriga Aktiebolag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34112-2025</t>
        </is>
      </c>
      <c r="B450" s="1" t="n">
        <v>45845.50091435185</v>
      </c>
      <c r="C450" s="1" t="n">
        <v>45932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34114-2025</t>
        </is>
      </c>
      <c r="B451" s="1" t="n">
        <v>45845.50322916666</v>
      </c>
      <c r="C451" s="1" t="n">
        <v>45932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33954-2025</t>
        </is>
      </c>
      <c r="B452" s="1" t="n">
        <v>45842.67362268519</v>
      </c>
      <c r="C452" s="1" t="n">
        <v>45932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33953-2025</t>
        </is>
      </c>
      <c r="B453" s="1" t="n">
        <v>45842.67251157408</v>
      </c>
      <c r="C453" s="1" t="n">
        <v>45932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34455-2025</t>
        </is>
      </c>
      <c r="B454" s="1" t="n">
        <v>45847.32696759259</v>
      </c>
      <c r="C454" s="1" t="n">
        <v>45932</v>
      </c>
      <c r="D454" t="inlineStr">
        <is>
          <t>UPPSALA LÄN</t>
        </is>
      </c>
      <c r="E454" t="inlineStr">
        <is>
          <t>TIERP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13691-2024</t>
        </is>
      </c>
      <c r="B455" s="1" t="n">
        <v>45390.58060185185</v>
      </c>
      <c r="C455" s="1" t="n">
        <v>45932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13066-2024</t>
        </is>
      </c>
      <c r="B456" s="1" t="n">
        <v>45385.63880787037</v>
      </c>
      <c r="C456" s="1" t="n">
        <v>45932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34922-2025</t>
        </is>
      </c>
      <c r="B457" s="1" t="n">
        <v>45849.55525462963</v>
      </c>
      <c r="C457" s="1" t="n">
        <v>45932</v>
      </c>
      <c r="D457" t="inlineStr">
        <is>
          <t>UPPSALA LÄN</t>
        </is>
      </c>
      <c r="E457" t="inlineStr">
        <is>
          <t>TIERP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5993-2023</t>
        </is>
      </c>
      <c r="B458" s="1" t="n">
        <v>44964</v>
      </c>
      <c r="C458" s="1" t="n">
        <v>45932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60304-2024</t>
        </is>
      </c>
      <c r="B459" s="1" t="n">
        <v>45643</v>
      </c>
      <c r="C459" s="1" t="n">
        <v>45932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16253-2022</t>
        </is>
      </c>
      <c r="B460" s="1" t="n">
        <v>44670</v>
      </c>
      <c r="C460" s="1" t="n">
        <v>45932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34730-2025</t>
        </is>
      </c>
      <c r="B461" s="1" t="n">
        <v>45848.58708333333</v>
      </c>
      <c r="C461" s="1" t="n">
        <v>45932</v>
      </c>
      <c r="D461" t="inlineStr">
        <is>
          <t>UPPSALA LÄN</t>
        </is>
      </c>
      <c r="E461" t="inlineStr">
        <is>
          <t>TIERP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39856-2025</t>
        </is>
      </c>
      <c r="B462" s="1" t="n">
        <v>45891.58877314815</v>
      </c>
      <c r="C462" s="1" t="n">
        <v>45932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39842-2025</t>
        </is>
      </c>
      <c r="B463" s="1" t="n">
        <v>45891.57488425926</v>
      </c>
      <c r="C463" s="1" t="n">
        <v>45932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60769-2020</t>
        </is>
      </c>
      <c r="B464" s="1" t="n">
        <v>44154</v>
      </c>
      <c r="C464" s="1" t="n">
        <v>45932</v>
      </c>
      <c r="D464" t="inlineStr">
        <is>
          <t>UPPSALA LÄN</t>
        </is>
      </c>
      <c r="E464" t="inlineStr">
        <is>
          <t>TIERP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57532-2022</t>
        </is>
      </c>
      <c r="B465" s="1" t="n">
        <v>44896.68234953703</v>
      </c>
      <c r="C465" s="1" t="n">
        <v>45932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46681-2022</t>
        </is>
      </c>
      <c r="B466" s="1" t="n">
        <v>44843</v>
      </c>
      <c r="C466" s="1" t="n">
        <v>45932</v>
      </c>
      <c r="D466" t="inlineStr">
        <is>
          <t>UPPSALA LÄN</t>
        </is>
      </c>
      <c r="E466" t="inlineStr">
        <is>
          <t>TIERP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62006-2024</t>
        </is>
      </c>
      <c r="B467" s="1" t="n">
        <v>45655</v>
      </c>
      <c r="C467" s="1" t="n">
        <v>45932</v>
      </c>
      <c r="D467" t="inlineStr">
        <is>
          <t>UPPSALA LÄN</t>
        </is>
      </c>
      <c r="E467" t="inlineStr">
        <is>
          <t>TIERP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39790-2025</t>
        </is>
      </c>
      <c r="B468" s="1" t="n">
        <v>45891.48542824074</v>
      </c>
      <c r="C468" s="1" t="n">
        <v>45932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57822-2024</t>
        </is>
      </c>
      <c r="B469" s="1" t="n">
        <v>45631.38398148148</v>
      </c>
      <c r="C469" s="1" t="n">
        <v>45932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35105-2025</t>
        </is>
      </c>
      <c r="B470" s="1" t="n">
        <v>45852.57078703704</v>
      </c>
      <c r="C470" s="1" t="n">
        <v>45932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40164-2025</t>
        </is>
      </c>
      <c r="B471" s="1" t="n">
        <v>45894.62137731481</v>
      </c>
      <c r="C471" s="1" t="n">
        <v>45932</v>
      </c>
      <c r="D471" t="inlineStr">
        <is>
          <t>UPPSALA LÄN</t>
        </is>
      </c>
      <c r="E471" t="inlineStr">
        <is>
          <t>TIERP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35011-2025</t>
        </is>
      </c>
      <c r="B472" s="1" t="n">
        <v>45851.55418981481</v>
      </c>
      <c r="C472" s="1" t="n">
        <v>45932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38951-2025</t>
        </is>
      </c>
      <c r="B473" s="1" t="n">
        <v>45887.66127314815</v>
      </c>
      <c r="C473" s="1" t="n">
        <v>45932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35112-2025</t>
        </is>
      </c>
      <c r="B474" s="1" t="n">
        <v>45852.58104166666</v>
      </c>
      <c r="C474" s="1" t="n">
        <v>45932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35195-2025</t>
        </is>
      </c>
      <c r="B475" s="1" t="n">
        <v>45853.36192129629</v>
      </c>
      <c r="C475" s="1" t="n">
        <v>45932</v>
      </c>
      <c r="D475" t="inlineStr">
        <is>
          <t>UPPSALA LÄN</t>
        </is>
      </c>
      <c r="E475" t="inlineStr">
        <is>
          <t>TIERP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58264-2024</t>
        </is>
      </c>
      <c r="B476" s="1" t="n">
        <v>45632.5654050926</v>
      </c>
      <c r="C476" s="1" t="n">
        <v>45932</v>
      </c>
      <c r="D476" t="inlineStr">
        <is>
          <t>UPPSALA LÄN</t>
        </is>
      </c>
      <c r="E476" t="inlineStr">
        <is>
          <t>TIERP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12424-2024</t>
        </is>
      </c>
      <c r="B477" s="1" t="n">
        <v>45379.4344212963</v>
      </c>
      <c r="C477" s="1" t="n">
        <v>45932</v>
      </c>
      <c r="D477" t="inlineStr">
        <is>
          <t>UPPSALA LÄN</t>
        </is>
      </c>
      <c r="E477" t="inlineStr">
        <is>
          <t>TIERP</t>
        </is>
      </c>
      <c r="G477" t="n">
        <v>11.6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35118-2025</t>
        </is>
      </c>
      <c r="B478" s="1" t="n">
        <v>45852.59546296296</v>
      </c>
      <c r="C478" s="1" t="n">
        <v>45932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27269-2025</t>
        </is>
      </c>
      <c r="B479" s="1" t="n">
        <v>45812.49445601852</v>
      </c>
      <c r="C479" s="1" t="n">
        <v>45932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61280-2024</t>
        </is>
      </c>
      <c r="B480" s="1" t="n">
        <v>45645</v>
      </c>
      <c r="C480" s="1" t="n">
        <v>45932</v>
      </c>
      <c r="D480" t="inlineStr">
        <is>
          <t>UPPSALA LÄN</t>
        </is>
      </c>
      <c r="E480" t="inlineStr">
        <is>
          <t>TIERP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35108-2025</t>
        </is>
      </c>
      <c r="B481" s="1" t="n">
        <v>45852.5746412037</v>
      </c>
      <c r="C481" s="1" t="n">
        <v>45932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40163-2025</t>
        </is>
      </c>
      <c r="B482" s="1" t="n">
        <v>45894.6178125</v>
      </c>
      <c r="C482" s="1" t="n">
        <v>45932</v>
      </c>
      <c r="D482" t="inlineStr">
        <is>
          <t>UPPSALA LÄN</t>
        </is>
      </c>
      <c r="E482" t="inlineStr">
        <is>
          <t>TIERP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35012-2025</t>
        </is>
      </c>
      <c r="B483" s="1" t="n">
        <v>45851.55586805556</v>
      </c>
      <c r="C483" s="1" t="n">
        <v>45932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35013-2025</t>
        </is>
      </c>
      <c r="B484" s="1" t="n">
        <v>45851.55748842593</v>
      </c>
      <c r="C484" s="1" t="n">
        <v>45932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14527-2025</t>
        </is>
      </c>
      <c r="B485" s="1" t="n">
        <v>45741.65077546296</v>
      </c>
      <c r="C485" s="1" t="n">
        <v>45932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40627-2025</t>
        </is>
      </c>
      <c r="B486" s="1" t="n">
        <v>45896.58956018519</v>
      </c>
      <c r="C486" s="1" t="n">
        <v>45932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18526-2025</t>
        </is>
      </c>
      <c r="B487" s="1" t="n">
        <v>45763.4009375</v>
      </c>
      <c r="C487" s="1" t="n">
        <v>45932</v>
      </c>
      <c r="D487" t="inlineStr">
        <is>
          <t>UPPSALA LÄN</t>
        </is>
      </c>
      <c r="E487" t="inlineStr">
        <is>
          <t>TIERP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40649-2025</t>
        </is>
      </c>
      <c r="B488" s="1" t="n">
        <v>45896.62949074074</v>
      </c>
      <c r="C488" s="1" t="n">
        <v>45932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17438-2025</t>
        </is>
      </c>
      <c r="B489" s="1" t="n">
        <v>45757.42503472222</v>
      </c>
      <c r="C489" s="1" t="n">
        <v>45932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19380-2025</t>
        </is>
      </c>
      <c r="B490" s="1" t="n">
        <v>45769.65503472222</v>
      </c>
      <c r="C490" s="1" t="n">
        <v>45932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20997-2022</t>
        </is>
      </c>
      <c r="B491" s="1" t="n">
        <v>44701</v>
      </c>
      <c r="C491" s="1" t="n">
        <v>45932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40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22672-2023</t>
        </is>
      </c>
      <c r="B492" s="1" t="n">
        <v>45071.64012731481</v>
      </c>
      <c r="C492" s="1" t="n">
        <v>45932</v>
      </c>
      <c r="D492" t="inlineStr">
        <is>
          <t>UPPSALA LÄN</t>
        </is>
      </c>
      <c r="E492" t="inlineStr">
        <is>
          <t>TIERP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57818-2024</t>
        </is>
      </c>
      <c r="B493" s="1" t="n">
        <v>45631.38019675926</v>
      </c>
      <c r="C493" s="1" t="n">
        <v>45932</v>
      </c>
      <c r="D493" t="inlineStr">
        <is>
          <t>UPPSALA LÄN</t>
        </is>
      </c>
      <c r="E493" t="inlineStr">
        <is>
          <t>TIERP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19554-2025</t>
        </is>
      </c>
      <c r="B494" s="1" t="n">
        <v>45770.50824074074</v>
      </c>
      <c r="C494" s="1" t="n">
        <v>45932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7374-2025</t>
        </is>
      </c>
      <c r="B495" s="1" t="n">
        <v>45705.2896875</v>
      </c>
      <c r="C495" s="1" t="n">
        <v>45932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väst AB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7375-2025</t>
        </is>
      </c>
      <c r="B496" s="1" t="n">
        <v>45705.29239583333</v>
      </c>
      <c r="C496" s="1" t="n">
        <v>45932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41527-2025</t>
        </is>
      </c>
      <c r="B497" s="1" t="n">
        <v>45901.55429398148</v>
      </c>
      <c r="C497" s="1" t="n">
        <v>45932</v>
      </c>
      <c r="D497" t="inlineStr">
        <is>
          <t>UPPSALA LÄN</t>
        </is>
      </c>
      <c r="E497" t="inlineStr">
        <is>
          <t>TIERP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41535-2025</t>
        </is>
      </c>
      <c r="B498" s="1" t="n">
        <v>45901.56009259259</v>
      </c>
      <c r="C498" s="1" t="n">
        <v>45932</v>
      </c>
      <c r="D498" t="inlineStr">
        <is>
          <t>UPPSALA LÄN</t>
        </is>
      </c>
      <c r="E498" t="inlineStr">
        <is>
          <t>TIERP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41497-2025</t>
        </is>
      </c>
      <c r="B499" s="1" t="n">
        <v>45901.49728009259</v>
      </c>
      <c r="C499" s="1" t="n">
        <v>45932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41223-2023</t>
        </is>
      </c>
      <c r="B500" s="1" t="n">
        <v>45174</v>
      </c>
      <c r="C500" s="1" t="n">
        <v>45932</v>
      </c>
      <c r="D500" t="inlineStr">
        <is>
          <t>UPPSALA LÄN</t>
        </is>
      </c>
      <c r="E500" t="inlineStr">
        <is>
          <t>TIERP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41520-2025</t>
        </is>
      </c>
      <c r="B501" s="1" t="n">
        <v>45901.54918981482</v>
      </c>
      <c r="C501" s="1" t="n">
        <v>45932</v>
      </c>
      <c r="D501" t="inlineStr">
        <is>
          <t>UPPSALA LÄN</t>
        </is>
      </c>
      <c r="E501" t="inlineStr">
        <is>
          <t>TIERP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41517-2025</t>
        </is>
      </c>
      <c r="B502" s="1" t="n">
        <v>45901.54505787037</v>
      </c>
      <c r="C502" s="1" t="n">
        <v>45932</v>
      </c>
      <c r="D502" t="inlineStr">
        <is>
          <t>UPPSALA LÄN</t>
        </is>
      </c>
      <c r="E502" t="inlineStr">
        <is>
          <t>TIERP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41531-2025</t>
        </is>
      </c>
      <c r="B503" s="1" t="n">
        <v>45901.55740740741</v>
      </c>
      <c r="C503" s="1" t="n">
        <v>45932</v>
      </c>
      <c r="D503" t="inlineStr">
        <is>
          <t>UPPSALA LÄN</t>
        </is>
      </c>
      <c r="E503" t="inlineStr">
        <is>
          <t>TIERP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41537-2025</t>
        </is>
      </c>
      <c r="B504" s="1" t="n">
        <v>45901.56194444445</v>
      </c>
      <c r="C504" s="1" t="n">
        <v>45932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45146-2021</t>
        </is>
      </c>
      <c r="B505" s="1" t="n">
        <v>44439.46604166667</v>
      </c>
      <c r="C505" s="1" t="n">
        <v>45932</v>
      </c>
      <c r="D505" t="inlineStr">
        <is>
          <t>UPPSALA LÄN</t>
        </is>
      </c>
      <c r="E505" t="inlineStr">
        <is>
          <t>TIERP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20180-2025</t>
        </is>
      </c>
      <c r="B506" s="1" t="n">
        <v>45772.58797453704</v>
      </c>
      <c r="C506" s="1" t="n">
        <v>45932</v>
      </c>
      <c r="D506" t="inlineStr">
        <is>
          <t>UPPSALA LÄN</t>
        </is>
      </c>
      <c r="E506" t="inlineStr">
        <is>
          <t>TIERP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17575-2025</t>
        </is>
      </c>
      <c r="B507" s="1" t="n">
        <v>45757.65234953703</v>
      </c>
      <c r="C507" s="1" t="n">
        <v>45932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41490-2025</t>
        </is>
      </c>
      <c r="B508" s="1" t="n">
        <v>45901.48795138889</v>
      </c>
      <c r="C508" s="1" t="n">
        <v>45932</v>
      </c>
      <c r="D508" t="inlineStr">
        <is>
          <t>UPPSALA LÄN</t>
        </is>
      </c>
      <c r="E508" t="inlineStr">
        <is>
          <t>TIERP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9238-2023</t>
        </is>
      </c>
      <c r="B509" s="1" t="n">
        <v>44980</v>
      </c>
      <c r="C509" s="1" t="n">
        <v>45932</v>
      </c>
      <c r="D509" t="inlineStr">
        <is>
          <t>UPPSALA LÄN</t>
        </is>
      </c>
      <c r="E509" t="inlineStr">
        <is>
          <t>TIERP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41268-2025</t>
        </is>
      </c>
      <c r="B510" s="1" t="n">
        <v>45898.61831018519</v>
      </c>
      <c r="C510" s="1" t="n">
        <v>45932</v>
      </c>
      <c r="D510" t="inlineStr">
        <is>
          <t>UPPSALA LÄN</t>
        </is>
      </c>
      <c r="E510" t="inlineStr">
        <is>
          <t>TIERP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59267-2024</t>
        </is>
      </c>
      <c r="B511" s="1" t="n">
        <v>45637</v>
      </c>
      <c r="C511" s="1" t="n">
        <v>45932</v>
      </c>
      <c r="D511" t="inlineStr">
        <is>
          <t>UPPSALA LÄN</t>
        </is>
      </c>
      <c r="E511" t="inlineStr">
        <is>
          <t>TIERP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46842-2025</t>
        </is>
      </c>
      <c r="B512" s="1" t="n">
        <v>45928.59989583334</v>
      </c>
      <c r="C512" s="1" t="n">
        <v>45932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46843-2025</t>
        </is>
      </c>
      <c r="B513" s="1" t="n">
        <v>45928.60292824074</v>
      </c>
      <c r="C513" s="1" t="n">
        <v>45932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41698-2025</t>
        </is>
      </c>
      <c r="B514" s="1" t="n">
        <v>45902.40758101852</v>
      </c>
      <c r="C514" s="1" t="n">
        <v>45932</v>
      </c>
      <c r="D514" t="inlineStr">
        <is>
          <t>UPPSALA LÄN</t>
        </is>
      </c>
      <c r="E514" t="inlineStr">
        <is>
          <t>TIERP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41699-2025</t>
        </is>
      </c>
      <c r="B515" s="1" t="n">
        <v>45902.40875</v>
      </c>
      <c r="C515" s="1" t="n">
        <v>45932</v>
      </c>
      <c r="D515" t="inlineStr">
        <is>
          <t>UPPSALA LÄN</t>
        </is>
      </c>
      <c r="E515" t="inlineStr">
        <is>
          <t>TIERP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33797-2023</t>
        </is>
      </c>
      <c r="B516" s="1" t="n">
        <v>45133</v>
      </c>
      <c r="C516" s="1" t="n">
        <v>45932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HYPERLINK("https://klasma.github.io/Logging_0360/knärot/A 33797-2023 karta knärot.png", "A 33797-2023")</f>
        <v/>
      </c>
      <c r="V516">
        <f>HYPERLINK("https://klasma.github.io/Logging_0360/klagomål/A 33797-2023 FSC-klagomål.docx", "A 33797-2023")</f>
        <v/>
      </c>
      <c r="W516">
        <f>HYPERLINK("https://klasma.github.io/Logging_0360/klagomålsmail/A 33797-2023 FSC-klagomål mail.docx", "A 33797-2023")</f>
        <v/>
      </c>
      <c r="X516">
        <f>HYPERLINK("https://klasma.github.io/Logging_0360/tillsyn/A 33797-2023 tillsynsbegäran.docx", "A 33797-2023")</f>
        <v/>
      </c>
      <c r="Y516">
        <f>HYPERLINK("https://klasma.github.io/Logging_0360/tillsynsmail/A 33797-2023 tillsynsbegäran mail.docx", "A 33797-2023")</f>
        <v/>
      </c>
    </row>
    <row r="517" ht="15" customHeight="1">
      <c r="A517" t="inlineStr">
        <is>
          <t>A 46844-2025</t>
        </is>
      </c>
      <c r="B517" s="1" t="n">
        <v>45928.60719907407</v>
      </c>
      <c r="C517" s="1" t="n">
        <v>45932</v>
      </c>
      <c r="D517" t="inlineStr">
        <is>
          <t>UPPSALA LÄN</t>
        </is>
      </c>
      <c r="E517" t="inlineStr">
        <is>
          <t>TIERP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22135-2025</t>
        </is>
      </c>
      <c r="B518" s="1" t="n">
        <v>45785.54427083334</v>
      </c>
      <c r="C518" s="1" t="n">
        <v>45932</v>
      </c>
      <c r="D518" t="inlineStr">
        <is>
          <t>UPPSALA LÄN</t>
        </is>
      </c>
      <c r="E518" t="inlineStr">
        <is>
          <t>TIERP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9432-2023</t>
        </is>
      </c>
      <c r="B519" s="1" t="n">
        <v>44981.51266203704</v>
      </c>
      <c r="C519" s="1" t="n">
        <v>45932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38831-2025</t>
        </is>
      </c>
      <c r="B520" s="1" t="n">
        <v>45887.52802083334</v>
      </c>
      <c r="C520" s="1" t="n">
        <v>45932</v>
      </c>
      <c r="D520" t="inlineStr">
        <is>
          <t>UPPSALA LÄN</t>
        </is>
      </c>
      <c r="E520" t="inlineStr">
        <is>
          <t>TIERP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34648-2021</t>
        </is>
      </c>
      <c r="B521" s="1" t="n">
        <v>44382</v>
      </c>
      <c r="C521" s="1" t="n">
        <v>45932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61677-2023</t>
        </is>
      </c>
      <c r="B522" s="1" t="n">
        <v>45265.62744212963</v>
      </c>
      <c r="C522" s="1" t="n">
        <v>45932</v>
      </c>
      <c r="D522" t="inlineStr">
        <is>
          <t>UPPSALA LÄN</t>
        </is>
      </c>
      <c r="E522" t="inlineStr">
        <is>
          <t>TIERP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41719-2025</t>
        </is>
      </c>
      <c r="B523" s="1" t="n">
        <v>45902.44439814815</v>
      </c>
      <c r="C523" s="1" t="n">
        <v>45932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42102-2025</t>
        </is>
      </c>
      <c r="B524" s="1" t="n">
        <v>45903.81962962963</v>
      </c>
      <c r="C524" s="1" t="n">
        <v>45932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35921-2025</t>
        </is>
      </c>
      <c r="B525" s="1" t="n">
        <v>45862.56547453703</v>
      </c>
      <c r="C525" s="1" t="n">
        <v>45932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35119-2025</t>
        </is>
      </c>
      <c r="B526" s="1" t="n">
        <v>45852.60275462963</v>
      </c>
      <c r="C526" s="1" t="n">
        <v>45932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11932-2021</t>
        </is>
      </c>
      <c r="B527" s="1" t="n">
        <v>44266.35443287037</v>
      </c>
      <c r="C527" s="1" t="n">
        <v>45932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7591-2023</t>
        </is>
      </c>
      <c r="B528" s="1" t="n">
        <v>44972.43747685185</v>
      </c>
      <c r="C528" s="1" t="n">
        <v>45932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18130-2022</t>
        </is>
      </c>
      <c r="B529" s="1" t="n">
        <v>44684.56060185185</v>
      </c>
      <c r="C529" s="1" t="n">
        <v>45932</v>
      </c>
      <c r="D529" t="inlineStr">
        <is>
          <t>UPPSALA LÄN</t>
        </is>
      </c>
      <c r="E529" t="inlineStr">
        <is>
          <t>TIERP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35911-2025</t>
        </is>
      </c>
      <c r="B530" s="1" t="n">
        <v>45862.52585648148</v>
      </c>
      <c r="C530" s="1" t="n">
        <v>45932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35913-2025</t>
        </is>
      </c>
      <c r="B531" s="1" t="n">
        <v>45862.53918981482</v>
      </c>
      <c r="C531" s="1" t="n">
        <v>45932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30509-2024</t>
        </is>
      </c>
      <c r="B532" s="1" t="n">
        <v>45492.45841435185</v>
      </c>
      <c r="C532" s="1" t="n">
        <v>45932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20846-2024</t>
        </is>
      </c>
      <c r="B533" s="1" t="n">
        <v>45439</v>
      </c>
      <c r="C533" s="1" t="n">
        <v>45932</v>
      </c>
      <c r="D533" t="inlineStr">
        <is>
          <t>UPPSALA LÄN</t>
        </is>
      </c>
      <c r="E533" t="inlineStr">
        <is>
          <t>TIERP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11572-2025</t>
        </is>
      </c>
      <c r="B534" s="1" t="n">
        <v>45727.38053240741</v>
      </c>
      <c r="C534" s="1" t="n">
        <v>45932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40624-2023</t>
        </is>
      </c>
      <c r="B535" s="1" t="n">
        <v>45170.52974537037</v>
      </c>
      <c r="C535" s="1" t="n">
        <v>45932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50227-2024</t>
        </is>
      </c>
      <c r="B536" s="1" t="n">
        <v>45600.54467592593</v>
      </c>
      <c r="C536" s="1" t="n">
        <v>45932</v>
      </c>
      <c r="D536" t="inlineStr">
        <is>
          <t>UPPSALA LÄN</t>
        </is>
      </c>
      <c r="E536" t="inlineStr">
        <is>
          <t>TIERP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42695-2025</t>
        </is>
      </c>
      <c r="B537" s="1" t="n">
        <v>45908.36148148148</v>
      </c>
      <c r="C537" s="1" t="n">
        <v>45932</v>
      </c>
      <c r="D537" t="inlineStr">
        <is>
          <t>UPPSALA LÄN</t>
        </is>
      </c>
      <c r="E537" t="inlineStr">
        <is>
          <t>TIERP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18516-2025</t>
        </is>
      </c>
      <c r="B538" s="1" t="n">
        <v>45763.38787037037</v>
      </c>
      <c r="C538" s="1" t="n">
        <v>45932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36027-2025</t>
        </is>
      </c>
      <c r="B539" s="1" t="n">
        <v>45864.63327546296</v>
      </c>
      <c r="C539" s="1" t="n">
        <v>45932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42838-2025</t>
        </is>
      </c>
      <c r="B540" s="1" t="n">
        <v>45908.58109953703</v>
      </c>
      <c r="C540" s="1" t="n">
        <v>45932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42688-2025</t>
        </is>
      </c>
      <c r="B541" s="1" t="n">
        <v>45908.35633101852</v>
      </c>
      <c r="C541" s="1" t="n">
        <v>45932</v>
      </c>
      <c r="D541" t="inlineStr">
        <is>
          <t>UPPSALA LÄN</t>
        </is>
      </c>
      <c r="E541" t="inlineStr">
        <is>
          <t>TIERP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36030-2025</t>
        </is>
      </c>
      <c r="B542" s="1" t="n">
        <v>45865.44140046297</v>
      </c>
      <c r="C542" s="1" t="n">
        <v>45932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36029-2025</t>
        </is>
      </c>
      <c r="B543" s="1" t="n">
        <v>45865.4359837963</v>
      </c>
      <c r="C543" s="1" t="n">
        <v>45932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36189-2025</t>
        </is>
      </c>
      <c r="B544" s="1" t="n">
        <v>45867.42266203704</v>
      </c>
      <c r="C544" s="1" t="n">
        <v>45932</v>
      </c>
      <c r="D544" t="inlineStr">
        <is>
          <t>UPPSALA LÄN</t>
        </is>
      </c>
      <c r="E544" t="inlineStr">
        <is>
          <t>TIERP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39044-2025</t>
        </is>
      </c>
      <c r="B545" s="1" t="n">
        <v>45888.43912037037</v>
      </c>
      <c r="C545" s="1" t="n">
        <v>45932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25363-2022</t>
        </is>
      </c>
      <c r="B546" s="1" t="n">
        <v>44732.35172453704</v>
      </c>
      <c r="C546" s="1" t="n">
        <v>45932</v>
      </c>
      <c r="D546" t="inlineStr">
        <is>
          <t>UPPSALA LÄN</t>
        </is>
      </c>
      <c r="E546" t="inlineStr">
        <is>
          <t>TIERP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36195-2025</t>
        </is>
      </c>
      <c r="B547" s="1" t="n">
        <v>45867.43064814815</v>
      </c>
      <c r="C547" s="1" t="n">
        <v>45932</v>
      </c>
      <c r="D547" t="inlineStr">
        <is>
          <t>UPPSALA LÄN</t>
        </is>
      </c>
      <c r="E547" t="inlineStr">
        <is>
          <t>TIERP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39383-2025</t>
        </is>
      </c>
      <c r="B548" s="1" t="n">
        <v>45889.61184027778</v>
      </c>
      <c r="C548" s="1" t="n">
        <v>45932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47584-2025</t>
        </is>
      </c>
      <c r="B549" s="1" t="n">
        <v>45931.43355324074</v>
      </c>
      <c r="C549" s="1" t="n">
        <v>45932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43525-2025</t>
        </is>
      </c>
      <c r="B550" s="1" t="n">
        <v>45911.58546296296</v>
      </c>
      <c r="C550" s="1" t="n">
        <v>45932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39380-2025</t>
        </is>
      </c>
      <c r="B551" s="1" t="n">
        <v>45889.60385416666</v>
      </c>
      <c r="C551" s="1" t="n">
        <v>45932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39092-2025</t>
        </is>
      </c>
      <c r="B552" s="1" t="n">
        <v>45888.49290509259</v>
      </c>
      <c r="C552" s="1" t="n">
        <v>45932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43378-2025</t>
        </is>
      </c>
      <c r="B553" s="1" t="n">
        <v>45911.35693287037</v>
      </c>
      <c r="C553" s="1" t="n">
        <v>45932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36423-2025</t>
        </is>
      </c>
      <c r="B554" s="1" t="n">
        <v>45868.85131944445</v>
      </c>
      <c r="C554" s="1" t="n">
        <v>45932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47968-2023</t>
        </is>
      </c>
      <c r="B555" s="1" t="n">
        <v>45204</v>
      </c>
      <c r="C555" s="1" t="n">
        <v>45932</v>
      </c>
      <c r="D555" t="inlineStr">
        <is>
          <t>UPPSALA LÄN</t>
        </is>
      </c>
      <c r="E555" t="inlineStr">
        <is>
          <t>TIERP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6071-2023</t>
        </is>
      </c>
      <c r="B556" s="1" t="n">
        <v>44964.51579861111</v>
      </c>
      <c r="C556" s="1" t="n">
        <v>45932</v>
      </c>
      <c r="D556" t="inlineStr">
        <is>
          <t>UPPSALA LÄN</t>
        </is>
      </c>
      <c r="E556" t="inlineStr">
        <is>
          <t>TIERP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30110-2024</t>
        </is>
      </c>
      <c r="B557" s="1" t="n">
        <v>45489</v>
      </c>
      <c r="C557" s="1" t="n">
        <v>45932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18378-2025</t>
        </is>
      </c>
      <c r="B558" s="1" t="n">
        <v>45762.57510416667</v>
      </c>
      <c r="C558" s="1" t="n">
        <v>45932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17150-2025</t>
        </is>
      </c>
      <c r="B559" s="1" t="n">
        <v>45756.32243055556</v>
      </c>
      <c r="C559" s="1" t="n">
        <v>45932</v>
      </c>
      <c r="D559" t="inlineStr">
        <is>
          <t>UPPSALA LÄN</t>
        </is>
      </c>
      <c r="E559" t="inlineStr">
        <is>
          <t>TIERP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16851-2025</t>
        </is>
      </c>
      <c r="B560" s="1" t="n">
        <v>45754.71314814815</v>
      </c>
      <c r="C560" s="1" t="n">
        <v>45932</v>
      </c>
      <c r="D560" t="inlineStr">
        <is>
          <t>UPPSALA LÄN</t>
        </is>
      </c>
      <c r="E560" t="inlineStr">
        <is>
          <t>TIERP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17412-2025</t>
        </is>
      </c>
      <c r="B561" s="1" t="n">
        <v>45757.37369212963</v>
      </c>
      <c r="C561" s="1" t="n">
        <v>45932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43220-2025</t>
        </is>
      </c>
      <c r="B562" s="1" t="n">
        <v>45910.47623842592</v>
      </c>
      <c r="C562" s="1" t="n">
        <v>45932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43260-2025</t>
        </is>
      </c>
      <c r="B563" s="1" t="n">
        <v>45910.56313657408</v>
      </c>
      <c r="C563" s="1" t="n">
        <v>45932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36307-2025</t>
        </is>
      </c>
      <c r="B564" s="1" t="n">
        <v>45868.29372685185</v>
      </c>
      <c r="C564" s="1" t="n">
        <v>45932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48735-2023</t>
        </is>
      </c>
      <c r="B565" s="1" t="n">
        <v>45203</v>
      </c>
      <c r="C565" s="1" t="n">
        <v>45932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42105-2025</t>
        </is>
      </c>
      <c r="B566" s="1" t="n">
        <v>45903</v>
      </c>
      <c r="C566" s="1" t="n">
        <v>45932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15587-2021</t>
        </is>
      </c>
      <c r="B567" s="1" t="n">
        <v>44285.6565162037</v>
      </c>
      <c r="C567" s="1" t="n">
        <v>45932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9664-2023</t>
        </is>
      </c>
      <c r="B568" s="1" t="n">
        <v>44984</v>
      </c>
      <c r="C568" s="1" t="n">
        <v>45932</v>
      </c>
      <c r="D568" t="inlineStr">
        <is>
          <t>UPPSALA LÄN</t>
        </is>
      </c>
      <c r="E568" t="inlineStr">
        <is>
          <t>TIERP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36419-2025</t>
        </is>
      </c>
      <c r="B569" s="1" t="n">
        <v>45868.83431712963</v>
      </c>
      <c r="C569" s="1" t="n">
        <v>45932</v>
      </c>
      <c r="D569" t="inlineStr">
        <is>
          <t>UPPSALA LÄN</t>
        </is>
      </c>
      <c r="E569" t="inlineStr">
        <is>
          <t>TIERP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36422-2025</t>
        </is>
      </c>
      <c r="B570" s="1" t="n">
        <v>45868.85018518518</v>
      </c>
      <c r="C570" s="1" t="n">
        <v>45932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36420-2025</t>
        </is>
      </c>
      <c r="B571" s="1" t="n">
        <v>45868.83913194444</v>
      </c>
      <c r="C571" s="1" t="n">
        <v>45932</v>
      </c>
      <c r="D571" t="inlineStr">
        <is>
          <t>UPPSALA LÄN</t>
        </is>
      </c>
      <c r="E571" t="inlineStr">
        <is>
          <t>TIERP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36421-2025</t>
        </is>
      </c>
      <c r="B572" s="1" t="n">
        <v>45868.84859953704</v>
      </c>
      <c r="C572" s="1" t="n">
        <v>45932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23154-2023</t>
        </is>
      </c>
      <c r="B573" s="1" t="n">
        <v>45075</v>
      </c>
      <c r="C573" s="1" t="n">
        <v>45932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43224-2025</t>
        </is>
      </c>
      <c r="B574" s="1" t="n">
        <v>45910.48737268519</v>
      </c>
      <c r="C574" s="1" t="n">
        <v>45932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20496-2023</t>
        </is>
      </c>
      <c r="B575" s="1" t="n">
        <v>45057.42894675926</v>
      </c>
      <c r="C575" s="1" t="n">
        <v>45932</v>
      </c>
      <c r="D575" t="inlineStr">
        <is>
          <t>UPPSALA LÄN</t>
        </is>
      </c>
      <c r="E575" t="inlineStr">
        <is>
          <t>TIERP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43858-2025</t>
        </is>
      </c>
      <c r="B576" s="1" t="n">
        <v>45912.64945601852</v>
      </c>
      <c r="C576" s="1" t="n">
        <v>45932</v>
      </c>
      <c r="D576" t="inlineStr">
        <is>
          <t>UPPSALA LÄN</t>
        </is>
      </c>
      <c r="E576" t="inlineStr">
        <is>
          <t>TIERP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43871-2025</t>
        </is>
      </c>
      <c r="B577" s="1" t="n">
        <v>45912.66787037037</v>
      </c>
      <c r="C577" s="1" t="n">
        <v>45932</v>
      </c>
      <c r="D577" t="inlineStr">
        <is>
          <t>UPPSALA LÄN</t>
        </is>
      </c>
      <c r="E577" t="inlineStr">
        <is>
          <t>TIERP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43873-2025</t>
        </is>
      </c>
      <c r="B578" s="1" t="n">
        <v>45912.67254629629</v>
      </c>
      <c r="C578" s="1" t="n">
        <v>45932</v>
      </c>
      <c r="D578" t="inlineStr">
        <is>
          <t>UPPSALA LÄN</t>
        </is>
      </c>
      <c r="E578" t="inlineStr">
        <is>
          <t>TIERP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58772-2024</t>
        </is>
      </c>
      <c r="B579" s="1" t="n">
        <v>45635</v>
      </c>
      <c r="C579" s="1" t="n">
        <v>45932</v>
      </c>
      <c r="D579" t="inlineStr">
        <is>
          <t>UPPSALA LÄN</t>
        </is>
      </c>
      <c r="E579" t="inlineStr">
        <is>
          <t>TIERP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31149-2025</t>
        </is>
      </c>
      <c r="B580" s="1" t="n">
        <v>45832.64122685185</v>
      </c>
      <c r="C580" s="1" t="n">
        <v>45932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35122-2025</t>
        </is>
      </c>
      <c r="B581" s="1" t="n">
        <v>45852.61168981482</v>
      </c>
      <c r="C581" s="1" t="n">
        <v>45932</v>
      </c>
      <c r="D581" t="inlineStr">
        <is>
          <t>UPPSALA LÄN</t>
        </is>
      </c>
      <c r="E581" t="inlineStr">
        <is>
          <t>TIERP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43874-2025</t>
        </is>
      </c>
      <c r="B582" s="1" t="n">
        <v>45912.67517361111</v>
      </c>
      <c r="C582" s="1" t="n">
        <v>45932</v>
      </c>
      <c r="D582" t="inlineStr">
        <is>
          <t>UPPSALA LÄN</t>
        </is>
      </c>
      <c r="E582" t="inlineStr">
        <is>
          <t>TIERP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23468-2025</t>
        </is>
      </c>
      <c r="B583" s="1" t="n">
        <v>45792.43809027778</v>
      </c>
      <c r="C583" s="1" t="n">
        <v>45932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2838-2025</t>
        </is>
      </c>
      <c r="B584" s="1" t="n">
        <v>45677.64354166666</v>
      </c>
      <c r="C584" s="1" t="n">
        <v>45932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2454-2024</t>
        </is>
      </c>
      <c r="B585" s="1" t="n">
        <v>45312</v>
      </c>
      <c r="C585" s="1" t="n">
        <v>45932</v>
      </c>
      <c r="D585" t="inlineStr">
        <is>
          <t>UPPSALA LÄN</t>
        </is>
      </c>
      <c r="E585" t="inlineStr">
        <is>
          <t>TIERP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13214-2025</t>
        </is>
      </c>
      <c r="B586" s="1" t="n">
        <v>45735.44649305556</v>
      </c>
      <c r="C586" s="1" t="n">
        <v>45932</v>
      </c>
      <c r="D586" t="inlineStr">
        <is>
          <t>UPPSALA LÄN</t>
        </is>
      </c>
      <c r="E586" t="inlineStr">
        <is>
          <t>TIERP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5995-2023</t>
        </is>
      </c>
      <c r="B587" s="1" t="n">
        <v>44964</v>
      </c>
      <c r="C587" s="1" t="n">
        <v>45932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1056-2025</t>
        </is>
      </c>
      <c r="B588" s="1" t="n">
        <v>45666</v>
      </c>
      <c r="C588" s="1" t="n">
        <v>45932</v>
      </c>
      <c r="D588" t="inlineStr">
        <is>
          <t>UPPSALA LÄN</t>
        </is>
      </c>
      <c r="E588" t="inlineStr">
        <is>
          <t>TIERP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6049-2023</t>
        </is>
      </c>
      <c r="B589" s="1" t="n">
        <v>44964</v>
      </c>
      <c r="C589" s="1" t="n">
        <v>45932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59923-2023</t>
        </is>
      </c>
      <c r="B590" s="1" t="n">
        <v>45257.65261574074</v>
      </c>
      <c r="C590" s="1" t="n">
        <v>45932</v>
      </c>
      <c r="D590" t="inlineStr">
        <is>
          <t>UPPSALA LÄN</t>
        </is>
      </c>
      <c r="E590" t="inlineStr">
        <is>
          <t>TIERP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22529-2025</t>
        </is>
      </c>
      <c r="B591" s="1" t="n">
        <v>45786</v>
      </c>
      <c r="C591" s="1" t="n">
        <v>45932</v>
      </c>
      <c r="D591" t="inlineStr">
        <is>
          <t>UPPSALA LÄN</t>
        </is>
      </c>
      <c r="E591" t="inlineStr">
        <is>
          <t>TIERP</t>
        </is>
      </c>
      <c r="F591" t="inlineStr">
        <is>
          <t>Övriga Aktiebolag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34014-2025</t>
        </is>
      </c>
      <c r="B592" s="1" t="n">
        <v>45845.30168981481</v>
      </c>
      <c r="C592" s="1" t="n">
        <v>45932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36069-2021</t>
        </is>
      </c>
      <c r="B593" s="1" t="n">
        <v>44389</v>
      </c>
      <c r="C593" s="1" t="n">
        <v>45932</v>
      </c>
      <c r="D593" t="inlineStr">
        <is>
          <t>UPPSALA LÄN</t>
        </is>
      </c>
      <c r="E593" t="inlineStr">
        <is>
          <t>TIERP</t>
        </is>
      </c>
      <c r="F593" t="inlineStr">
        <is>
          <t>Övriga Aktiebolag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57402-2024</t>
        </is>
      </c>
      <c r="B594" s="1" t="n">
        <v>45629</v>
      </c>
      <c r="C594" s="1" t="n">
        <v>45932</v>
      </c>
      <c r="D594" t="inlineStr">
        <is>
          <t>UPPSALA LÄN</t>
        </is>
      </c>
      <c r="E594" t="inlineStr">
        <is>
          <t>TIERP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44659-2025</t>
        </is>
      </c>
      <c r="B595" s="1" t="n">
        <v>45917.55430555555</v>
      </c>
      <c r="C595" s="1" t="n">
        <v>45932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12.2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60989-2023</t>
        </is>
      </c>
      <c r="B596" s="1" t="n">
        <v>45259</v>
      </c>
      <c r="C596" s="1" t="n">
        <v>45932</v>
      </c>
      <c r="D596" t="inlineStr">
        <is>
          <t>UPPSALA LÄN</t>
        </is>
      </c>
      <c r="E596" t="inlineStr">
        <is>
          <t>TIERP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5126-2024</t>
        </is>
      </c>
      <c r="B597" s="1" t="n">
        <v>45330.44269675926</v>
      </c>
      <c r="C597" s="1" t="n">
        <v>45932</v>
      </c>
      <c r="D597" t="inlineStr">
        <is>
          <t>UPPSALA LÄN</t>
        </is>
      </c>
      <c r="E597" t="inlineStr">
        <is>
          <t>TIERP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44612-2025</t>
        </is>
      </c>
      <c r="B598" s="1" t="n">
        <v>45917.45171296296</v>
      </c>
      <c r="C598" s="1" t="n">
        <v>45932</v>
      </c>
      <c r="D598" t="inlineStr">
        <is>
          <t>UPPSALA LÄN</t>
        </is>
      </c>
      <c r="E598" t="inlineStr">
        <is>
          <t>TIERP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3503-2024</t>
        </is>
      </c>
      <c r="B599" s="1" t="n">
        <v>45320</v>
      </c>
      <c r="C599" s="1" t="n">
        <v>45932</v>
      </c>
      <c r="D599" t="inlineStr">
        <is>
          <t>UPPSALA LÄN</t>
        </is>
      </c>
      <c r="E599" t="inlineStr">
        <is>
          <t>TIERP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42106-2025</t>
        </is>
      </c>
      <c r="B600" s="1" t="n">
        <v>45903</v>
      </c>
      <c r="C600" s="1" t="n">
        <v>45932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35196-2025</t>
        </is>
      </c>
      <c r="B601" s="1" t="n">
        <v>45853</v>
      </c>
      <c r="C601" s="1" t="n">
        <v>45932</v>
      </c>
      <c r="D601" t="inlineStr">
        <is>
          <t>UPPSALA LÄN</t>
        </is>
      </c>
      <c r="E601" t="inlineStr">
        <is>
          <t>TIERP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34838-2024</t>
        </is>
      </c>
      <c r="B602" s="1" t="n">
        <v>45526</v>
      </c>
      <c r="C602" s="1" t="n">
        <v>45932</v>
      </c>
      <c r="D602" t="inlineStr">
        <is>
          <t>UPPSALA LÄN</t>
        </is>
      </c>
      <c r="E602" t="inlineStr">
        <is>
          <t>TIERP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44675-2025</t>
        </is>
      </c>
      <c r="B603" s="1" t="n">
        <v>45917.56850694444</v>
      </c>
      <c r="C603" s="1" t="n">
        <v>45932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54764-2022</t>
        </is>
      </c>
      <c r="B604" s="1" t="n">
        <v>44883</v>
      </c>
      <c r="C604" s="1" t="n">
        <v>45932</v>
      </c>
      <c r="D604" t="inlineStr">
        <is>
          <t>UPPSALA LÄN</t>
        </is>
      </c>
      <c r="E604" t="inlineStr">
        <is>
          <t>TIERP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39928-2023</t>
        </is>
      </c>
      <c r="B605" s="1" t="n">
        <v>45167</v>
      </c>
      <c r="C605" s="1" t="n">
        <v>45932</v>
      </c>
      <c r="D605" t="inlineStr">
        <is>
          <t>UPPSALA LÄN</t>
        </is>
      </c>
      <c r="E605" t="inlineStr">
        <is>
          <t>TIERP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18544-2025</t>
        </is>
      </c>
      <c r="B606" s="1" t="n">
        <v>45763.42081018518</v>
      </c>
      <c r="C606" s="1" t="n">
        <v>45932</v>
      </c>
      <c r="D606" t="inlineStr">
        <is>
          <t>UPPSALA LÄN</t>
        </is>
      </c>
      <c r="E606" t="inlineStr">
        <is>
          <t>TIERP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55780-2024</t>
        </is>
      </c>
      <c r="B607" s="1" t="n">
        <v>45623.41342592592</v>
      </c>
      <c r="C607" s="1" t="n">
        <v>45932</v>
      </c>
      <c r="D607" t="inlineStr">
        <is>
          <t>UPPSALA LÄN</t>
        </is>
      </c>
      <c r="E607" t="inlineStr">
        <is>
          <t>TIERP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55816-2024</t>
        </is>
      </c>
      <c r="B608" s="1" t="n">
        <v>45623.47248842593</v>
      </c>
      <c r="C608" s="1" t="n">
        <v>45932</v>
      </c>
      <c r="D608" t="inlineStr">
        <is>
          <t>UPPSALA LÄN</t>
        </is>
      </c>
      <c r="E608" t="inlineStr">
        <is>
          <t>TIERP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61717-2022</t>
        </is>
      </c>
      <c r="B609" s="1" t="n">
        <v>44917</v>
      </c>
      <c r="C609" s="1" t="n">
        <v>45932</v>
      </c>
      <c r="D609" t="inlineStr">
        <is>
          <t>UPPSALA LÄN</t>
        </is>
      </c>
      <c r="E609" t="inlineStr">
        <is>
          <t>TIERP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43121-2025</t>
        </is>
      </c>
      <c r="B610" s="1" t="n">
        <v>45909</v>
      </c>
      <c r="C610" s="1" t="n">
        <v>45932</v>
      </c>
      <c r="D610" t="inlineStr">
        <is>
          <t>UPPSALA LÄN</t>
        </is>
      </c>
      <c r="E610" t="inlineStr">
        <is>
          <t>TIERP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30125-2024</t>
        </is>
      </c>
      <c r="B611" s="1" t="n">
        <v>45489</v>
      </c>
      <c r="C611" s="1" t="n">
        <v>45932</v>
      </c>
      <c r="D611" t="inlineStr">
        <is>
          <t>UPPSALA LÄN</t>
        </is>
      </c>
      <c r="E611" t="inlineStr">
        <is>
          <t>TIERP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36561-2022</t>
        </is>
      </c>
      <c r="B612" s="1" t="n">
        <v>44804</v>
      </c>
      <c r="C612" s="1" t="n">
        <v>45932</v>
      </c>
      <c r="D612" t="inlineStr">
        <is>
          <t>UPPSALA LÄN</t>
        </is>
      </c>
      <c r="E612" t="inlineStr">
        <is>
          <t>TIERP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408-2024</t>
        </is>
      </c>
      <c r="B613" s="1" t="n">
        <v>45296</v>
      </c>
      <c r="C613" s="1" t="n">
        <v>45932</v>
      </c>
      <c r="D613" t="inlineStr">
        <is>
          <t>UPPSALA LÄN</t>
        </is>
      </c>
      <c r="E613" t="inlineStr">
        <is>
          <t>TIERP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19172-2023</t>
        </is>
      </c>
      <c r="B614" s="1" t="n">
        <v>45046</v>
      </c>
      <c r="C614" s="1" t="n">
        <v>45932</v>
      </c>
      <c r="D614" t="inlineStr">
        <is>
          <t>UPPSALA LÄN</t>
        </is>
      </c>
      <c r="E614" t="inlineStr">
        <is>
          <t>TIERP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14116-2024</t>
        </is>
      </c>
      <c r="B615" s="1" t="n">
        <v>45392.64703703704</v>
      </c>
      <c r="C615" s="1" t="n">
        <v>45932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45310-2025</t>
        </is>
      </c>
      <c r="B616" s="1" t="n">
        <v>45921.71658564815</v>
      </c>
      <c r="C616" s="1" t="n">
        <v>45932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45309-2025</t>
        </is>
      </c>
      <c r="B617" s="1" t="n">
        <v>45921.71451388889</v>
      </c>
      <c r="C617" s="1" t="n">
        <v>45932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45328-2025</t>
        </is>
      </c>
      <c r="B618" s="1" t="n">
        <v>45922.33063657407</v>
      </c>
      <c r="C618" s="1" t="n">
        <v>45932</v>
      </c>
      <c r="D618" t="inlineStr">
        <is>
          <t>UPPSALA LÄN</t>
        </is>
      </c>
      <c r="E618" t="inlineStr">
        <is>
          <t>TIERP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45311-2025</t>
        </is>
      </c>
      <c r="B619" s="1" t="n">
        <v>45921.71875</v>
      </c>
      <c r="C619" s="1" t="n">
        <v>45932</v>
      </c>
      <c r="D619" t="inlineStr">
        <is>
          <t>UPPSALA LÄN</t>
        </is>
      </c>
      <c r="E619" t="inlineStr">
        <is>
          <t>TIERP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29115-2023</t>
        </is>
      </c>
      <c r="B620" s="1" t="n">
        <v>45105.39783564815</v>
      </c>
      <c r="C620" s="1" t="n">
        <v>45932</v>
      </c>
      <c r="D620" t="inlineStr">
        <is>
          <t>UPPSALA LÄN</t>
        </is>
      </c>
      <c r="E620" t="inlineStr">
        <is>
          <t>TIERP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22759-2024</t>
        </is>
      </c>
      <c r="B621" s="1" t="n">
        <v>45448</v>
      </c>
      <c r="C621" s="1" t="n">
        <v>45932</v>
      </c>
      <c r="D621" t="inlineStr">
        <is>
          <t>UPPSALA LÄN</t>
        </is>
      </c>
      <c r="E621" t="inlineStr">
        <is>
          <t>TIERP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11306-2025</t>
        </is>
      </c>
      <c r="B622" s="1" t="n">
        <v>45726.44540509259</v>
      </c>
      <c r="C622" s="1" t="n">
        <v>45932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45586-2025</t>
        </is>
      </c>
      <c r="B623" s="1" t="n">
        <v>45922.66908564815</v>
      </c>
      <c r="C623" s="1" t="n">
        <v>45932</v>
      </c>
      <c r="D623" t="inlineStr">
        <is>
          <t>UPPSALA LÄN</t>
        </is>
      </c>
      <c r="E623" t="inlineStr">
        <is>
          <t>TIERP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45449-2025</t>
        </is>
      </c>
      <c r="B624" s="1" t="n">
        <v>45922.48269675926</v>
      </c>
      <c r="C624" s="1" t="n">
        <v>45932</v>
      </c>
      <c r="D624" t="inlineStr">
        <is>
          <t>UPPSALA LÄN</t>
        </is>
      </c>
      <c r="E624" t="inlineStr">
        <is>
          <t>TIERP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18368-2025</t>
        </is>
      </c>
      <c r="B625" s="1" t="n">
        <v>45762.56429398148</v>
      </c>
      <c r="C625" s="1" t="n">
        <v>45932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45308-2025</t>
        </is>
      </c>
      <c r="B626" s="1" t="n">
        <v>45921.71239583333</v>
      </c>
      <c r="C626" s="1" t="n">
        <v>45932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18423-2025</t>
        </is>
      </c>
      <c r="B627" s="1" t="n">
        <v>45762.62068287037</v>
      </c>
      <c r="C627" s="1" t="n">
        <v>45932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1202-2025</t>
        </is>
      </c>
      <c r="B628" s="1" t="n">
        <v>45667</v>
      </c>
      <c r="C628" s="1" t="n">
        <v>45932</v>
      </c>
      <c r="D628" t="inlineStr">
        <is>
          <t>UPPSALA LÄN</t>
        </is>
      </c>
      <c r="E628" t="inlineStr">
        <is>
          <t>TIERP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11568-2025</t>
        </is>
      </c>
      <c r="B629" s="1" t="n">
        <v>45727.37728009259</v>
      </c>
      <c r="C629" s="1" t="n">
        <v>45932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21876-2025</t>
        </is>
      </c>
      <c r="B630" s="1" t="n">
        <v>45784.39814814815</v>
      </c>
      <c r="C630" s="1" t="n">
        <v>45932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51756-2023</t>
        </is>
      </c>
      <c r="B631" s="1" t="n">
        <v>45222.6916550926</v>
      </c>
      <c r="C631" s="1" t="n">
        <v>45932</v>
      </c>
      <c r="D631" t="inlineStr">
        <is>
          <t>UPPSALA LÄN</t>
        </is>
      </c>
      <c r="E631" t="inlineStr">
        <is>
          <t>TIERP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37884-2025</t>
        </is>
      </c>
      <c r="B632" s="1" t="n">
        <v>45881.5046412037</v>
      </c>
      <c r="C632" s="1" t="n">
        <v>45932</v>
      </c>
      <c r="D632" t="inlineStr">
        <is>
          <t>UPPSALA LÄN</t>
        </is>
      </c>
      <c r="E632" t="inlineStr">
        <is>
          <t>TIERP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46390-2025</t>
        </is>
      </c>
      <c r="B633" s="1" t="n">
        <v>45925.54199074074</v>
      </c>
      <c r="C633" s="1" t="n">
        <v>45932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26380-2023</t>
        </is>
      </c>
      <c r="B634" s="1" t="n">
        <v>45092</v>
      </c>
      <c r="C634" s="1" t="n">
        <v>45932</v>
      </c>
      <c r="D634" t="inlineStr">
        <is>
          <t>UPPSALA LÄN</t>
        </is>
      </c>
      <c r="E634" t="inlineStr">
        <is>
          <t>TIERP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18885-2025</t>
        </is>
      </c>
      <c r="B635" s="1" t="n">
        <v>45764.44233796297</v>
      </c>
      <c r="C635" s="1" t="n">
        <v>45932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16852-2025</t>
        </is>
      </c>
      <c r="B636" s="1" t="n">
        <v>45754.72487268518</v>
      </c>
      <c r="C636" s="1" t="n">
        <v>45932</v>
      </c>
      <c r="D636" t="inlineStr">
        <is>
          <t>UPPSALA LÄN</t>
        </is>
      </c>
      <c r="E636" t="inlineStr">
        <is>
          <t>TIERP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15655-2025</t>
        </is>
      </c>
      <c r="B637" s="1" t="n">
        <v>45748</v>
      </c>
      <c r="C637" s="1" t="n">
        <v>45932</v>
      </c>
      <c r="D637" t="inlineStr">
        <is>
          <t>UPPSALA LÄN</t>
        </is>
      </c>
      <c r="E637" t="inlineStr">
        <is>
          <t>TIERP</t>
        </is>
      </c>
      <c r="F637" t="inlineStr">
        <is>
          <t>Kyrkan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13687-2024</t>
        </is>
      </c>
      <c r="B638" s="1" t="n">
        <v>45390.5662962963</v>
      </c>
      <c r="C638" s="1" t="n">
        <v>45932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16791-2023</t>
        </is>
      </c>
      <c r="B639" s="1" t="n">
        <v>45033</v>
      </c>
      <c r="C639" s="1" t="n">
        <v>45932</v>
      </c>
      <c r="D639" t="inlineStr">
        <is>
          <t>UPPSALA LÄN</t>
        </is>
      </c>
      <c r="E639" t="inlineStr">
        <is>
          <t>TIERP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59597-2024</t>
        </is>
      </c>
      <c r="B640" s="1" t="n">
        <v>45638</v>
      </c>
      <c r="C640" s="1" t="n">
        <v>45932</v>
      </c>
      <c r="D640" t="inlineStr">
        <is>
          <t>UPPSALA LÄN</t>
        </is>
      </c>
      <c r="E640" t="inlineStr">
        <is>
          <t>TIERP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7732-2025</t>
        </is>
      </c>
      <c r="B641" s="1" t="n">
        <v>45706</v>
      </c>
      <c r="C641" s="1" t="n">
        <v>45932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4531-2023</t>
        </is>
      </c>
      <c r="B642" s="1" t="n">
        <v>44956.62740740741</v>
      </c>
      <c r="C642" s="1" t="n">
        <v>45932</v>
      </c>
      <c r="D642" t="inlineStr">
        <is>
          <t>UPPSALA LÄN</t>
        </is>
      </c>
      <c r="E642" t="inlineStr">
        <is>
          <t>TIERP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6254-2022</t>
        </is>
      </c>
      <c r="B643" s="1" t="n">
        <v>44600.44900462963</v>
      </c>
      <c r="C643" s="1" t="n">
        <v>45932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36830-2024</t>
        </is>
      </c>
      <c r="B644" s="1" t="n">
        <v>45538</v>
      </c>
      <c r="C644" s="1" t="n">
        <v>45932</v>
      </c>
      <c r="D644" t="inlineStr">
        <is>
          <t>UPPSALA LÄN</t>
        </is>
      </c>
      <c r="E644" t="inlineStr">
        <is>
          <t>TIERP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18781-2022</t>
        </is>
      </c>
      <c r="B645" s="1" t="n">
        <v>44689</v>
      </c>
      <c r="C645" s="1" t="n">
        <v>45932</v>
      </c>
      <c r="D645" t="inlineStr">
        <is>
          <t>UPPSALA LÄN</t>
        </is>
      </c>
      <c r="E645" t="inlineStr">
        <is>
          <t>TIERP</t>
        </is>
      </c>
      <c r="F645" t="inlineStr">
        <is>
          <t>Kyrkan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40748-2024</t>
        </is>
      </c>
      <c r="B646" s="1" t="n">
        <v>45558.45347222222</v>
      </c>
      <c r="C646" s="1" t="n">
        <v>45932</v>
      </c>
      <c r="D646" t="inlineStr">
        <is>
          <t>UPPSALA LÄN</t>
        </is>
      </c>
      <c r="E646" t="inlineStr">
        <is>
          <t>TIERP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60985-2024</t>
        </is>
      </c>
      <c r="B647" s="1" t="n">
        <v>45645.41540509259</v>
      </c>
      <c r="C647" s="1" t="n">
        <v>45932</v>
      </c>
      <c r="D647" t="inlineStr">
        <is>
          <t>UPPSALA LÄN</t>
        </is>
      </c>
      <c r="E647" t="inlineStr">
        <is>
          <t>TIERP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49111-2024</t>
        </is>
      </c>
      <c r="B648" s="1" t="n">
        <v>45594.65586805555</v>
      </c>
      <c r="C648" s="1" t="n">
        <v>45932</v>
      </c>
      <c r="D648" t="inlineStr">
        <is>
          <t>UPPSALA LÄN</t>
        </is>
      </c>
      <c r="E648" t="inlineStr">
        <is>
          <t>TIERP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55818-2023</t>
        </is>
      </c>
      <c r="B649" s="1" t="n">
        <v>45239.58409722222</v>
      </c>
      <c r="C649" s="1" t="n">
        <v>45932</v>
      </c>
      <c r="D649" t="inlineStr">
        <is>
          <t>UPPSALA LÄN</t>
        </is>
      </c>
      <c r="E649" t="inlineStr">
        <is>
          <t>TIERP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59244-2024</t>
        </is>
      </c>
      <c r="B650" s="1" t="n">
        <v>45637</v>
      </c>
      <c r="C650" s="1" t="n">
        <v>45932</v>
      </c>
      <c r="D650" t="inlineStr">
        <is>
          <t>UPPSALA LÄN</t>
        </is>
      </c>
      <c r="E650" t="inlineStr">
        <is>
          <t>TIERP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19138-2025</t>
        </is>
      </c>
      <c r="B651" s="1" t="n">
        <v>45769.3231712963</v>
      </c>
      <c r="C651" s="1" t="n">
        <v>45932</v>
      </c>
      <c r="D651" t="inlineStr">
        <is>
          <t>UPPSALA LÄN</t>
        </is>
      </c>
      <c r="E651" t="inlineStr">
        <is>
          <t>TIERP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14086-2023</t>
        </is>
      </c>
      <c r="B652" s="1" t="n">
        <v>45009.33243055556</v>
      </c>
      <c r="C652" s="1" t="n">
        <v>45932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19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48483-2022</t>
        </is>
      </c>
      <c r="B653" s="1" t="n">
        <v>44858</v>
      </c>
      <c r="C653" s="1" t="n">
        <v>45932</v>
      </c>
      <c r="D653" t="inlineStr">
        <is>
          <t>UPPSALA LÄN</t>
        </is>
      </c>
      <c r="E653" t="inlineStr">
        <is>
          <t>TIERP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20860-2024</t>
        </is>
      </c>
      <c r="B654" s="1" t="n">
        <v>45439</v>
      </c>
      <c r="C654" s="1" t="n">
        <v>45932</v>
      </c>
      <c r="D654" t="inlineStr">
        <is>
          <t>UPPSALA LÄN</t>
        </is>
      </c>
      <c r="E654" t="inlineStr">
        <is>
          <t>TIERP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19026-2025</t>
        </is>
      </c>
      <c r="B655" s="1" t="n">
        <v>45764.63778935185</v>
      </c>
      <c r="C655" s="1" t="n">
        <v>45932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58252-2024</t>
        </is>
      </c>
      <c r="B656" s="1" t="n">
        <v>45632.55709490741</v>
      </c>
      <c r="C656" s="1" t="n">
        <v>45932</v>
      </c>
      <c r="D656" t="inlineStr">
        <is>
          <t>UPPSALA LÄN</t>
        </is>
      </c>
      <c r="E656" t="inlineStr">
        <is>
          <t>TIERP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5967-2023</t>
        </is>
      </c>
      <c r="B657" s="1" t="n">
        <v>44964</v>
      </c>
      <c r="C657" s="1" t="n">
        <v>45932</v>
      </c>
      <c r="D657" t="inlineStr">
        <is>
          <t>UPPSALA LÄN</t>
        </is>
      </c>
      <c r="E657" t="inlineStr">
        <is>
          <t>TIERP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59961-2023</t>
        </is>
      </c>
      <c r="B658" s="1" t="n">
        <v>45257</v>
      </c>
      <c r="C658" s="1" t="n">
        <v>45932</v>
      </c>
      <c r="D658" t="inlineStr">
        <is>
          <t>UPPSALA LÄN</t>
        </is>
      </c>
      <c r="E658" t="inlineStr">
        <is>
          <t>TIERP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55711-2023</t>
        </is>
      </c>
      <c r="B659" s="1" t="n">
        <v>45239.37905092593</v>
      </c>
      <c r="C659" s="1" t="n">
        <v>45932</v>
      </c>
      <c r="D659" t="inlineStr">
        <is>
          <t>UPPSALA LÄN</t>
        </is>
      </c>
      <c r="E659" t="inlineStr">
        <is>
          <t>TIERP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26404-2024</t>
        </is>
      </c>
      <c r="B660" s="1" t="n">
        <v>45469</v>
      </c>
      <c r="C660" s="1" t="n">
        <v>45932</v>
      </c>
      <c r="D660" t="inlineStr">
        <is>
          <t>UPPSALA LÄN</t>
        </is>
      </c>
      <c r="E660" t="inlineStr">
        <is>
          <t>TIERP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33307-2023</t>
        </is>
      </c>
      <c r="B661" s="1" t="n">
        <v>45127</v>
      </c>
      <c r="C661" s="1" t="n">
        <v>45932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16802-2025</t>
        </is>
      </c>
      <c r="B662" s="1" t="n">
        <v>45754</v>
      </c>
      <c r="C662" s="1" t="n">
        <v>45932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5987-2023</t>
        </is>
      </c>
      <c r="B663" s="1" t="n">
        <v>44964</v>
      </c>
      <c r="C663" s="1" t="n">
        <v>45932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15662-2025</t>
        </is>
      </c>
      <c r="B664" s="1" t="n">
        <v>45748.4287962963</v>
      </c>
      <c r="C664" s="1" t="n">
        <v>45932</v>
      </c>
      <c r="D664" t="inlineStr">
        <is>
          <t>UPPSALA LÄN</t>
        </is>
      </c>
      <c r="E664" t="inlineStr">
        <is>
          <t>TIERP</t>
        </is>
      </c>
      <c r="F664" t="inlineStr">
        <is>
          <t>Kyrkan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24341-2022</t>
        </is>
      </c>
      <c r="B665" s="1" t="n">
        <v>44726</v>
      </c>
      <c r="C665" s="1" t="n">
        <v>45932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2025-10-02T12:45:43Z</dcterms:created>
  <dcterms:modified xmlns:dcterms="http://purl.org/dc/terms/" xmlns:xsi="http://www.w3.org/2001/XMLSchema-instance" xsi:type="dcterms:W3CDTF">2025-10-02T12:45:43Z</dcterms:modified>
</cp:coreProperties>
</file>