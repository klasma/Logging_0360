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46263</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46263</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46263</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46263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46263</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46263</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46263</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46263</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46263</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46263</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46263</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46263</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46263</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46263</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46263</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46263</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46263</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46263</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46263</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46263</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46263</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64002-2025</t>
        </is>
      </c>
      <c r="B28" t="inlineStr">
        <is>
          <t>avverkningsanmälan</t>
        </is>
      </c>
      <c r="C28" t="inlineStr">
        <is>
          <t>Föryngringsavverkning</t>
        </is>
      </c>
      <c r="D28" s="1" t="n">
        <v>46021</v>
      </c>
      <c r="E28" s="1" t="n">
        <v>46263</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46263</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46263</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46263</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46263</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46263</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46263</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46263</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46263</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46263</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46263</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46263</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46263</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46263</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46263</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12424-2024</t>
        </is>
      </c>
      <c r="B43" t="inlineStr">
        <is>
          <t>avverkningsanmälan</t>
        </is>
      </c>
      <c r="C43" t="inlineStr">
        <is>
          <t>Föryngringsavverkning</t>
        </is>
      </c>
      <c r="D43" s="1" t="n">
        <v>45379</v>
      </c>
      <c r="E43" s="1" t="n">
        <v>46263</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54831-2025</t>
        </is>
      </c>
      <c r="B44" t="inlineStr">
        <is>
          <t>avverkningsanmälan</t>
        </is>
      </c>
      <c r="C44" t="inlineStr">
        <is>
          <t>Föryngringsavverkning</t>
        </is>
      </c>
      <c r="D44" s="1" t="n">
        <v>45966</v>
      </c>
      <c r="E44" s="1" t="n">
        <v>46263</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32296-2025</t>
        </is>
      </c>
      <c r="B45" t="inlineStr">
        <is>
          <t>avverkningsanmälan</t>
        </is>
      </c>
      <c r="C45" t="inlineStr">
        <is>
          <t>Föryngringsavverkning</t>
        </is>
      </c>
      <c r="D45" s="1" t="n">
        <v>45835</v>
      </c>
      <c r="E45" s="1" t="n">
        <v>46263</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17748-2025</t>
        </is>
      </c>
      <c r="B46" t="inlineStr">
        <is>
          <t>avverkningsanmälan</t>
        </is>
      </c>
      <c r="C46" t="inlineStr">
        <is>
          <t>Föryngringsavverkning</t>
        </is>
      </c>
      <c r="D46" s="1" t="n">
        <v>45758</v>
      </c>
      <c r="E46" s="1" t="n">
        <v>46263</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17577-2026</t>
        </is>
      </c>
      <c r="B47" t="inlineStr">
        <is>
          <t>avverkningsanmälan</t>
        </is>
      </c>
      <c r="C47" t="inlineStr">
        <is>
          <t>Föryngringsavverkning</t>
        </is>
      </c>
      <c r="D47" s="1" t="n">
        <v>46121</v>
      </c>
      <c r="E47" s="1" t="n">
        <v>46263</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36561-2022</t>
        </is>
      </c>
      <c r="B48" t="inlineStr">
        <is>
          <t>avverkningsanmälan</t>
        </is>
      </c>
      <c r="C48" t="inlineStr">
        <is>
          <t>Föryngringsavverkning</t>
        </is>
      </c>
      <c r="D48" s="1" t="n">
        <v>44804</v>
      </c>
      <c r="E48" s="1" t="n">
        <v>46263</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5700-2024</t>
        </is>
      </c>
      <c r="B49" t="inlineStr">
        <is>
          <t>avverkningsanmälan</t>
        </is>
      </c>
      <c r="C49" t="inlineStr">
        <is>
          <t>Föryngringsavverkning</t>
        </is>
      </c>
      <c r="D49" s="1" t="n">
        <v>45335</v>
      </c>
      <c r="E49" s="1" t="n">
        <v>46263</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10848-2025</t>
        </is>
      </c>
      <c r="B50" t="inlineStr">
        <is>
          <t>avverkningsanmälan</t>
        </is>
      </c>
      <c r="C50" t="inlineStr">
        <is>
          <t>Föryngringsavverkning</t>
        </is>
      </c>
      <c r="D50" s="1" t="n">
        <v>45722</v>
      </c>
      <c r="E50" s="1" t="n">
        <v>46263</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23133-2026</t>
        </is>
      </c>
      <c r="B51" t="inlineStr">
        <is>
          <t>avverkningsanmälan</t>
        </is>
      </c>
      <c r="C51" t="inlineStr">
        <is>
          <t>Föryngringsavverkning</t>
        </is>
      </c>
      <c r="D51" s="1" t="n">
        <v>46161</v>
      </c>
      <c r="E51" s="1" t="n">
        <v>46263</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35531-2026</t>
        </is>
      </c>
      <c r="B52" t="inlineStr">
        <is>
          <t>avverkningsanmälan</t>
        </is>
      </c>
      <c r="C52" t="inlineStr">
        <is>
          <t>Föryngringsavverkning</t>
        </is>
      </c>
      <c r="D52" s="1" t="n">
        <v>46262</v>
      </c>
      <c r="E52" s="1" t="n">
        <v>46263</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46263</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46263</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42363-2025</t>
        </is>
      </c>
      <c r="B55" t="inlineStr">
        <is>
          <t>avverkningsanmälan</t>
        </is>
      </c>
      <c r="C55" t="inlineStr">
        <is>
          <t>Föryngringsavverkning</t>
        </is>
      </c>
      <c r="D55" s="1" t="n">
        <v>45905</v>
      </c>
      <c r="E55" s="1" t="n">
        <v>46263</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25013-2025</t>
        </is>
      </c>
      <c r="B56" t="inlineStr">
        <is>
          <t>avverkningsanmälan</t>
        </is>
      </c>
      <c r="C56" t="inlineStr">
        <is>
          <t>Föryngringsavverkning</t>
        </is>
      </c>
      <c r="D56" s="1" t="n">
        <v>45799</v>
      </c>
      <c r="E56" s="1" t="n">
        <v>46263</v>
      </c>
      <c r="F56" t="inlineStr">
        <is>
          <t>UPPSALA LÄN</t>
        </is>
      </c>
      <c r="G56" t="inlineStr">
        <is>
          <t>TIERP</t>
        </is>
      </c>
      <c r="I56" t="n">
        <v>0.5</v>
      </c>
      <c r="J56" t="n">
        <v>0</v>
      </c>
      <c r="K56" t="n">
        <v>1</v>
      </c>
      <c r="L56" t="n">
        <v>0</v>
      </c>
      <c r="M56" t="n">
        <v>1</v>
      </c>
      <c r="N56" t="n">
        <v>1</v>
      </c>
      <c r="O56" t="n">
        <v>0</v>
      </c>
      <c r="P56" t="n">
        <v>0</v>
      </c>
      <c r="Q56" t="n">
        <v>2</v>
      </c>
      <c r="R56" t="n">
        <v>2</v>
      </c>
      <c r="S56" t="n">
        <v>3</v>
      </c>
      <c r="T56" t="n">
        <v>4</v>
      </c>
      <c r="U56" t="n">
        <v>0</v>
      </c>
      <c r="V56" s="2" t="inlineStr">
        <is>
          <t>Violgubbe
Gul taggsvamp
Rödgul trumpetsvamp</t>
        </is>
      </c>
      <c r="W56">
        <f>HYPERLINK("https://klasma.github.io/Logging_0360/artfynd/A 25013-2025 artfynd.xlsx", "A 25013-2025")</f>
        <v/>
      </c>
      <c r="X56">
        <f>HYPERLINK("https://klasma.github.io/Logging_0360/kartor/A 25013-2025 karta.png", "A 25013-2025")</f>
        <v/>
      </c>
      <c r="Y56">
        <f>HYPERLINK("https://klasma.github.io/Logging_0360/kartor_geotiff/A 25013-2025 georefererad karta.tif", "A 25013-2025")</f>
        <v/>
      </c>
      <c r="AA56">
        <f>HYPERLINK("https://klasma.github.io/Logging_0360/klagomål/A 25013-2025 FSC-klagomål.docx", "A 25013-2025")</f>
        <v/>
      </c>
      <c r="AB56">
        <f>HYPERLINK("https://klasma.github.io/Logging_0360/klagomålsmail/A 25013-2025 FSC-klagomål mail.docx", "A 25013-2025")</f>
        <v/>
      </c>
      <c r="AC56">
        <f>HYPERLINK("https://klasma.github.io/Logging_0360/tillsyn/A 25013-2025 tillsynsbegäran.docx", "A 25013-2025")</f>
        <v/>
      </c>
      <c r="AD56">
        <f>HYPERLINK("https://klasma.github.io/Logging_0360/tillsynsmail/A 25013-2025 tillsynsbegäran mail.docx", "A 25013-2025")</f>
        <v/>
      </c>
    </row>
    <row r="57" ht="15" customHeight="1">
      <c r="A57" t="inlineStr">
        <is>
          <t>A 54835-2025</t>
        </is>
      </c>
      <c r="B57" t="inlineStr">
        <is>
          <t>avverkningsanmälan</t>
        </is>
      </c>
      <c r="C57" t="inlineStr">
        <is>
          <t>Föryngringsavverkning</t>
        </is>
      </c>
      <c r="D57" s="1" t="n">
        <v>45966</v>
      </c>
      <c r="E57" s="1" t="n">
        <v>46263</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46263</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140-2024</t>
        </is>
      </c>
      <c r="B59" t="inlineStr">
        <is>
          <t>avverkningsanmälan</t>
        </is>
      </c>
      <c r="C59" t="inlineStr">
        <is>
          <t>Föryngringsavverkning</t>
        </is>
      </c>
      <c r="D59" s="1" t="n">
        <v>45294</v>
      </c>
      <c r="E59" s="1" t="n">
        <v>46263</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46263</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1117-2026</t>
        </is>
      </c>
      <c r="B61" t="inlineStr">
        <is>
          <t>avverkningsanmälan</t>
        </is>
      </c>
      <c r="C61" t="inlineStr">
        <is>
          <t>Föryngringsavverkning</t>
        </is>
      </c>
      <c r="D61" s="1" t="n">
        <v>46029</v>
      </c>
      <c r="E61" s="1" t="n">
        <v>46263</v>
      </c>
      <c r="F61" t="inlineStr">
        <is>
          <t>UPPSALA LÄN</t>
        </is>
      </c>
      <c r="G61" t="inlineStr">
        <is>
          <t>TIERP</t>
        </is>
      </c>
      <c r="H61" t="inlineStr">
        <is>
          <t>Naturvårdsverket</t>
        </is>
      </c>
      <c r="I61" t="n">
        <v>2.8</v>
      </c>
      <c r="J61" t="n">
        <v>1</v>
      </c>
      <c r="K61" t="n">
        <v>1</v>
      </c>
      <c r="L61" t="n">
        <v>0</v>
      </c>
      <c r="M61" t="n">
        <v>1</v>
      </c>
      <c r="N61" t="n">
        <v>0</v>
      </c>
      <c r="O61" t="n">
        <v>0</v>
      </c>
      <c r="P61" t="n">
        <v>0</v>
      </c>
      <c r="Q61" t="n">
        <v>1</v>
      </c>
      <c r="R61" t="n">
        <v>1</v>
      </c>
      <c r="S61" t="n">
        <v>3</v>
      </c>
      <c r="T61" t="n">
        <v>3</v>
      </c>
      <c r="U61" t="n">
        <v>0</v>
      </c>
      <c r="V61" s="2" t="inlineStr">
        <is>
          <t>Garnlav
Stor aspticka
Blåsippa</t>
        </is>
      </c>
      <c r="W61">
        <f>HYPERLINK("https://klasma.github.io/Logging_0360/artfynd/A 1117-2026 artfynd.xlsx", "A 1117-2026")</f>
        <v/>
      </c>
      <c r="X61">
        <f>HYPERLINK("https://klasma.github.io/Logging_0360/kartor/A 1117-2026 karta.png", "A 1117-2026")</f>
        <v/>
      </c>
      <c r="Y61">
        <f>HYPERLINK("https://klasma.github.io/Logging_0360/kartor_geotiff/A 1117-2026 georefererad karta.tif", "A 1117-2026")</f>
        <v/>
      </c>
      <c r="AA61">
        <f>HYPERLINK("https://klasma.github.io/Logging_0360/klagomål/A 1117-2026 FSC-klagomål.docx", "A 1117-2026")</f>
        <v/>
      </c>
      <c r="AB61">
        <f>HYPERLINK("https://klasma.github.io/Logging_0360/klagomålsmail/A 1117-2026 FSC-klagomål mail.docx", "A 1117-2026")</f>
        <v/>
      </c>
      <c r="AC61">
        <f>HYPERLINK("https://klasma.github.io/Logging_0360/tillsyn/A 1117-2026 tillsynsbegäran.docx", "A 1117-2026")</f>
        <v/>
      </c>
      <c r="AD61">
        <f>HYPERLINK("https://klasma.github.io/Logging_0360/tillsynsmail/A 1117-2026 tillsynsbegäran mail.docx", "A 1117-2026")</f>
        <v/>
      </c>
    </row>
    <row r="62" ht="15" customHeight="1">
      <c r="A62" t="inlineStr">
        <is>
          <t>A 1105-2026</t>
        </is>
      </c>
      <c r="B62" t="inlineStr">
        <is>
          <t>avverkningsanmälan</t>
        </is>
      </c>
      <c r="C62" t="inlineStr">
        <is>
          <t>Föryngringsavverkning</t>
        </is>
      </c>
      <c r="D62" s="1" t="n">
        <v>46029</v>
      </c>
      <c r="E62" s="1" t="n">
        <v>46263</v>
      </c>
      <c r="F62" t="inlineStr">
        <is>
          <t>UPPSALA LÄN</t>
        </is>
      </c>
      <c r="G62" t="inlineStr">
        <is>
          <t>TIERP</t>
        </is>
      </c>
      <c r="H62" t="inlineStr">
        <is>
          <t>Naturvårdsverket</t>
        </is>
      </c>
      <c r="I62" t="n">
        <v>2</v>
      </c>
      <c r="J62" t="n">
        <v>0</v>
      </c>
      <c r="K62" t="n">
        <v>2</v>
      </c>
      <c r="L62" t="n">
        <v>1</v>
      </c>
      <c r="M62" t="n">
        <v>0</v>
      </c>
      <c r="N62" t="n">
        <v>0</v>
      </c>
      <c r="O62" t="n">
        <v>0</v>
      </c>
      <c r="P62" t="n">
        <v>0</v>
      </c>
      <c r="Q62" t="n">
        <v>1</v>
      </c>
      <c r="R62" t="n">
        <v>0</v>
      </c>
      <c r="S62" t="n">
        <v>3</v>
      </c>
      <c r="T62" t="n">
        <v>4</v>
      </c>
      <c r="U62" t="n">
        <v>0</v>
      </c>
      <c r="V62" s="2" t="inlineStr">
        <is>
          <t>Vedtrappmossa
Granbräken
Tibast</t>
        </is>
      </c>
      <c r="W62">
        <f>HYPERLINK("https://klasma.github.io/Logging_0360/artfynd/A 1105-2026 artfynd.xlsx", "A 1105-2026")</f>
        <v/>
      </c>
      <c r="X62">
        <f>HYPERLINK("https://klasma.github.io/Logging_0360/kartor/A 1105-2026 karta.png", "A 1105-2026")</f>
        <v/>
      </c>
      <c r="Y62">
        <f>HYPERLINK("https://klasma.github.io/Logging_0360/kartor_geotiff/A 1105-2026 georefererad karta.tif", "A 1105-2026")</f>
        <v/>
      </c>
      <c r="AA62">
        <f>HYPERLINK("https://klasma.github.io/Logging_0360/klagomål/A 1105-2026 FSC-klagomål.docx", "A 1105-2026")</f>
        <v/>
      </c>
      <c r="AB62">
        <f>HYPERLINK("https://klasma.github.io/Logging_0360/klagomålsmail/A 1105-2026 FSC-klagomål mail.docx", "A 1105-2026")</f>
        <v/>
      </c>
      <c r="AC62">
        <f>HYPERLINK("https://klasma.github.io/Logging_0360/tillsyn/A 1105-2026 tillsynsbegäran.docx", "A 1105-2026")</f>
        <v/>
      </c>
      <c r="AD62">
        <f>HYPERLINK("https://klasma.github.io/Logging_0360/tillsynsmail/A 1105-2026 tillsynsbegäran mail.docx", "A 1105-2026")</f>
        <v/>
      </c>
    </row>
    <row r="63" ht="15" customHeight="1">
      <c r="A63" t="inlineStr">
        <is>
          <t>A 9493-2026</t>
        </is>
      </c>
      <c r="B63" t="inlineStr">
        <is>
          <t>avverkningsanmälan</t>
        </is>
      </c>
      <c r="C63" t="inlineStr">
        <is>
          <t>Föryngringsavverkning</t>
        </is>
      </c>
      <c r="D63" s="1" t="n">
        <v>46071</v>
      </c>
      <c r="E63" s="1" t="n">
        <v>46263</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14635-2026</t>
        </is>
      </c>
      <c r="B64" t="inlineStr">
        <is>
          <t>avverkningsanmälan</t>
        </is>
      </c>
      <c r="C64" t="inlineStr">
        <is>
          <t>Föryngringsavverkning</t>
        </is>
      </c>
      <c r="D64" s="1" t="n">
        <v>46101</v>
      </c>
      <c r="E64" s="1" t="n">
        <v>46263</v>
      </c>
      <c r="F64" t="inlineStr">
        <is>
          <t>UPPSALA LÄN</t>
        </is>
      </c>
      <c r="G64" t="inlineStr">
        <is>
          <t>TIERP</t>
        </is>
      </c>
      <c r="H64" t="inlineStr">
        <is>
          <t>Kyrkan</t>
        </is>
      </c>
      <c r="I64" t="n">
        <v>6.5</v>
      </c>
      <c r="J64" t="n">
        <v>3</v>
      </c>
      <c r="K64" t="n">
        <v>1</v>
      </c>
      <c r="L64" t="n">
        <v>1</v>
      </c>
      <c r="M64" t="n">
        <v>0</v>
      </c>
      <c r="N64" t="n">
        <v>0</v>
      </c>
      <c r="O64" t="n">
        <v>0</v>
      </c>
      <c r="P64" t="n">
        <v>0</v>
      </c>
      <c r="Q64" t="n">
        <v>1</v>
      </c>
      <c r="R64" t="n">
        <v>0</v>
      </c>
      <c r="S64" t="n">
        <v>3</v>
      </c>
      <c r="T64" t="n">
        <v>3</v>
      </c>
      <c r="U64" t="n">
        <v>0</v>
      </c>
      <c r="V64" s="2" t="inlineStr">
        <is>
          <t>Gulsparv
Tvåblad
Ängsnycklar</t>
        </is>
      </c>
      <c r="W64">
        <f>HYPERLINK("https://klasma.github.io/Logging_0360/artfynd/A 14635-2026 artfynd.xlsx", "A 14635-2026")</f>
        <v/>
      </c>
      <c r="X64">
        <f>HYPERLINK("https://klasma.github.io/Logging_0360/kartor/A 14635-2026 karta.png", "A 14635-2026")</f>
        <v/>
      </c>
      <c r="Y64">
        <f>HYPERLINK("https://klasma.github.io/Logging_0360/kartor_geotiff/A 14635-2026 georefererad karta.tif", "A 14635-2026")</f>
        <v/>
      </c>
      <c r="AA64">
        <f>HYPERLINK("https://klasma.github.io/Logging_0360/klagomål/A 14635-2026 FSC-klagomål.docx", "A 14635-2026")</f>
        <v/>
      </c>
      <c r="AB64">
        <f>HYPERLINK("https://klasma.github.io/Logging_0360/klagomålsmail/A 14635-2026 FSC-klagomål mail.docx", "A 14635-2026")</f>
        <v/>
      </c>
      <c r="AC64">
        <f>HYPERLINK("https://klasma.github.io/Logging_0360/tillsyn/A 14635-2026 tillsynsbegäran.docx", "A 14635-2026")</f>
        <v/>
      </c>
      <c r="AD64">
        <f>HYPERLINK("https://klasma.github.io/Logging_0360/tillsynsmail/A 14635-2026 tillsynsbegäran mail.docx", "A 14635-2026")</f>
        <v/>
      </c>
      <c r="AE64">
        <f>HYPERLINK("https://klasma.github.io/Logging_0360/fåglar/A 14635-2026 prioriterade fågelarter.docx", "A 14635-2026")</f>
        <v/>
      </c>
    </row>
    <row r="65" ht="15" customHeight="1">
      <c r="A65" t="inlineStr">
        <is>
          <t>A 38151-2023</t>
        </is>
      </c>
      <c r="B65" t="inlineStr">
        <is>
          <t>avverkningsanmälan</t>
        </is>
      </c>
      <c r="C65" t="inlineStr">
        <is>
          <t>Föryngringsavverkning</t>
        </is>
      </c>
      <c r="D65" s="1" t="n">
        <v>45160</v>
      </c>
      <c r="E65" s="1" t="n">
        <v>46263</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15592-2022</t>
        </is>
      </c>
      <c r="B66" t="inlineStr">
        <is>
          <t>avverkningsanmälan</t>
        </is>
      </c>
      <c r="C66" t="inlineStr">
        <is>
          <t>Föryngringsavverkning</t>
        </is>
      </c>
      <c r="D66" s="1" t="n">
        <v>44662</v>
      </c>
      <c r="E66" s="1" t="n">
        <v>46263</v>
      </c>
      <c r="F66" t="inlineStr">
        <is>
          <t>UPPSALA LÄN</t>
        </is>
      </c>
      <c r="G66" t="inlineStr">
        <is>
          <t>TIERP</t>
        </is>
      </c>
      <c r="H66" t="inlineStr">
        <is>
          <t>Bergvik skog väst AB</t>
        </is>
      </c>
      <c r="I66" t="n">
        <v>1.7</v>
      </c>
      <c r="J66" t="n">
        <v>2</v>
      </c>
      <c r="K66" t="n">
        <v>2</v>
      </c>
      <c r="L66" t="n">
        <v>0</v>
      </c>
      <c r="M66" t="n">
        <v>0</v>
      </c>
      <c r="N66" t="n">
        <v>0</v>
      </c>
      <c r="O66" t="n">
        <v>0</v>
      </c>
      <c r="P66" t="n">
        <v>0</v>
      </c>
      <c r="Q66" t="n">
        <v>0</v>
      </c>
      <c r="R66" t="n">
        <v>0</v>
      </c>
      <c r="S66" t="n">
        <v>3</v>
      </c>
      <c r="T66" t="n">
        <v>4</v>
      </c>
      <c r="U66" t="n">
        <v>0</v>
      </c>
      <c r="V66" s="2" t="inlineStr">
        <is>
          <t>Skogsknipprot
Tibast
Blåsippa</t>
        </is>
      </c>
      <c r="W66">
        <f>HYPERLINK("https://klasma.github.io/Logging_0360/artfynd/A 15592-2022 artfynd.xlsx", "A 15592-2022")</f>
        <v/>
      </c>
      <c r="X66">
        <f>HYPERLINK("https://klasma.github.io/Logging_0360/kartor/A 15592-2022 karta.png", "A 15592-2022")</f>
        <v/>
      </c>
      <c r="Y66">
        <f>HYPERLINK("https://klasma.github.io/Logging_0360/kartor_geotiff/A 15592-2022 georefererad karta.tif", "A 15592-2022")</f>
        <v/>
      </c>
      <c r="AA66">
        <f>HYPERLINK("https://klasma.github.io/Logging_0360/klagomål/A 15592-2022 FSC-klagomål.docx", "A 15592-2022")</f>
        <v/>
      </c>
      <c r="AB66">
        <f>HYPERLINK("https://klasma.github.io/Logging_0360/klagomålsmail/A 15592-2022 FSC-klagomål mail.docx", "A 15592-2022")</f>
        <v/>
      </c>
      <c r="AC66">
        <f>HYPERLINK("https://klasma.github.io/Logging_0360/tillsyn/A 15592-2022 tillsynsbegäran.docx", "A 15592-2022")</f>
        <v/>
      </c>
      <c r="AD66">
        <f>HYPERLINK("https://klasma.github.io/Logging_0360/tillsynsmail/A 15592-2022 tillsynsbegäran mail.docx", "A 15592-2022")</f>
        <v/>
      </c>
    </row>
    <row r="67" ht="15" customHeight="1">
      <c r="A67" t="inlineStr">
        <is>
          <t>A 52211-2025</t>
        </is>
      </c>
      <c r="B67" t="inlineStr">
        <is>
          <t>avverkningsanmälan</t>
        </is>
      </c>
      <c r="C67" t="inlineStr">
        <is>
          <t>Föryngringsavverkning</t>
        </is>
      </c>
      <c r="D67" s="1" t="n">
        <v>45953</v>
      </c>
      <c r="E67" s="1" t="n">
        <v>46263</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46263</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41699-2025</t>
        </is>
      </c>
      <c r="B69" t="inlineStr">
        <is>
          <t>avverkningsanmälan</t>
        </is>
      </c>
      <c r="C69" t="inlineStr">
        <is>
          <t>Föryngringsavverkning</t>
        </is>
      </c>
      <c r="D69" s="1" t="n">
        <v>45902</v>
      </c>
      <c r="E69" s="1" t="n">
        <v>46263</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58107-2024</t>
        </is>
      </c>
      <c r="B70" t="inlineStr">
        <is>
          <t>avverkningsanmälan</t>
        </is>
      </c>
      <c r="C70" t="inlineStr">
        <is>
          <t>Föryngringsavverkning</t>
        </is>
      </c>
      <c r="D70" s="1" t="n">
        <v>45632</v>
      </c>
      <c r="E70" s="1" t="n">
        <v>46263</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39018-2024</t>
        </is>
      </c>
      <c r="B71" t="inlineStr">
        <is>
          <t>avverkningsanmälan</t>
        </is>
      </c>
      <c r="C71" t="inlineStr">
        <is>
          <t>Föryngringsavverkning</t>
        </is>
      </c>
      <c r="D71" s="1" t="n">
        <v>45548</v>
      </c>
      <c r="E71" s="1" t="n">
        <v>46263</v>
      </c>
      <c r="F71" t="inlineStr">
        <is>
          <t>UPPSALA LÄN</t>
        </is>
      </c>
      <c r="G71" t="inlineStr">
        <is>
          <t>TIERP</t>
        </is>
      </c>
      <c r="H71" t="inlineStr">
        <is>
          <t>Bergvik skog öst AB</t>
        </is>
      </c>
      <c r="I71" t="n">
        <v>19.1</v>
      </c>
      <c r="J71" t="n">
        <v>2</v>
      </c>
      <c r="K71" t="n">
        <v>0</v>
      </c>
      <c r="L71" t="n">
        <v>2</v>
      </c>
      <c r="M71" t="n">
        <v>0</v>
      </c>
      <c r="N71" t="n">
        <v>0</v>
      </c>
      <c r="O71" t="n">
        <v>0</v>
      </c>
      <c r="P71" t="n">
        <v>0</v>
      </c>
      <c r="Q71" t="n">
        <v>2</v>
      </c>
      <c r="R71" t="n">
        <v>0</v>
      </c>
      <c r="S71" t="n">
        <v>2</v>
      </c>
      <c r="T71" t="n">
        <v>2</v>
      </c>
      <c r="U71" t="n">
        <v>0</v>
      </c>
      <c r="V71" s="2" t="inlineStr">
        <is>
          <t>Rödvingetrast
Talltita</t>
        </is>
      </c>
      <c r="W71">
        <f>HYPERLINK("https://klasma.github.io/Logging_0360/artfynd/A 39018-2024 artfynd.xlsx", "A 39018-2024")</f>
        <v/>
      </c>
      <c r="X71">
        <f>HYPERLINK("https://klasma.github.io/Logging_0360/kartor/A 39018-2024 karta.png", "A 39018-2024")</f>
        <v/>
      </c>
      <c r="Y71">
        <f>HYPERLINK("https://klasma.github.io/Logging_0360/kartor_geotiff/A 39018-2024 georefererad karta.tif", "A 39018-2024")</f>
        <v/>
      </c>
      <c r="AA71">
        <f>HYPERLINK("https://klasma.github.io/Logging_0360/klagomål/A 39018-2024 FSC-klagomål.docx", "A 39018-2024")</f>
        <v/>
      </c>
      <c r="AB71">
        <f>HYPERLINK("https://klasma.github.io/Logging_0360/klagomålsmail/A 39018-2024 FSC-klagomål mail.docx", "A 39018-2024")</f>
        <v/>
      </c>
      <c r="AC71">
        <f>HYPERLINK("https://klasma.github.io/Logging_0360/tillsyn/A 39018-2024 tillsynsbegäran.docx", "A 39018-2024")</f>
        <v/>
      </c>
      <c r="AD71">
        <f>HYPERLINK("https://klasma.github.io/Logging_0360/tillsynsmail/A 39018-2024 tillsynsbegäran mail.docx", "A 39018-2024")</f>
        <v/>
      </c>
      <c r="AE71">
        <f>HYPERLINK("https://klasma.github.io/Logging_0360/fåglar/A 39018-2024 prioriterade fågelarter.docx", "A 39018-2024")</f>
        <v/>
      </c>
    </row>
    <row r="72" ht="15" customHeight="1">
      <c r="A72" t="inlineStr">
        <is>
          <t>A 64540-2023</t>
        </is>
      </c>
      <c r="B72" t="inlineStr">
        <is>
          <t>avverkningsanmälan</t>
        </is>
      </c>
      <c r="C72" t="inlineStr">
        <is>
          <t>Föryngringsavverkning</t>
        </is>
      </c>
      <c r="D72" s="1" t="n">
        <v>45281</v>
      </c>
      <c r="E72" s="1" t="n">
        <v>46263</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28223-2025</t>
        </is>
      </c>
      <c r="B73" t="inlineStr">
        <is>
          <t>avverkningsanmälan</t>
        </is>
      </c>
      <c r="C73" t="inlineStr">
        <is>
          <t>Föryngringsavverkning</t>
        </is>
      </c>
      <c r="D73" s="1" t="n">
        <v>45818</v>
      </c>
      <c r="E73" s="1" t="n">
        <v>46263</v>
      </c>
      <c r="F73" t="inlineStr">
        <is>
          <t>UPPSALA LÄN</t>
        </is>
      </c>
      <c r="G73" t="inlineStr">
        <is>
          <t>TIERP</t>
        </is>
      </c>
      <c r="H73" t="inlineStr">
        <is>
          <t>Bergvik skog öst AB</t>
        </is>
      </c>
      <c r="I73" t="n">
        <v>3.8</v>
      </c>
      <c r="J73" t="n">
        <v>1</v>
      </c>
      <c r="K73" t="n">
        <v>0</v>
      </c>
      <c r="L73" t="n">
        <v>2</v>
      </c>
      <c r="M73" t="n">
        <v>0</v>
      </c>
      <c r="N73" t="n">
        <v>0</v>
      </c>
      <c r="O73" t="n">
        <v>0</v>
      </c>
      <c r="P73" t="n">
        <v>0</v>
      </c>
      <c r="Q73" t="n">
        <v>2</v>
      </c>
      <c r="R73" t="n">
        <v>0</v>
      </c>
      <c r="S73" t="n">
        <v>2</v>
      </c>
      <c r="T73" t="n">
        <v>2</v>
      </c>
      <c r="U73" t="n">
        <v>0</v>
      </c>
      <c r="V73" s="2" t="inlineStr">
        <is>
          <t>Rödvingetrast
Vårärt</t>
        </is>
      </c>
      <c r="W73">
        <f>HYPERLINK("https://klasma.github.io/Logging_0360/artfynd/A 28223-2025 artfynd.xlsx", "A 28223-2025")</f>
        <v/>
      </c>
      <c r="X73">
        <f>HYPERLINK("https://klasma.github.io/Logging_0360/kartor/A 28223-2025 karta.png", "A 28223-2025")</f>
        <v/>
      </c>
      <c r="Y73">
        <f>HYPERLINK("https://klasma.github.io/Logging_0360/kartor_geotiff/A 28223-2025 georefererad karta.tif", "A 28223-2025")</f>
        <v/>
      </c>
      <c r="AA73">
        <f>HYPERLINK("https://klasma.github.io/Logging_0360/klagomål/A 28223-2025 FSC-klagomål.docx", "A 28223-2025")</f>
        <v/>
      </c>
      <c r="AB73">
        <f>HYPERLINK("https://klasma.github.io/Logging_0360/klagomålsmail/A 28223-2025 FSC-klagomål mail.docx", "A 28223-2025")</f>
        <v/>
      </c>
      <c r="AC73">
        <f>HYPERLINK("https://klasma.github.io/Logging_0360/tillsyn/A 28223-2025 tillsynsbegäran.docx", "A 28223-2025")</f>
        <v/>
      </c>
      <c r="AD73">
        <f>HYPERLINK("https://klasma.github.io/Logging_0360/tillsynsmail/A 28223-2025 tillsynsbegäran mail.docx", "A 28223-2025")</f>
        <v/>
      </c>
      <c r="AE73">
        <f>HYPERLINK("https://klasma.github.io/Logging_0360/fåglar/A 28223-2025 prioriterade fågelarter.docx", "A 28223-2025")</f>
        <v/>
      </c>
    </row>
    <row r="74" ht="15" customHeight="1">
      <c r="A74" t="inlineStr">
        <is>
          <t>A 15040-2024</t>
        </is>
      </c>
      <c r="B74" t="inlineStr">
        <is>
          <t>avverkningsanmälan</t>
        </is>
      </c>
      <c r="C74" t="inlineStr">
        <is>
          <t>Föryngringsavverkning</t>
        </is>
      </c>
      <c r="D74" s="1" t="n">
        <v>45399</v>
      </c>
      <c r="E74" s="1" t="n">
        <v>46263</v>
      </c>
      <c r="F74" t="inlineStr">
        <is>
          <t>UPPSALA LÄN</t>
        </is>
      </c>
      <c r="G74" t="inlineStr">
        <is>
          <t>TIERP</t>
        </is>
      </c>
      <c r="I74" t="n">
        <v>7.2</v>
      </c>
      <c r="J74" t="n">
        <v>1</v>
      </c>
      <c r="K74" t="n">
        <v>2</v>
      </c>
      <c r="L74" t="n">
        <v>0</v>
      </c>
      <c r="M74" t="n">
        <v>0</v>
      </c>
      <c r="N74" t="n">
        <v>0</v>
      </c>
      <c r="O74" t="n">
        <v>0</v>
      </c>
      <c r="P74" t="n">
        <v>0</v>
      </c>
      <c r="Q74" t="n">
        <v>0</v>
      </c>
      <c r="R74" t="n">
        <v>0</v>
      </c>
      <c r="S74" t="n">
        <v>2</v>
      </c>
      <c r="T74" t="n">
        <v>2</v>
      </c>
      <c r="U74" t="n">
        <v>2</v>
      </c>
      <c r="V74" s="2" t="inlineStr">
        <is>
          <t>Granbräken
Grönkulla</t>
        </is>
      </c>
      <c r="W74">
        <f>HYPERLINK("https://klasma.github.io/Logging_0360/artfynd/A 15040-2024 artfynd.xlsx", "A 15040-2024")</f>
        <v/>
      </c>
      <c r="X74">
        <f>HYPERLINK("https://klasma.github.io/Logging_0360/kartor/A 15040-2024 karta.png", "A 15040-2024")</f>
        <v/>
      </c>
      <c r="Y74">
        <f>HYPERLINK("https://klasma.github.io/Logging_0360/kartor_geotiff/A 15040-2024 georefererad karta.tif", "A 15040-2024")</f>
        <v/>
      </c>
      <c r="AA74">
        <f>HYPERLINK("https://klasma.github.io/Logging_0360/klagomål/A 15040-2024 FSC-klagomål.docx", "A 15040-2024")</f>
        <v/>
      </c>
      <c r="AB74">
        <f>HYPERLINK("https://klasma.github.io/Logging_0360/klagomålsmail/A 15040-2024 FSC-klagomål mail.docx", "A 15040-2024")</f>
        <v/>
      </c>
      <c r="AC74">
        <f>HYPERLINK("https://klasma.github.io/Logging_0360/tillsyn/A 15040-2024 tillsynsbegäran.docx", "A 15040-2024")</f>
        <v/>
      </c>
      <c r="AD74">
        <f>HYPERLINK("https://klasma.github.io/Logging_0360/tillsynsmail/A 15040-2024 tillsynsbegäran mail.docx", "A 15040-2024")</f>
        <v/>
      </c>
    </row>
    <row r="75" ht="15" customHeight="1">
      <c r="A75" t="inlineStr">
        <is>
          <t>A 34922-2025</t>
        </is>
      </c>
      <c r="B75" t="inlineStr">
        <is>
          <t>avverkningsanmälan</t>
        </is>
      </c>
      <c r="C75" t="inlineStr">
        <is>
          <t>Föryngringsavverkning</t>
        </is>
      </c>
      <c r="D75" s="1" t="n">
        <v>45849</v>
      </c>
      <c r="E75" s="1" t="n">
        <v>46263</v>
      </c>
      <c r="F75" t="inlineStr">
        <is>
          <t>UPPSALA LÄN</t>
        </is>
      </c>
      <c r="G75" t="inlineStr">
        <is>
          <t>TIERP</t>
        </is>
      </c>
      <c r="I75" t="n">
        <v>4.7</v>
      </c>
      <c r="J75" t="n">
        <v>1</v>
      </c>
      <c r="K75" t="n">
        <v>0</v>
      </c>
      <c r="L75" t="n">
        <v>1</v>
      </c>
      <c r="M75" t="n">
        <v>0</v>
      </c>
      <c r="N75" t="n">
        <v>0</v>
      </c>
      <c r="O75" t="n">
        <v>0</v>
      </c>
      <c r="P75" t="n">
        <v>0</v>
      </c>
      <c r="Q75" t="n">
        <v>1</v>
      </c>
      <c r="R75" t="n">
        <v>0</v>
      </c>
      <c r="S75" t="n">
        <v>2</v>
      </c>
      <c r="T75" t="n">
        <v>2</v>
      </c>
      <c r="U75" t="n">
        <v>1</v>
      </c>
      <c r="V75" s="2" t="inlineStr">
        <is>
          <t>Blanksvart spiklav
Orre</t>
        </is>
      </c>
      <c r="W75">
        <f>HYPERLINK("https://klasma.github.io/Logging_0360/artfynd/A 34922-2025 artfynd.xlsx", "A 34922-2025")</f>
        <v/>
      </c>
      <c r="X75">
        <f>HYPERLINK("https://klasma.github.io/Logging_0360/kartor/A 34922-2025 karta.png", "A 34922-2025")</f>
        <v/>
      </c>
      <c r="Y75">
        <f>HYPERLINK("https://klasma.github.io/Logging_0360/kartor_geotiff/A 34922-2025 georefererad karta.tif", "A 34922-2025")</f>
        <v/>
      </c>
      <c r="AA75">
        <f>HYPERLINK("https://klasma.github.io/Logging_0360/klagomål/A 34922-2025 FSC-klagomål.docx", "A 34922-2025")</f>
        <v/>
      </c>
      <c r="AB75">
        <f>HYPERLINK("https://klasma.github.io/Logging_0360/klagomålsmail/A 34922-2025 FSC-klagomål mail.docx", "A 34922-2025")</f>
        <v/>
      </c>
      <c r="AC75">
        <f>HYPERLINK("https://klasma.github.io/Logging_0360/tillsyn/A 34922-2025 tillsynsbegäran.docx", "A 34922-2025")</f>
        <v/>
      </c>
      <c r="AD75">
        <f>HYPERLINK("https://klasma.github.io/Logging_0360/tillsynsmail/A 34922-2025 tillsynsbegäran mail.docx", "A 34922-2025")</f>
        <v/>
      </c>
      <c r="AE75">
        <f>HYPERLINK("https://klasma.github.io/Logging_0360/fåglar/A 34922-2025 prioriterade fågelarter.docx", "A 34922-2025")</f>
        <v/>
      </c>
    </row>
    <row r="76" ht="15" customHeight="1">
      <c r="A76" t="inlineStr">
        <is>
          <t>A 49647-2022</t>
        </is>
      </c>
      <c r="B76" t="inlineStr">
        <is>
          <t>avverkningsanmälan</t>
        </is>
      </c>
      <c r="C76" t="inlineStr">
        <is>
          <t>Föryngringsavverkning</t>
        </is>
      </c>
      <c r="D76" s="1" t="n">
        <v>44862</v>
      </c>
      <c r="E76" s="1" t="n">
        <v>46263</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53324-2021</t>
        </is>
      </c>
      <c r="B77" t="inlineStr">
        <is>
          <t>avverkningsanmälan</t>
        </is>
      </c>
      <c r="C77" t="inlineStr">
        <is>
          <t>Föryngringsavverkning</t>
        </is>
      </c>
      <c r="D77" s="1" t="n">
        <v>44468</v>
      </c>
      <c r="E77" s="1" t="n">
        <v>46263</v>
      </c>
      <c r="F77" t="inlineStr">
        <is>
          <t>UPPSALA LÄN</t>
        </is>
      </c>
      <c r="G77" t="inlineStr">
        <is>
          <t>TIERP</t>
        </is>
      </c>
      <c r="I77" t="n">
        <v>0.8</v>
      </c>
      <c r="J77" t="n">
        <v>0</v>
      </c>
      <c r="K77" t="n">
        <v>2</v>
      </c>
      <c r="L77" t="n">
        <v>0</v>
      </c>
      <c r="M77" t="n">
        <v>0</v>
      </c>
      <c r="N77" t="n">
        <v>0</v>
      </c>
      <c r="O77" t="n">
        <v>0</v>
      </c>
      <c r="P77" t="n">
        <v>0</v>
      </c>
      <c r="Q77" t="n">
        <v>0</v>
      </c>
      <c r="R77" t="n">
        <v>0</v>
      </c>
      <c r="S77" t="n">
        <v>2</v>
      </c>
      <c r="T77" t="n">
        <v>2</v>
      </c>
      <c r="U77" t="n">
        <v>0</v>
      </c>
      <c r="V77" s="2" t="inlineStr">
        <is>
          <t>Jättesvampmal
Stor aspticka</t>
        </is>
      </c>
      <c r="W77">
        <f>HYPERLINK("https://klasma.github.io/Logging_0360/artfynd/A 53324-2021 artfynd.xlsx", "A 53324-2021")</f>
        <v/>
      </c>
      <c r="X77">
        <f>HYPERLINK("https://klasma.github.io/Logging_0360/kartor/A 53324-2021 karta.png", "A 53324-2021")</f>
        <v/>
      </c>
      <c r="Y77">
        <f>HYPERLINK("https://klasma.github.io/Logging_0360/kartor_geotiff/A 53324-2021 georefererad karta.tif", "A 53324-2021")</f>
        <v/>
      </c>
      <c r="AA77">
        <f>HYPERLINK("https://klasma.github.io/Logging_0360/klagomål/A 53324-2021 FSC-klagomål.docx", "A 53324-2021")</f>
        <v/>
      </c>
      <c r="AB77">
        <f>HYPERLINK("https://klasma.github.io/Logging_0360/klagomålsmail/A 53324-2021 FSC-klagomål mail.docx", "A 53324-2021")</f>
        <v/>
      </c>
      <c r="AC77">
        <f>HYPERLINK("https://klasma.github.io/Logging_0360/tillsyn/A 53324-2021 tillsynsbegäran.docx", "A 53324-2021")</f>
        <v/>
      </c>
      <c r="AD77">
        <f>HYPERLINK("https://klasma.github.io/Logging_0360/tillsynsmail/A 53324-2021 tillsynsbegäran mail.docx", "A 53324-2021")</f>
        <v/>
      </c>
    </row>
    <row r="78" ht="15" customHeight="1">
      <c r="A78" t="inlineStr">
        <is>
          <t>A 13066-2024</t>
        </is>
      </c>
      <c r="B78" t="inlineStr">
        <is>
          <t>avverkningsanmälan</t>
        </is>
      </c>
      <c r="C78" t="inlineStr">
        <is>
          <t>Föryngringsavverkning</t>
        </is>
      </c>
      <c r="D78" s="1" t="n">
        <v>45385</v>
      </c>
      <c r="E78" s="1" t="n">
        <v>46263</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27342-2026</t>
        </is>
      </c>
      <c r="B79" t="inlineStr">
        <is>
          <t>avverkningsanmälan</t>
        </is>
      </c>
      <c r="C79" t="inlineStr">
        <is>
          <t>Föryngringsavverkning</t>
        </is>
      </c>
      <c r="D79" s="1" t="n">
        <v>46188</v>
      </c>
      <c r="E79" s="1" t="n">
        <v>46263</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46263</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46263</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33388-2026</t>
        </is>
      </c>
      <c r="B82" t="inlineStr">
        <is>
          <t>avverkningsanmälan</t>
        </is>
      </c>
      <c r="C82" t="inlineStr">
        <is>
          <t>Föryngringsavverkning</t>
        </is>
      </c>
      <c r="D82" s="1" t="n">
        <v>46247</v>
      </c>
      <c r="E82" s="1" t="n">
        <v>46263</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46263</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46263</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46263</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S 408-2025</t>
        </is>
      </c>
      <c r="B86" t="inlineStr">
        <is>
          <t>samrådsanmälan</t>
        </is>
      </c>
      <c r="C86" t="inlineStr">
        <is>
          <t>Skogsgödsling</t>
        </is>
      </c>
      <c r="D86" s="1" t="n">
        <v>45699</v>
      </c>
      <c r="E86" s="1" t="n">
        <v>46263</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46263</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48880-2021</t>
        </is>
      </c>
      <c r="B88" t="inlineStr">
        <is>
          <t>avverkningsanmälan</t>
        </is>
      </c>
      <c r="C88" t="inlineStr">
        <is>
          <t>Föryngringsavverkning</t>
        </is>
      </c>
      <c r="D88" s="1" t="n">
        <v>44452</v>
      </c>
      <c r="E88" s="1" t="n">
        <v>46263</v>
      </c>
      <c r="F88" t="inlineStr">
        <is>
          <t>UPPSALA LÄN</t>
        </is>
      </c>
      <c r="G88" t="inlineStr">
        <is>
          <t>TIERP</t>
        </is>
      </c>
      <c r="I88" t="n">
        <v>2</v>
      </c>
      <c r="J88" t="n">
        <v>0</v>
      </c>
      <c r="K88" t="n">
        <v>0</v>
      </c>
      <c r="L88" t="n">
        <v>1</v>
      </c>
      <c r="M88" t="n">
        <v>0</v>
      </c>
      <c r="N88" t="n">
        <v>0</v>
      </c>
      <c r="O88" t="n">
        <v>0</v>
      </c>
      <c r="P88" t="n">
        <v>0</v>
      </c>
      <c r="Q88" t="n">
        <v>1</v>
      </c>
      <c r="R88" t="n">
        <v>0</v>
      </c>
      <c r="S88" t="n">
        <v>1</v>
      </c>
      <c r="T88" t="n">
        <v>1</v>
      </c>
      <c r="U88" t="n">
        <v>0</v>
      </c>
      <c r="V88" s="2" t="inlineStr">
        <is>
          <t>Flattoppad klubbsvamp</t>
        </is>
      </c>
      <c r="W88">
        <f>HYPERLINK("https://klasma.github.io/Logging_0360/artfynd/A 48880-2021 artfynd.xlsx", "A 48880-2021")</f>
        <v/>
      </c>
      <c r="X88">
        <f>HYPERLINK("https://klasma.github.io/Logging_0360/kartor/A 48880-2021 karta.png", "A 48880-2021")</f>
        <v/>
      </c>
      <c r="Y88">
        <f>HYPERLINK("https://klasma.github.io/Logging_0360/kartor_geotiff/A 48880-2021 georefererad karta.tif", "A 48880-2021")</f>
        <v/>
      </c>
      <c r="AA88">
        <f>HYPERLINK("https://klasma.github.io/Logging_0360/klagomål/A 48880-2021 FSC-klagomål.docx", "A 48880-2021")</f>
        <v/>
      </c>
      <c r="AB88">
        <f>HYPERLINK("https://klasma.github.io/Logging_0360/klagomålsmail/A 48880-2021 FSC-klagomål mail.docx", "A 48880-2021")</f>
        <v/>
      </c>
      <c r="AC88">
        <f>HYPERLINK("https://klasma.github.io/Logging_0360/tillsyn/A 48880-2021 tillsynsbegäran.docx", "A 48880-2021")</f>
        <v/>
      </c>
      <c r="AD88">
        <f>HYPERLINK("https://klasma.github.io/Logging_0360/tillsynsmail/A 48880-2021 tillsynsbegäran mail.docx", "A 48880-2021")</f>
        <v/>
      </c>
    </row>
    <row r="89" ht="15" customHeight="1">
      <c r="A89" t="inlineStr">
        <is>
          <t>A 2535-2022</t>
        </is>
      </c>
      <c r="B89" t="inlineStr">
        <is>
          <t>avverkningsanmälan</t>
        </is>
      </c>
      <c r="C89" t="inlineStr">
        <is>
          <t>Föryngringsavverkning</t>
        </is>
      </c>
      <c r="D89" s="1" t="n">
        <v>44579</v>
      </c>
      <c r="E89" s="1" t="n">
        <v>46263</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46263</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46263</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46263</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18097-2022</t>
        </is>
      </c>
      <c r="B93" t="inlineStr">
        <is>
          <t>avverkningsanmälan</t>
        </is>
      </c>
      <c r="C93" t="inlineStr">
        <is>
          <t>Föryngringsavverkning</t>
        </is>
      </c>
      <c r="D93" s="1" t="n">
        <v>44684</v>
      </c>
      <c r="E93" s="1" t="n">
        <v>46263</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29737-2022</t>
        </is>
      </c>
      <c r="B94" t="inlineStr">
        <is>
          <t>avverkningsanmälan</t>
        </is>
      </c>
      <c r="C94" t="inlineStr">
        <is>
          <t>Föryngringsavverkning</t>
        </is>
      </c>
      <c r="D94" s="1" t="n">
        <v>44755</v>
      </c>
      <c r="E94" s="1" t="n">
        <v>46263</v>
      </c>
      <c r="F94" t="inlineStr">
        <is>
          <t>UPPSALA LÄN</t>
        </is>
      </c>
      <c r="G94" t="inlineStr">
        <is>
          <t>TIERP</t>
        </is>
      </c>
      <c r="I94" t="n">
        <v>0.9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29737-2022 artfynd.xlsx", "A 29737-2022")</f>
        <v/>
      </c>
      <c r="X94">
        <f>HYPERLINK("https://klasma.github.io/Logging_0360/kartor/A 29737-2022 karta.png", "A 29737-2022")</f>
        <v/>
      </c>
      <c r="Y94">
        <f>HYPERLINK("https://klasma.github.io/Logging_0360/kartor_geotiff/A 29737-2022 georefererad karta.tif", "A 29737-2022")</f>
        <v/>
      </c>
      <c r="AA94">
        <f>HYPERLINK("https://klasma.github.io/Logging_0360/klagomål/A 29737-2022 FSC-klagomål.docx", "A 29737-2022")</f>
        <v/>
      </c>
      <c r="AB94">
        <f>HYPERLINK("https://klasma.github.io/Logging_0360/klagomålsmail/A 29737-2022 FSC-klagomål mail.docx", "A 29737-2022")</f>
        <v/>
      </c>
      <c r="AC94">
        <f>HYPERLINK("https://klasma.github.io/Logging_0360/tillsyn/A 29737-2022 tillsynsbegäran.docx", "A 29737-2022")</f>
        <v/>
      </c>
      <c r="AD94">
        <f>HYPERLINK("https://klasma.github.io/Logging_0360/tillsynsmail/A 29737-2022 tillsynsbegäran mail.docx", "A 29737-2022")</f>
        <v/>
      </c>
    </row>
    <row r="95" ht="15" customHeight="1">
      <c r="A95" t="inlineStr">
        <is>
          <t>A 21889-2025</t>
        </is>
      </c>
      <c r="B95" t="inlineStr">
        <is>
          <t>avverkningsanmälan</t>
        </is>
      </c>
      <c r="C95" t="inlineStr">
        <is>
          <t>Föryngringsavverkning</t>
        </is>
      </c>
      <c r="D95" s="1" t="n">
        <v>45784</v>
      </c>
      <c r="E95" s="1" t="n">
        <v>46263</v>
      </c>
      <c r="F95" t="inlineStr">
        <is>
          <t>UPPSALA LÄN</t>
        </is>
      </c>
      <c r="G95" t="inlineStr">
        <is>
          <t>TIERP</t>
        </is>
      </c>
      <c r="I95" t="n">
        <v>0.8</v>
      </c>
      <c r="J95" t="n">
        <v>0</v>
      </c>
      <c r="K95" t="n">
        <v>0</v>
      </c>
      <c r="L95" t="n">
        <v>0</v>
      </c>
      <c r="M95" t="n">
        <v>1</v>
      </c>
      <c r="N95" t="n">
        <v>0</v>
      </c>
      <c r="O95" t="n">
        <v>0</v>
      </c>
      <c r="P95" t="n">
        <v>0</v>
      </c>
      <c r="Q95" t="n">
        <v>1</v>
      </c>
      <c r="R95" t="n">
        <v>1</v>
      </c>
      <c r="S95" t="n">
        <v>1</v>
      </c>
      <c r="T95" t="n">
        <v>2</v>
      </c>
      <c r="U95" t="n">
        <v>2</v>
      </c>
      <c r="V95" s="2" t="inlineStr">
        <is>
          <t>Igelkott</t>
        </is>
      </c>
      <c r="W95">
        <f>HYPERLINK("https://klasma.github.io/Logging_0360/artfynd/A 21889-2025 artfynd.xlsx", "A 21889-2025")</f>
        <v/>
      </c>
      <c r="X95">
        <f>HYPERLINK("https://klasma.github.io/Logging_0360/kartor/A 21889-2025 karta.png", "A 21889-2025")</f>
        <v/>
      </c>
      <c r="Y95">
        <f>HYPERLINK("https://klasma.github.io/Logging_0360/kartor_geotiff/A 21889-2025 georefererad karta.tif", "A 21889-2025")</f>
        <v/>
      </c>
      <c r="AA95">
        <f>HYPERLINK("https://klasma.github.io/Logging_0360/klagomål/A 21889-2025 FSC-klagomål.docx", "A 21889-2025")</f>
        <v/>
      </c>
      <c r="AB95">
        <f>HYPERLINK("https://klasma.github.io/Logging_0360/klagomålsmail/A 21889-2025 FSC-klagomål mail.docx", "A 21889-2025")</f>
        <v/>
      </c>
      <c r="AC95">
        <f>HYPERLINK("https://klasma.github.io/Logging_0360/tillsyn/A 21889-2025 tillsynsbegäran.docx", "A 21889-2025")</f>
        <v/>
      </c>
      <c r="AD95">
        <f>HYPERLINK("https://klasma.github.io/Logging_0360/tillsynsmail/A 21889-2025 tillsynsbegäran mail.docx", "A 21889-2025")</f>
        <v/>
      </c>
    </row>
    <row r="96" ht="15" customHeight="1">
      <c r="A96" t="inlineStr">
        <is>
          <t>A 54534-2025</t>
        </is>
      </c>
      <c r="B96" t="inlineStr">
        <is>
          <t>avverkningsanmälan</t>
        </is>
      </c>
      <c r="C96" t="inlineStr">
        <is>
          <t>Föryngringsavverkning</t>
        </is>
      </c>
      <c r="D96" s="1" t="n">
        <v>45965</v>
      </c>
      <c r="E96" s="1" t="n">
        <v>46263</v>
      </c>
      <c r="F96" t="inlineStr">
        <is>
          <t>UPPSALA LÄN</t>
        </is>
      </c>
      <c r="G96" t="inlineStr">
        <is>
          <t>TIERP</t>
        </is>
      </c>
      <c r="H96" t="inlineStr">
        <is>
          <t>Bergvik skog väst AB</t>
        </is>
      </c>
      <c r="I96" t="n">
        <v>7.7</v>
      </c>
      <c r="J96" t="n">
        <v>0</v>
      </c>
      <c r="K96" t="n">
        <v>0</v>
      </c>
      <c r="L96" t="n">
        <v>1</v>
      </c>
      <c r="M96" t="n">
        <v>0</v>
      </c>
      <c r="N96" t="n">
        <v>0</v>
      </c>
      <c r="O96" t="n">
        <v>0</v>
      </c>
      <c r="P96" t="n">
        <v>0</v>
      </c>
      <c r="Q96" t="n">
        <v>1</v>
      </c>
      <c r="R96" t="n">
        <v>0</v>
      </c>
      <c r="S96" t="n">
        <v>1</v>
      </c>
      <c r="T96" t="n">
        <v>1</v>
      </c>
      <c r="U96" t="n">
        <v>0</v>
      </c>
      <c r="V96" s="2" t="inlineStr">
        <is>
          <t>Skogsklocka</t>
        </is>
      </c>
      <c r="W96">
        <f>HYPERLINK("https://klasma.github.io/Logging_0360/artfynd/A 54534-2025 artfynd.xlsx", "A 54534-2025")</f>
        <v/>
      </c>
      <c r="X96">
        <f>HYPERLINK("https://klasma.github.io/Logging_0360/kartor/A 54534-2025 karta.png", "A 54534-2025")</f>
        <v/>
      </c>
      <c r="Y96">
        <f>HYPERLINK("https://klasma.github.io/Logging_0360/kartor_geotiff/A 54534-2025 georefererad karta.tif", "A 54534-2025")</f>
        <v/>
      </c>
      <c r="AA96">
        <f>HYPERLINK("https://klasma.github.io/Logging_0360/klagomål/A 54534-2025 FSC-klagomål.docx", "A 54534-2025")</f>
        <v/>
      </c>
      <c r="AB96">
        <f>HYPERLINK("https://klasma.github.io/Logging_0360/klagomålsmail/A 54534-2025 FSC-klagomål mail.docx", "A 54534-2025")</f>
        <v/>
      </c>
      <c r="AC96">
        <f>HYPERLINK("https://klasma.github.io/Logging_0360/tillsyn/A 54534-2025 tillsynsbegäran.docx", "A 54534-2025")</f>
        <v/>
      </c>
      <c r="AD96">
        <f>HYPERLINK("https://klasma.github.io/Logging_0360/tillsynsmail/A 54534-2025 tillsynsbegäran mail.docx", "A 54534-2025")</f>
        <v/>
      </c>
    </row>
    <row r="97" ht="15" customHeight="1">
      <c r="A97" t="inlineStr">
        <is>
          <t>A 22601-2025</t>
        </is>
      </c>
      <c r="B97" t="inlineStr">
        <is>
          <t>avverkningsanmälan</t>
        </is>
      </c>
      <c r="C97" t="inlineStr">
        <is>
          <t>Föryngringsavverkning</t>
        </is>
      </c>
      <c r="D97" s="1" t="n">
        <v>45789</v>
      </c>
      <c r="E97" s="1" t="n">
        <v>46263</v>
      </c>
      <c r="F97" t="inlineStr">
        <is>
          <t>UPPSALA LÄN</t>
        </is>
      </c>
      <c r="G97" t="inlineStr">
        <is>
          <t>TIERP</t>
        </is>
      </c>
      <c r="H97" t="inlineStr">
        <is>
          <t>Bergvik skog väst AB</t>
        </is>
      </c>
      <c r="I97" t="n">
        <v>5.2</v>
      </c>
      <c r="J97" t="n">
        <v>0</v>
      </c>
      <c r="K97" t="n">
        <v>0</v>
      </c>
      <c r="L97" t="n">
        <v>0</v>
      </c>
      <c r="M97" t="n">
        <v>0</v>
      </c>
      <c r="N97" t="n">
        <v>1</v>
      </c>
      <c r="O97" t="n">
        <v>0</v>
      </c>
      <c r="P97" t="n">
        <v>0</v>
      </c>
      <c r="Q97" t="n">
        <v>1</v>
      </c>
      <c r="R97" t="n">
        <v>1</v>
      </c>
      <c r="S97" t="n">
        <v>1</v>
      </c>
      <c r="T97" t="n">
        <v>2</v>
      </c>
      <c r="U97" t="n">
        <v>0</v>
      </c>
      <c r="V97" s="2" t="inlineStr">
        <is>
          <t>Ask</t>
        </is>
      </c>
      <c r="W97">
        <f>HYPERLINK("https://klasma.github.io/Logging_0360/artfynd/A 22601-2025 artfynd.xlsx", "A 22601-2025")</f>
        <v/>
      </c>
      <c r="X97">
        <f>HYPERLINK("https://klasma.github.io/Logging_0360/kartor/A 22601-2025 karta.png", "A 22601-2025")</f>
        <v/>
      </c>
      <c r="Y97">
        <f>HYPERLINK("https://klasma.github.io/Logging_0360/kartor_geotiff/A 22601-2025 georefererad karta.tif", "A 22601-2025")</f>
        <v/>
      </c>
      <c r="AA97">
        <f>HYPERLINK("https://klasma.github.io/Logging_0360/klagomål/A 22601-2025 FSC-klagomål.docx", "A 22601-2025")</f>
        <v/>
      </c>
      <c r="AB97">
        <f>HYPERLINK("https://klasma.github.io/Logging_0360/klagomålsmail/A 22601-2025 FSC-klagomål mail.docx", "A 22601-2025")</f>
        <v/>
      </c>
      <c r="AC97">
        <f>HYPERLINK("https://klasma.github.io/Logging_0360/tillsyn/A 22601-2025 tillsynsbegäran.docx", "A 22601-2025")</f>
        <v/>
      </c>
      <c r="AD97">
        <f>HYPERLINK("https://klasma.github.io/Logging_0360/tillsynsmail/A 22601-2025 tillsynsbegäran mail.docx", "A 22601-2025")</f>
        <v/>
      </c>
    </row>
    <row r="98" ht="15" customHeight="1">
      <c r="A98" t="inlineStr">
        <is>
          <t>A 44382-2024</t>
        </is>
      </c>
      <c r="B98" t="inlineStr">
        <is>
          <t>avverkningsanmälan</t>
        </is>
      </c>
      <c r="C98" t="inlineStr">
        <is>
          <t>Föryngringsavverkning</t>
        </is>
      </c>
      <c r="D98" s="1" t="n">
        <v>45573</v>
      </c>
      <c r="E98" s="1" t="n">
        <v>46263</v>
      </c>
      <c r="F98" t="inlineStr">
        <is>
          <t>UPPSALA LÄN</t>
        </is>
      </c>
      <c r="G98" t="inlineStr">
        <is>
          <t>TIERP</t>
        </is>
      </c>
      <c r="I98" t="n">
        <v>4.7</v>
      </c>
      <c r="J98" t="n">
        <v>0</v>
      </c>
      <c r="K98" t="n">
        <v>0</v>
      </c>
      <c r="L98" t="n">
        <v>1</v>
      </c>
      <c r="M98" t="n">
        <v>0</v>
      </c>
      <c r="N98" t="n">
        <v>0</v>
      </c>
      <c r="O98" t="n">
        <v>0</v>
      </c>
      <c r="P98" t="n">
        <v>0</v>
      </c>
      <c r="Q98" t="n">
        <v>1</v>
      </c>
      <c r="R98" t="n">
        <v>0</v>
      </c>
      <c r="S98" t="n">
        <v>1</v>
      </c>
      <c r="T98" t="n">
        <v>1</v>
      </c>
      <c r="U98" t="n">
        <v>1</v>
      </c>
      <c r="V98" s="2" t="inlineStr">
        <is>
          <t>Vågticka</t>
        </is>
      </c>
      <c r="W98">
        <f>HYPERLINK("https://klasma.github.io/Logging_0360/artfynd/A 44382-2024 artfynd.xlsx", "A 44382-2024")</f>
        <v/>
      </c>
      <c r="X98">
        <f>HYPERLINK("https://klasma.github.io/Logging_0360/kartor/A 44382-2024 karta.png", "A 44382-2024")</f>
        <v/>
      </c>
      <c r="Y98">
        <f>HYPERLINK("https://klasma.github.io/Logging_0360/kartor_geotiff/A 44382-2024 georefererad karta.tif", "A 44382-2024")</f>
        <v/>
      </c>
      <c r="AA98">
        <f>HYPERLINK("https://klasma.github.io/Logging_0360/klagomål/A 44382-2024 FSC-klagomål.docx", "A 44382-2024")</f>
        <v/>
      </c>
      <c r="AB98">
        <f>HYPERLINK("https://klasma.github.io/Logging_0360/klagomålsmail/A 44382-2024 FSC-klagomål mail.docx", "A 44382-2024")</f>
        <v/>
      </c>
      <c r="AC98">
        <f>HYPERLINK("https://klasma.github.io/Logging_0360/tillsyn/A 44382-2024 tillsynsbegäran.docx", "A 44382-2024")</f>
        <v/>
      </c>
      <c r="AD98">
        <f>HYPERLINK("https://klasma.github.io/Logging_0360/tillsynsmail/A 44382-2024 tillsynsbegäran mail.docx", "A 44382-2024")</f>
        <v/>
      </c>
    </row>
    <row r="99" ht="15" customHeight="1">
      <c r="A99" t="inlineStr">
        <is>
          <t>A 55331-2024</t>
        </is>
      </c>
      <c r="B99" t="inlineStr">
        <is>
          <t>avverkningsanmälan</t>
        </is>
      </c>
      <c r="C99" t="inlineStr">
        <is>
          <t>Föryngringsavverkning</t>
        </is>
      </c>
      <c r="D99" s="1" t="n">
        <v>45621</v>
      </c>
      <c r="E99" s="1" t="n">
        <v>46263</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56046-2025</t>
        </is>
      </c>
      <c r="B100" t="inlineStr">
        <is>
          <t>avverkningsanmälan</t>
        </is>
      </c>
      <c r="C100" t="inlineStr">
        <is>
          <t>Föryngringsavverkning</t>
        </is>
      </c>
      <c r="D100" s="1" t="n">
        <v>45973</v>
      </c>
      <c r="E100" s="1" t="n">
        <v>46263</v>
      </c>
      <c r="F100" t="inlineStr">
        <is>
          <t>UPPSALA LÄN</t>
        </is>
      </c>
      <c r="G100" t="inlineStr">
        <is>
          <t>TIERP</t>
        </is>
      </c>
      <c r="H100" t="inlineStr">
        <is>
          <t>Bergvik skog väst AB</t>
        </is>
      </c>
      <c r="I100" t="n">
        <v>1.9</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HYPERLINK("https://klasma.github.io/Logging_0360/artfynd/A 56046-2025 artfynd.xlsx", "A 56046-2025")</f>
        <v/>
      </c>
      <c r="X100">
        <f>HYPERLINK("https://klasma.github.io/Logging_0360/kartor/A 56046-2025 karta.png", "A 56046-2025")</f>
        <v/>
      </c>
      <c r="Y100">
        <f>HYPERLINK("https://klasma.github.io/Logging_0360/kartor_geotiff/A 56046-2025 georefererad karta.tif", "A 56046-2025")</f>
        <v/>
      </c>
      <c r="AA100">
        <f>HYPERLINK("https://klasma.github.io/Logging_0360/klagomål/A 56046-2025 FSC-klagomål.docx", "A 56046-2025")</f>
        <v/>
      </c>
      <c r="AB100">
        <f>HYPERLINK("https://klasma.github.io/Logging_0360/klagomålsmail/A 56046-2025 FSC-klagomål mail.docx", "A 56046-2025")</f>
        <v/>
      </c>
      <c r="AC100">
        <f>HYPERLINK("https://klasma.github.io/Logging_0360/tillsyn/A 56046-2025 tillsynsbegäran.docx", "A 56046-2025")</f>
        <v/>
      </c>
      <c r="AD100">
        <f>HYPERLINK("https://klasma.github.io/Logging_0360/tillsynsmail/A 56046-2025 tillsynsbegäran mail.docx", "A 56046-2025")</f>
        <v/>
      </c>
    </row>
    <row r="101" ht="15" customHeight="1">
      <c r="A101" t="inlineStr">
        <is>
          <t>A 45769-2022</t>
        </is>
      </c>
      <c r="B101" t="inlineStr">
        <is>
          <t>avverkningsanmälan</t>
        </is>
      </c>
      <c r="C101" t="inlineStr">
        <is>
          <t>Föryngringsavverkning</t>
        </is>
      </c>
      <c r="D101" s="1" t="n">
        <v>44846</v>
      </c>
      <c r="E101" s="1" t="n">
        <v>46263</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44680-2025</t>
        </is>
      </c>
      <c r="B102" t="inlineStr">
        <is>
          <t>avverkningsanmälan</t>
        </is>
      </c>
      <c r="C102" t="inlineStr">
        <is>
          <t>Föryngringsavverkning</t>
        </is>
      </c>
      <c r="D102" s="1" t="n">
        <v>45917</v>
      </c>
      <c r="E102" s="1" t="n">
        <v>46263</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14527-2025</t>
        </is>
      </c>
      <c r="B103" t="inlineStr">
        <is>
          <t>avverkningsanmälan</t>
        </is>
      </c>
      <c r="C103" t="inlineStr">
        <is>
          <t>Föryngringsavverkning</t>
        </is>
      </c>
      <c r="D103" s="1" t="n">
        <v>45741</v>
      </c>
      <c r="E103" s="1" t="n">
        <v>46263</v>
      </c>
      <c r="F103" t="inlineStr">
        <is>
          <t>UPPSALA LÄN</t>
        </is>
      </c>
      <c r="G103" t="inlineStr">
        <is>
          <t>TIERP</t>
        </is>
      </c>
      <c r="H103" t="inlineStr">
        <is>
          <t>Bergvik skog väst AB</t>
        </is>
      </c>
      <c r="I103" t="n">
        <v>0.5</v>
      </c>
      <c r="J103" t="n">
        <v>0</v>
      </c>
      <c r="K103" t="n">
        <v>0</v>
      </c>
      <c r="L103" t="n">
        <v>0</v>
      </c>
      <c r="M103" t="n">
        <v>0</v>
      </c>
      <c r="N103" t="n">
        <v>1</v>
      </c>
      <c r="O103" t="n">
        <v>0</v>
      </c>
      <c r="P103" t="n">
        <v>0</v>
      </c>
      <c r="Q103" t="n">
        <v>1</v>
      </c>
      <c r="R103" t="n">
        <v>1</v>
      </c>
      <c r="S103" t="n">
        <v>1</v>
      </c>
      <c r="T103" t="n">
        <v>1</v>
      </c>
      <c r="U103" t="n">
        <v>1</v>
      </c>
      <c r="V103" s="2" t="inlineStr">
        <is>
          <t>Ask</t>
        </is>
      </c>
      <c r="W103">
        <f>HYPERLINK("https://klasma.github.io/Logging_0360/artfynd/A 14527-2025 artfynd.xlsx", "A 14527-2025")</f>
        <v/>
      </c>
      <c r="X103">
        <f>HYPERLINK("https://klasma.github.io/Logging_0360/kartor/A 14527-2025 karta.png", "A 14527-2025")</f>
        <v/>
      </c>
      <c r="Y103">
        <f>HYPERLINK("https://klasma.github.io/Logging_0360/kartor_geotiff/A 14527-2025 georefererad karta.tif", "A 14527-2025")</f>
        <v/>
      </c>
      <c r="AA103">
        <f>HYPERLINK("https://klasma.github.io/Logging_0360/klagomål/A 14527-2025 FSC-klagomål.docx", "A 14527-2025")</f>
        <v/>
      </c>
      <c r="AB103">
        <f>HYPERLINK("https://klasma.github.io/Logging_0360/klagomålsmail/A 14527-2025 FSC-klagomål mail.docx", "A 14527-2025")</f>
        <v/>
      </c>
      <c r="AC103">
        <f>HYPERLINK("https://klasma.github.io/Logging_0360/tillsyn/A 14527-2025 tillsynsbegäran.docx", "A 14527-2025")</f>
        <v/>
      </c>
      <c r="AD103">
        <f>HYPERLINK("https://klasma.github.io/Logging_0360/tillsynsmail/A 14527-2025 tillsynsbegäran mail.docx", "A 14527-2025")</f>
        <v/>
      </c>
    </row>
    <row r="104" ht="15" customHeight="1">
      <c r="A104" t="inlineStr">
        <is>
          <t>A 28252-2025</t>
        </is>
      </c>
      <c r="B104" t="inlineStr">
        <is>
          <t>avverkningsanmälan</t>
        </is>
      </c>
      <c r="C104" t="inlineStr">
        <is>
          <t>Föryngringsavverkning</t>
        </is>
      </c>
      <c r="D104" s="1" t="n">
        <v>45818</v>
      </c>
      <c r="E104" s="1" t="n">
        <v>46263</v>
      </c>
      <c r="F104" t="inlineStr">
        <is>
          <t>UPPSALA LÄN</t>
        </is>
      </c>
      <c r="G104" t="inlineStr">
        <is>
          <t>TIERP</t>
        </is>
      </c>
      <c r="H104" t="inlineStr">
        <is>
          <t>Bergvik skog öst AB</t>
        </is>
      </c>
      <c r="I104" t="n">
        <v>0.9</v>
      </c>
      <c r="J104" t="n">
        <v>1</v>
      </c>
      <c r="K104" t="n">
        <v>0</v>
      </c>
      <c r="L104" t="n">
        <v>1</v>
      </c>
      <c r="M104" t="n">
        <v>0</v>
      </c>
      <c r="N104" t="n">
        <v>0</v>
      </c>
      <c r="O104" t="n">
        <v>0</v>
      </c>
      <c r="P104" t="n">
        <v>0</v>
      </c>
      <c r="Q104" t="n">
        <v>1</v>
      </c>
      <c r="R104" t="n">
        <v>0</v>
      </c>
      <c r="S104" t="n">
        <v>1</v>
      </c>
      <c r="T104" t="n">
        <v>1</v>
      </c>
      <c r="U104" t="n">
        <v>0</v>
      </c>
      <c r="V104" s="2" t="inlineStr">
        <is>
          <t>Sädesärla</t>
        </is>
      </c>
      <c r="W104">
        <f>HYPERLINK("https://klasma.github.io/Logging_0360/artfynd/A 28252-2025 artfynd.xlsx", "A 28252-2025")</f>
        <v/>
      </c>
      <c r="X104">
        <f>HYPERLINK("https://klasma.github.io/Logging_0360/kartor/A 28252-2025 karta.png", "A 28252-2025")</f>
        <v/>
      </c>
      <c r="Y104">
        <f>HYPERLINK("https://klasma.github.io/Logging_0360/kartor_geotiff/A 28252-2025 georefererad karta.tif", "A 28252-2025")</f>
        <v/>
      </c>
      <c r="AA104">
        <f>HYPERLINK("https://klasma.github.io/Logging_0360/klagomål/A 28252-2025 FSC-klagomål.docx", "A 28252-2025")</f>
        <v/>
      </c>
      <c r="AB104">
        <f>HYPERLINK("https://klasma.github.io/Logging_0360/klagomålsmail/A 28252-2025 FSC-klagomål mail.docx", "A 28252-2025")</f>
        <v/>
      </c>
      <c r="AC104">
        <f>HYPERLINK("https://klasma.github.io/Logging_0360/tillsyn/A 28252-2025 tillsynsbegäran.docx", "A 28252-2025")</f>
        <v/>
      </c>
      <c r="AD104">
        <f>HYPERLINK("https://klasma.github.io/Logging_0360/tillsynsmail/A 28252-2025 tillsynsbegäran mail.docx", "A 28252-2025")</f>
        <v/>
      </c>
      <c r="AE104">
        <f>HYPERLINK("https://klasma.github.io/Logging_0360/fåglar/A 28252-2025 prioriterade fågelarter.docx", "A 28252-2025")</f>
        <v/>
      </c>
    </row>
    <row r="105" ht="15" customHeight="1">
      <c r="A105" t="inlineStr">
        <is>
          <t>A 3561-2023</t>
        </is>
      </c>
      <c r="B105" t="inlineStr">
        <is>
          <t>avverkningsanmälan</t>
        </is>
      </c>
      <c r="C105" t="inlineStr">
        <is>
          <t>Föryngringsavverkning</t>
        </is>
      </c>
      <c r="D105" s="1" t="n">
        <v>44950</v>
      </c>
      <c r="E105" s="1" t="n">
        <v>46263</v>
      </c>
      <c r="F105" t="inlineStr">
        <is>
          <t>UPPSALA LÄN</t>
        </is>
      </c>
      <c r="G105" t="inlineStr">
        <is>
          <t>TIERP</t>
        </is>
      </c>
      <c r="I105" t="n">
        <v>2</v>
      </c>
      <c r="J105" t="n">
        <v>1</v>
      </c>
      <c r="K105" t="n">
        <v>0</v>
      </c>
      <c r="L105" t="n">
        <v>0</v>
      </c>
      <c r="M105" t="n">
        <v>0</v>
      </c>
      <c r="N105" t="n">
        <v>0</v>
      </c>
      <c r="O105" t="n">
        <v>0</v>
      </c>
      <c r="P105" t="n">
        <v>0</v>
      </c>
      <c r="Q105" t="n">
        <v>0</v>
      </c>
      <c r="R105" t="n">
        <v>0</v>
      </c>
      <c r="S105" t="n">
        <v>1</v>
      </c>
      <c r="T105" t="n">
        <v>1</v>
      </c>
      <c r="U105" t="n">
        <v>1</v>
      </c>
      <c r="V105" s="2" t="inlineStr">
        <is>
          <t>Slaguggla</t>
        </is>
      </c>
      <c r="W105">
        <f>HYPERLINK("https://klasma.github.io/Logging_0360/artfynd/A 3561-2023 artfynd.xlsx", "A 3561-2023")</f>
        <v/>
      </c>
      <c r="X105">
        <f>HYPERLINK("https://klasma.github.io/Logging_0360/kartor/A 3561-2023 karta.png", "A 3561-2023")</f>
        <v/>
      </c>
      <c r="Y105">
        <f>HYPERLINK("https://klasma.github.io/Logging_0360/kartor_geotiff/A 3561-2023 georefererad karta.tif", "A 3561-2023")</f>
        <v/>
      </c>
      <c r="AA105">
        <f>HYPERLINK("https://klasma.github.io/Logging_0360/klagomål/A 3561-2023 FSC-klagomål.docx", "A 3561-2023")</f>
        <v/>
      </c>
      <c r="AB105">
        <f>HYPERLINK("https://klasma.github.io/Logging_0360/klagomålsmail/A 3561-2023 FSC-klagomål mail.docx", "A 3561-2023")</f>
        <v/>
      </c>
      <c r="AC105">
        <f>HYPERLINK("https://klasma.github.io/Logging_0360/tillsyn/A 3561-2023 tillsynsbegäran.docx", "A 3561-2023")</f>
        <v/>
      </c>
      <c r="AD105">
        <f>HYPERLINK("https://klasma.github.io/Logging_0360/tillsynsmail/A 3561-2023 tillsynsbegäran mail.docx", "A 3561-2023")</f>
        <v/>
      </c>
      <c r="AE105">
        <f>HYPERLINK("https://klasma.github.io/Logging_0360/fåglar/A 3561-2023 prioriterade fågelarter.docx", "A 3561-2023")</f>
        <v/>
      </c>
    </row>
    <row r="106" ht="15" customHeight="1">
      <c r="A106" t="inlineStr">
        <is>
          <t>A 51716-2023</t>
        </is>
      </c>
      <c r="B106" t="inlineStr">
        <is>
          <t>avverkningsanmälan</t>
        </is>
      </c>
      <c r="C106" t="inlineStr">
        <is>
          <t>Föryngringsavverkning</t>
        </is>
      </c>
      <c r="D106" s="1" t="n">
        <v>45222</v>
      </c>
      <c r="E106" s="1" t="n">
        <v>46263</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61825-2025</t>
        </is>
      </c>
      <c r="B107" t="inlineStr">
        <is>
          <t>avverkningsanmälan</t>
        </is>
      </c>
      <c r="C107" t="inlineStr">
        <is>
          <t>Föryngringsavverkning</t>
        </is>
      </c>
      <c r="D107" s="1" t="n">
        <v>46003</v>
      </c>
      <c r="E107" s="1" t="n">
        <v>46263</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61280-2024</t>
        </is>
      </c>
      <c r="B108" t="inlineStr">
        <is>
          <t>avverkningsanmälan</t>
        </is>
      </c>
      <c r="C108" t="inlineStr">
        <is>
          <t>Föryngringsavverkning</t>
        </is>
      </c>
      <c r="D108" s="1" t="n">
        <v>45645</v>
      </c>
      <c r="E108" s="1" t="n">
        <v>46263</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15680-2025</t>
        </is>
      </c>
      <c r="B109" t="inlineStr">
        <is>
          <t>avverkningsanmälan</t>
        </is>
      </c>
      <c r="C109" t="inlineStr">
        <is>
          <t>Föryngringsavverkning</t>
        </is>
      </c>
      <c r="D109" s="1" t="n">
        <v>45748</v>
      </c>
      <c r="E109" s="1" t="n">
        <v>46263</v>
      </c>
      <c r="F109" t="inlineStr">
        <is>
          <t>UPPSALA LÄN</t>
        </is>
      </c>
      <c r="G109" t="inlineStr">
        <is>
          <t>TIERP</t>
        </is>
      </c>
      <c r="H109" t="inlineStr">
        <is>
          <t>Kyrkan</t>
        </is>
      </c>
      <c r="I109" t="n">
        <v>13.5</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HYPERLINK("https://klasma.github.io/Logging_0360/artfynd/A 15680-2025 artfynd.xlsx", "A 15680-2025")</f>
        <v/>
      </c>
      <c r="X109">
        <f>HYPERLINK("https://klasma.github.io/Logging_0360/kartor/A 15680-2025 karta.png", "A 15680-2025")</f>
        <v/>
      </c>
      <c r="Y109">
        <f>HYPERLINK("https://klasma.github.io/Logging_0360/kartor_geotiff/A 15680-2025 georefererad karta.tif", "A 15680-2025")</f>
        <v/>
      </c>
      <c r="AA109">
        <f>HYPERLINK("https://klasma.github.io/Logging_0360/klagomål/A 15680-2025 FSC-klagomål.docx", "A 15680-2025")</f>
        <v/>
      </c>
      <c r="AB109">
        <f>HYPERLINK("https://klasma.github.io/Logging_0360/klagomålsmail/A 15680-2025 FSC-klagomål mail.docx", "A 15680-2025")</f>
        <v/>
      </c>
      <c r="AC109">
        <f>HYPERLINK("https://klasma.github.io/Logging_0360/tillsyn/A 15680-2025 tillsynsbegäran.docx", "A 15680-2025")</f>
        <v/>
      </c>
      <c r="AD109">
        <f>HYPERLINK("https://klasma.github.io/Logging_0360/tillsynsmail/A 15680-2025 tillsynsbegäran mail.docx", "A 15680-2025")</f>
        <v/>
      </c>
    </row>
    <row r="110" ht="15" customHeight="1">
      <c r="A110" t="inlineStr">
        <is>
          <t>A 2549-2025</t>
        </is>
      </c>
      <c r="B110" t="inlineStr">
        <is>
          <t>avverkningsanmälan</t>
        </is>
      </c>
      <c r="C110" t="inlineStr">
        <is>
          <t>Föryngringsavverkning</t>
        </is>
      </c>
      <c r="D110" s="1" t="n">
        <v>45674</v>
      </c>
      <c r="E110" s="1" t="n">
        <v>46263</v>
      </c>
      <c r="F110" t="inlineStr">
        <is>
          <t>UPPSALA LÄN</t>
        </is>
      </c>
      <c r="G110" t="inlineStr">
        <is>
          <t>TIERP</t>
        </is>
      </c>
      <c r="I110" t="n">
        <v>4</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HYPERLINK("https://klasma.github.io/Logging_0360/artfynd/A 2549-2025 artfynd.xlsx", "A 2549-2025")</f>
        <v/>
      </c>
      <c r="X110">
        <f>HYPERLINK("https://klasma.github.io/Logging_0360/kartor/A 2549-2025 karta.png", "A 2549-2025")</f>
        <v/>
      </c>
      <c r="Y110">
        <f>HYPERLINK("https://klasma.github.io/Logging_0360/kartor_geotiff/A 2549-2025 georefererad karta.tif", "A 2549-2025")</f>
        <v/>
      </c>
      <c r="AA110">
        <f>HYPERLINK("https://klasma.github.io/Logging_0360/klagomål/A 2549-2025 FSC-klagomål.docx", "A 2549-2025")</f>
        <v/>
      </c>
      <c r="AB110">
        <f>HYPERLINK("https://klasma.github.io/Logging_0360/klagomålsmail/A 2549-2025 FSC-klagomål mail.docx", "A 2549-2025")</f>
        <v/>
      </c>
      <c r="AC110">
        <f>HYPERLINK("https://klasma.github.io/Logging_0360/tillsyn/A 2549-2025 tillsynsbegäran.docx", "A 2549-2025")</f>
        <v/>
      </c>
      <c r="AD110">
        <f>HYPERLINK("https://klasma.github.io/Logging_0360/tillsynsmail/A 2549-2025 tillsynsbegäran mail.docx", "A 2549-2025")</f>
        <v/>
      </c>
    </row>
    <row r="111" ht="15" customHeight="1">
      <c r="A111" t="inlineStr">
        <is>
          <t>A 63261-2025</t>
        </is>
      </c>
      <c r="B111" t="inlineStr">
        <is>
          <t>avverkningsanmälan</t>
        </is>
      </c>
      <c r="C111" t="inlineStr">
        <is>
          <t>Föryngringsavverkning</t>
        </is>
      </c>
      <c r="D111" s="1" t="n">
        <v>46010</v>
      </c>
      <c r="E111" s="1" t="n">
        <v>46263</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33797-2023</t>
        </is>
      </c>
      <c r="B112" t="inlineStr">
        <is>
          <t>avverkningsanmälan</t>
        </is>
      </c>
      <c r="C112" t="inlineStr">
        <is>
          <t>Föryngringsavverkning</t>
        </is>
      </c>
      <c r="D112" s="1" t="n">
        <v>45133</v>
      </c>
      <c r="E112" s="1" t="n">
        <v>46263</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5730-2026</t>
        </is>
      </c>
      <c r="B113" t="inlineStr">
        <is>
          <t>avverkningsanmälan</t>
        </is>
      </c>
      <c r="C113" t="inlineStr">
        <is>
          <t>Föryngringsavverkning</t>
        </is>
      </c>
      <c r="D113" s="1" t="n">
        <v>46051</v>
      </c>
      <c r="E113" s="1" t="n">
        <v>46263</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6139-2026</t>
        </is>
      </c>
      <c r="B114" t="inlineStr">
        <is>
          <t>avverkningsanmälan</t>
        </is>
      </c>
      <c r="C114" t="inlineStr">
        <is>
          <t>Föryngringsavverkning</t>
        </is>
      </c>
      <c r="D114" s="1" t="n">
        <v>46054</v>
      </c>
      <c r="E114" s="1" t="n">
        <v>46263</v>
      </c>
      <c r="F114" t="inlineStr">
        <is>
          <t>UPPSALA LÄN</t>
        </is>
      </c>
      <c r="G114" t="inlineStr">
        <is>
          <t>TIERP</t>
        </is>
      </c>
      <c r="I114" t="n">
        <v>1</v>
      </c>
      <c r="J114" t="n">
        <v>0</v>
      </c>
      <c r="K114" t="n">
        <v>0</v>
      </c>
      <c r="L114" t="n">
        <v>0</v>
      </c>
      <c r="M114" t="n">
        <v>0</v>
      </c>
      <c r="N114" t="n">
        <v>1</v>
      </c>
      <c r="O114" t="n">
        <v>0</v>
      </c>
      <c r="P114" t="n">
        <v>0</v>
      </c>
      <c r="Q114" t="n">
        <v>1</v>
      </c>
      <c r="R114" t="n">
        <v>1</v>
      </c>
      <c r="S114" t="n">
        <v>1</v>
      </c>
      <c r="T114" t="n">
        <v>1</v>
      </c>
      <c r="U114" t="n">
        <v>0</v>
      </c>
      <c r="V114" s="2" t="inlineStr">
        <is>
          <t>Koppartaggsvamp</t>
        </is>
      </c>
      <c r="W114">
        <f>HYPERLINK("https://klasma.github.io/Logging_0360/artfynd/A 6139-2026 artfynd.xlsx", "A 6139-2026")</f>
        <v/>
      </c>
      <c r="X114">
        <f>HYPERLINK("https://klasma.github.io/Logging_0360/kartor/A 6139-2026 karta.png", "A 6139-2026")</f>
        <v/>
      </c>
      <c r="Y114">
        <f>HYPERLINK("https://klasma.github.io/Logging_0360/kartor_geotiff/A 6139-2026 georefererad karta.tif", "A 6139-2026")</f>
        <v/>
      </c>
      <c r="AA114">
        <f>HYPERLINK("https://klasma.github.io/Logging_0360/klagomål/A 6139-2026 FSC-klagomål.docx", "A 6139-2026")</f>
        <v/>
      </c>
      <c r="AB114">
        <f>HYPERLINK("https://klasma.github.io/Logging_0360/klagomålsmail/A 6139-2026 FSC-klagomål mail.docx", "A 6139-2026")</f>
        <v/>
      </c>
      <c r="AC114">
        <f>HYPERLINK("https://klasma.github.io/Logging_0360/tillsyn/A 6139-2026 tillsynsbegäran.docx", "A 6139-2026")</f>
        <v/>
      </c>
      <c r="AD114">
        <f>HYPERLINK("https://klasma.github.io/Logging_0360/tillsynsmail/A 6139-2026 tillsynsbegäran mail.docx", "A 6139-2026")</f>
        <v/>
      </c>
    </row>
    <row r="115" ht="15" customHeight="1">
      <c r="A115" t="inlineStr">
        <is>
          <t>A 38821-2023</t>
        </is>
      </c>
      <c r="B115" t="inlineStr">
        <is>
          <t>avverkningsanmälan</t>
        </is>
      </c>
      <c r="C115" t="inlineStr">
        <is>
          <t>Föryngringsavverkning</t>
        </is>
      </c>
      <c r="D115" s="1" t="n">
        <v>45163</v>
      </c>
      <c r="E115" s="1" t="n">
        <v>46263</v>
      </c>
      <c r="F115" t="inlineStr">
        <is>
          <t>UPPSALA LÄN</t>
        </is>
      </c>
      <c r="G115" t="inlineStr">
        <is>
          <t>TIERP</t>
        </is>
      </c>
      <c r="I115" t="n">
        <v>20.3</v>
      </c>
      <c r="J115" t="n">
        <v>1</v>
      </c>
      <c r="K115" t="n">
        <v>0</v>
      </c>
      <c r="L115" t="n">
        <v>0</v>
      </c>
      <c r="M115" t="n">
        <v>0</v>
      </c>
      <c r="N115" t="n">
        <v>0</v>
      </c>
      <c r="O115" t="n">
        <v>0</v>
      </c>
      <c r="P115" t="n">
        <v>0</v>
      </c>
      <c r="Q115" t="n">
        <v>0</v>
      </c>
      <c r="R115" t="n">
        <v>0</v>
      </c>
      <c r="S115" t="n">
        <v>1</v>
      </c>
      <c r="T115" t="n">
        <v>1</v>
      </c>
      <c r="U115" t="n">
        <v>1</v>
      </c>
      <c r="V115" s="2" t="inlineStr">
        <is>
          <t>Revlummer</t>
        </is>
      </c>
      <c r="W115">
        <f>HYPERLINK("https://klasma.github.io/Logging_0360/artfynd/A 38821-2023 artfynd.xlsx", "A 38821-2023")</f>
        <v/>
      </c>
      <c r="X115">
        <f>HYPERLINK("https://klasma.github.io/Logging_0360/kartor/A 38821-2023 karta.png", "A 38821-2023")</f>
        <v/>
      </c>
      <c r="Y115">
        <f>HYPERLINK("https://klasma.github.io/Logging_0360/kartor_geotiff/A 38821-2023 georefererad karta.tif", "A 38821-2023")</f>
        <v/>
      </c>
      <c r="AA115">
        <f>HYPERLINK("https://klasma.github.io/Logging_0360/klagomål/A 38821-2023 FSC-klagomål.docx", "A 38821-2023")</f>
        <v/>
      </c>
      <c r="AB115">
        <f>HYPERLINK("https://klasma.github.io/Logging_0360/klagomålsmail/A 38821-2023 FSC-klagomål mail.docx", "A 38821-2023")</f>
        <v/>
      </c>
      <c r="AC115">
        <f>HYPERLINK("https://klasma.github.io/Logging_0360/tillsyn/A 38821-2023 tillsynsbegäran.docx", "A 38821-2023")</f>
        <v/>
      </c>
      <c r="AD115">
        <f>HYPERLINK("https://klasma.github.io/Logging_0360/tillsynsmail/A 38821-2023 tillsynsbegäran mail.docx", "A 38821-2023")</f>
        <v/>
      </c>
    </row>
    <row r="116" ht="15" customHeight="1">
      <c r="A116" t="inlineStr">
        <is>
          <t>A 16186-2026</t>
        </is>
      </c>
      <c r="B116" t="inlineStr">
        <is>
          <t>avverkningsanmälan</t>
        </is>
      </c>
      <c r="C116" t="inlineStr">
        <is>
          <t>Föryngringsavverkning</t>
        </is>
      </c>
      <c r="D116" s="1" t="n">
        <v>46111</v>
      </c>
      <c r="E116" s="1" t="n">
        <v>46263</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18521-2026</t>
        </is>
      </c>
      <c r="B117" t="inlineStr">
        <is>
          <t>avverkningsanmälan</t>
        </is>
      </c>
      <c r="C117" t="inlineStr">
        <is>
          <t>Föryngringsavverkning</t>
        </is>
      </c>
      <c r="D117" s="1" t="n">
        <v>46127</v>
      </c>
      <c r="E117" s="1" t="n">
        <v>46263</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19692-2026</t>
        </is>
      </c>
      <c r="B118" t="inlineStr">
        <is>
          <t>avverkningsanmälan</t>
        </is>
      </c>
      <c r="C118" t="inlineStr">
        <is>
          <t>Föryngringsavverkning</t>
        </is>
      </c>
      <c r="D118" s="1" t="n">
        <v>46134</v>
      </c>
      <c r="E118" s="1" t="n">
        <v>46263</v>
      </c>
      <c r="F118" t="inlineStr">
        <is>
          <t>UPPSALA LÄN</t>
        </is>
      </c>
      <c r="G118" t="inlineStr">
        <is>
          <t>TIERP</t>
        </is>
      </c>
      <c r="I118" t="n">
        <v>2.1</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HYPERLINK("https://klasma.github.io/Logging_0360/artfynd/A 19692-2026 artfynd.xlsx", "A 19692-2026")</f>
        <v/>
      </c>
      <c r="X118">
        <f>HYPERLINK("https://klasma.github.io/Logging_0360/kartor/A 19692-2026 karta.png", "A 19692-2026")</f>
        <v/>
      </c>
      <c r="Y118">
        <f>HYPERLINK("https://klasma.github.io/Logging_0360/kartor_geotiff/A 19692-2026 georefererad karta.tif", "A 19692-2026")</f>
        <v/>
      </c>
      <c r="AA118">
        <f>HYPERLINK("https://klasma.github.io/Logging_0360/klagomål/A 19692-2026 FSC-klagomål.docx", "A 19692-2026")</f>
        <v/>
      </c>
      <c r="AB118">
        <f>HYPERLINK("https://klasma.github.io/Logging_0360/klagomålsmail/A 19692-2026 FSC-klagomål mail.docx", "A 19692-2026")</f>
        <v/>
      </c>
      <c r="AC118">
        <f>HYPERLINK("https://klasma.github.io/Logging_0360/tillsyn/A 19692-2026 tillsynsbegäran.docx", "A 19692-2026")</f>
        <v/>
      </c>
      <c r="AD118">
        <f>HYPERLINK("https://klasma.github.io/Logging_0360/tillsynsmail/A 19692-2026 tillsynsbegäran mail.docx", "A 19692-2026")</f>
        <v/>
      </c>
    </row>
    <row r="119" ht="15" customHeight="1">
      <c r="A119" t="inlineStr">
        <is>
          <t>A 1572-2023</t>
        </is>
      </c>
      <c r="B119" t="inlineStr">
        <is>
          <t>avverkningsanmälan</t>
        </is>
      </c>
      <c r="C119" t="inlineStr">
        <is>
          <t>Föryngringsavverkning</t>
        </is>
      </c>
      <c r="D119" s="1" t="n">
        <v>44937</v>
      </c>
      <c r="E119" s="1" t="n">
        <v>46263</v>
      </c>
      <c r="F119" t="inlineStr">
        <is>
          <t>UPPSALA LÄN</t>
        </is>
      </c>
      <c r="G119" t="inlineStr">
        <is>
          <t>TIERP</t>
        </is>
      </c>
      <c r="I119" t="n">
        <v>7.4</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HYPERLINK("https://klasma.github.io/Logging_0360/artfynd/A 1572-2023 artfynd.xlsx", "A 1572-2023")</f>
        <v/>
      </c>
      <c r="X119">
        <f>HYPERLINK("https://klasma.github.io/Logging_0360/kartor/A 1572-2023 karta.png", "A 1572-2023")</f>
        <v/>
      </c>
      <c r="Y119">
        <f>HYPERLINK("https://klasma.github.io/Logging_0360/kartor_geotiff/A 1572-2023 georefererad karta.tif", "A 1572-2023")</f>
        <v/>
      </c>
      <c r="AA119">
        <f>HYPERLINK("https://klasma.github.io/Logging_0360/klagomål/A 1572-2023 FSC-klagomål.docx", "A 1572-2023")</f>
        <v/>
      </c>
      <c r="AB119">
        <f>HYPERLINK("https://klasma.github.io/Logging_0360/klagomålsmail/A 1572-2023 FSC-klagomål mail.docx", "A 1572-2023")</f>
        <v/>
      </c>
      <c r="AC119">
        <f>HYPERLINK("https://klasma.github.io/Logging_0360/tillsyn/A 1572-2023 tillsynsbegäran.docx", "A 1572-2023")</f>
        <v/>
      </c>
      <c r="AD119">
        <f>HYPERLINK("https://klasma.github.io/Logging_0360/tillsynsmail/A 1572-2023 tillsynsbegäran mail.docx", "A 1572-2023")</f>
        <v/>
      </c>
    </row>
    <row r="120" ht="15" customHeight="1">
      <c r="A120" t="inlineStr">
        <is>
          <t>A 22769-2025</t>
        </is>
      </c>
      <c r="B120" t="inlineStr">
        <is>
          <t>avverkningsanmälan</t>
        </is>
      </c>
      <c r="C120" t="inlineStr">
        <is>
          <t>Föryngringsavverkning</t>
        </is>
      </c>
      <c r="D120" s="1" t="n">
        <v>45789</v>
      </c>
      <c r="E120" s="1" t="n">
        <v>46263</v>
      </c>
      <c r="F120" t="inlineStr">
        <is>
          <t>UPPSALA LÄN</t>
        </is>
      </c>
      <c r="G120" t="inlineStr">
        <is>
          <t>TIERP</t>
        </is>
      </c>
      <c r="I120" t="n">
        <v>1.6</v>
      </c>
      <c r="J120" t="n">
        <v>0</v>
      </c>
      <c r="K120" t="n">
        <v>0</v>
      </c>
      <c r="L120" t="n">
        <v>1</v>
      </c>
      <c r="M120" t="n">
        <v>0</v>
      </c>
      <c r="N120" t="n">
        <v>0</v>
      </c>
      <c r="O120" t="n">
        <v>0</v>
      </c>
      <c r="P120" t="n">
        <v>0</v>
      </c>
      <c r="Q120" t="n">
        <v>1</v>
      </c>
      <c r="R120" t="n">
        <v>0</v>
      </c>
      <c r="S120" t="n">
        <v>1</v>
      </c>
      <c r="T120" t="n">
        <v>1</v>
      </c>
      <c r="U120" t="n">
        <v>0</v>
      </c>
      <c r="V120" s="2" t="inlineStr">
        <is>
          <t>Vårärt</t>
        </is>
      </c>
      <c r="W120">
        <f>HYPERLINK("https://klasma.github.io/Logging_0360/artfynd/A 22769-2025 artfynd.xlsx", "A 22769-2025")</f>
        <v/>
      </c>
      <c r="X120">
        <f>HYPERLINK("https://klasma.github.io/Logging_0360/kartor/A 22769-2025 karta.png", "A 22769-2025")</f>
        <v/>
      </c>
      <c r="Y120">
        <f>HYPERLINK("https://klasma.github.io/Logging_0360/kartor_geotiff/A 22769-2025 georefererad karta.tif", "A 22769-2025")</f>
        <v/>
      </c>
      <c r="AA120">
        <f>HYPERLINK("https://klasma.github.io/Logging_0360/klagomål/A 22769-2025 FSC-klagomål.docx", "A 22769-2025")</f>
        <v/>
      </c>
      <c r="AB120">
        <f>HYPERLINK("https://klasma.github.io/Logging_0360/klagomålsmail/A 22769-2025 FSC-klagomål mail.docx", "A 22769-2025")</f>
        <v/>
      </c>
      <c r="AC120">
        <f>HYPERLINK("https://klasma.github.io/Logging_0360/tillsyn/A 22769-2025 tillsynsbegäran.docx", "A 22769-2025")</f>
        <v/>
      </c>
      <c r="AD120">
        <f>HYPERLINK("https://klasma.github.io/Logging_0360/tillsynsmail/A 22769-2025 tillsynsbegäran mail.docx", "A 22769-2025")</f>
        <v/>
      </c>
    </row>
    <row r="121" ht="15" customHeight="1">
      <c r="A121" t="inlineStr">
        <is>
          <t>A 2298-2024</t>
        </is>
      </c>
      <c r="B121" t="inlineStr">
        <is>
          <t>avverkningsanmälan</t>
        </is>
      </c>
      <c r="C121" t="inlineStr">
        <is>
          <t>Föryngringsavverkning</t>
        </is>
      </c>
      <c r="D121" s="1" t="n">
        <v>45310</v>
      </c>
      <c r="E121" s="1" t="n">
        <v>46263</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10844-2025</t>
        </is>
      </c>
      <c r="B122" t="inlineStr">
        <is>
          <t>avverkningsanmälan</t>
        </is>
      </c>
      <c r="C122" t="inlineStr">
        <is>
          <t>Föryngringsavverkning</t>
        </is>
      </c>
      <c r="D122" s="1" t="n">
        <v>45722</v>
      </c>
      <c r="E122" s="1" t="n">
        <v>46263</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8772-2023</t>
        </is>
      </c>
      <c r="B123" t="inlineStr">
        <is>
          <t>avverkningsanmälan</t>
        </is>
      </c>
      <c r="C123" t="inlineStr">
        <is>
          <t>Föryngringsavverkning</t>
        </is>
      </c>
      <c r="D123" s="1" t="n">
        <v>44978</v>
      </c>
      <c r="E123" s="1" t="n">
        <v>46263</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21566-2026</t>
        </is>
      </c>
      <c r="B124" t="inlineStr">
        <is>
          <t>avverkningsanmälan</t>
        </is>
      </c>
      <c r="C124" t="inlineStr">
        <is>
          <t>Föryngringsavverkning</t>
        </is>
      </c>
      <c r="D124" s="1" t="n">
        <v>46148</v>
      </c>
      <c r="E124" s="1" t="n">
        <v>46263</v>
      </c>
      <c r="F124" t="inlineStr">
        <is>
          <t>UPPSALA LÄN</t>
        </is>
      </c>
      <c r="G124" t="inlineStr">
        <is>
          <t>TIERP</t>
        </is>
      </c>
      <c r="H124" t="inlineStr">
        <is>
          <t>Bergvik skog väst AB</t>
        </is>
      </c>
      <c r="I124" t="n">
        <v>13.7</v>
      </c>
      <c r="J124" t="n">
        <v>0</v>
      </c>
      <c r="K124" t="n">
        <v>0</v>
      </c>
      <c r="L124" t="n">
        <v>1</v>
      </c>
      <c r="M124" t="n">
        <v>0</v>
      </c>
      <c r="N124" t="n">
        <v>0</v>
      </c>
      <c r="O124" t="n">
        <v>0</v>
      </c>
      <c r="P124" t="n">
        <v>0</v>
      </c>
      <c r="Q124" t="n">
        <v>1</v>
      </c>
      <c r="R124" t="n">
        <v>0</v>
      </c>
      <c r="S124" t="n">
        <v>1</v>
      </c>
      <c r="T124" t="n">
        <v>1</v>
      </c>
      <c r="U124" t="n">
        <v>0</v>
      </c>
      <c r="V124" s="2" t="inlineStr">
        <is>
          <t>Klasefibbla</t>
        </is>
      </c>
      <c r="W124">
        <f>HYPERLINK("https://klasma.github.io/Logging_0360/artfynd/A 21566-2026 artfynd.xlsx", "A 21566-2026")</f>
        <v/>
      </c>
      <c r="X124">
        <f>HYPERLINK("https://klasma.github.io/Logging_0360/kartor/A 21566-2026 karta.png", "A 21566-2026")</f>
        <v/>
      </c>
      <c r="Y124">
        <f>HYPERLINK("https://klasma.github.io/Logging_0360/kartor_geotiff/A 21566-2026 georefererad karta.tif", "A 21566-2026")</f>
        <v/>
      </c>
      <c r="AA124">
        <f>HYPERLINK("https://klasma.github.io/Logging_0360/klagomål/A 21566-2026 FSC-klagomål.docx", "A 21566-2026")</f>
        <v/>
      </c>
      <c r="AB124">
        <f>HYPERLINK("https://klasma.github.io/Logging_0360/klagomålsmail/A 21566-2026 FSC-klagomål mail.docx", "A 21566-2026")</f>
        <v/>
      </c>
      <c r="AC124">
        <f>HYPERLINK("https://klasma.github.io/Logging_0360/tillsyn/A 21566-2026 tillsynsbegäran.docx", "A 21566-2026")</f>
        <v/>
      </c>
      <c r="AD124">
        <f>HYPERLINK("https://klasma.github.io/Logging_0360/tillsynsmail/A 21566-2026 tillsynsbegäran mail.docx", "A 21566-2026")</f>
        <v/>
      </c>
    </row>
    <row r="125" ht="15" customHeight="1">
      <c r="A125" t="inlineStr">
        <is>
          <t>A 14860-2022</t>
        </is>
      </c>
      <c r="B125" t="inlineStr">
        <is>
          <t>avverkningsanmälan</t>
        </is>
      </c>
      <c r="C125" t="inlineStr">
        <is>
          <t>Föryngringsavverkning</t>
        </is>
      </c>
      <c r="D125" s="1" t="n">
        <v>44656</v>
      </c>
      <c r="E125" s="1" t="n">
        <v>46263</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23128-2026</t>
        </is>
      </c>
      <c r="B126" t="inlineStr">
        <is>
          <t>avverkningsanmälan</t>
        </is>
      </c>
      <c r="C126" t="inlineStr">
        <is>
          <t>Föryngringsavverkning</t>
        </is>
      </c>
      <c r="D126" s="1" t="n">
        <v>46161</v>
      </c>
      <c r="E126" s="1" t="n">
        <v>46263</v>
      </c>
      <c r="F126" t="inlineStr">
        <is>
          <t>UPPSALA LÄN</t>
        </is>
      </c>
      <c r="G126" t="inlineStr">
        <is>
          <t>TIERP</t>
        </is>
      </c>
      <c r="H126" t="inlineStr">
        <is>
          <t>Bergvik skog öst AB</t>
        </is>
      </c>
      <c r="I126" t="n">
        <v>2.7</v>
      </c>
      <c r="J126" t="n">
        <v>1</v>
      </c>
      <c r="K126" t="n">
        <v>1</v>
      </c>
      <c r="L126" t="n">
        <v>0</v>
      </c>
      <c r="M126" t="n">
        <v>0</v>
      </c>
      <c r="N126" t="n">
        <v>0</v>
      </c>
      <c r="O126" t="n">
        <v>0</v>
      </c>
      <c r="P126" t="n">
        <v>0</v>
      </c>
      <c r="Q126" t="n">
        <v>0</v>
      </c>
      <c r="R126" t="n">
        <v>0</v>
      </c>
      <c r="S126" t="n">
        <v>1</v>
      </c>
      <c r="T126" t="n">
        <v>1</v>
      </c>
      <c r="U126" t="n">
        <v>0</v>
      </c>
      <c r="V126" s="2" t="inlineStr">
        <is>
          <t>Nästrot</t>
        </is>
      </c>
      <c r="W126">
        <f>HYPERLINK("https://klasma.github.io/Logging_0360/artfynd/A 23128-2026 artfynd.xlsx", "A 23128-2026")</f>
        <v/>
      </c>
      <c r="X126">
        <f>HYPERLINK("https://klasma.github.io/Logging_0360/kartor/A 23128-2026 karta.png", "A 23128-2026")</f>
        <v/>
      </c>
      <c r="Y126">
        <f>HYPERLINK("https://klasma.github.io/Logging_0360/kartor_geotiff/A 23128-2026 georefererad karta.tif", "A 23128-2026")</f>
        <v/>
      </c>
      <c r="AA126">
        <f>HYPERLINK("https://klasma.github.io/Logging_0360/klagomål/A 23128-2026 FSC-klagomål.docx", "A 23128-2026")</f>
        <v/>
      </c>
      <c r="AB126">
        <f>HYPERLINK("https://klasma.github.io/Logging_0360/klagomålsmail/A 23128-2026 FSC-klagomål mail.docx", "A 23128-2026")</f>
        <v/>
      </c>
      <c r="AC126">
        <f>HYPERLINK("https://klasma.github.io/Logging_0360/tillsyn/A 23128-2026 tillsynsbegäran.docx", "A 23128-2026")</f>
        <v/>
      </c>
      <c r="AD126">
        <f>HYPERLINK("https://klasma.github.io/Logging_0360/tillsynsmail/A 23128-2026 tillsynsbegäran mail.docx", "A 23128-2026")</f>
        <v/>
      </c>
    </row>
    <row r="127" ht="15" customHeight="1">
      <c r="A127" t="inlineStr">
        <is>
          <t>A 24611-2026</t>
        </is>
      </c>
      <c r="B127" t="inlineStr">
        <is>
          <t>avverkningsanmälan</t>
        </is>
      </c>
      <c r="C127" t="inlineStr">
        <is>
          <t>Föryngringsavverkning</t>
        </is>
      </c>
      <c r="D127" s="1" t="n">
        <v>46171</v>
      </c>
      <c r="E127" s="1" t="n">
        <v>46263</v>
      </c>
      <c r="F127" t="inlineStr">
        <is>
          <t>UPPSALA LÄN</t>
        </is>
      </c>
      <c r="G127" t="inlineStr">
        <is>
          <t>TIERP</t>
        </is>
      </c>
      <c r="H127" t="inlineStr">
        <is>
          <t>Bergvik skog väst AB</t>
        </is>
      </c>
      <c r="I127" t="n">
        <v>2.9</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HYPERLINK("https://klasma.github.io/Logging_0360/artfynd/A 24611-2026 artfynd.xlsx", "A 24611-2026")</f>
        <v/>
      </c>
      <c r="X127">
        <f>HYPERLINK("https://klasma.github.io/Logging_0360/kartor/A 24611-2026 karta.png", "A 24611-2026")</f>
        <v/>
      </c>
      <c r="Y127">
        <f>HYPERLINK("https://klasma.github.io/Logging_0360/kartor_geotiff/A 24611-2026 georefererad karta.tif", "A 24611-2026")</f>
        <v/>
      </c>
      <c r="AA127">
        <f>HYPERLINK("https://klasma.github.io/Logging_0360/klagomål/A 24611-2026 FSC-klagomål.docx", "A 24611-2026")</f>
        <v/>
      </c>
      <c r="AB127">
        <f>HYPERLINK("https://klasma.github.io/Logging_0360/klagomålsmail/A 24611-2026 FSC-klagomål mail.docx", "A 24611-2026")</f>
        <v/>
      </c>
      <c r="AC127">
        <f>HYPERLINK("https://klasma.github.io/Logging_0360/tillsyn/A 24611-2026 tillsynsbegäran.docx", "A 24611-2026")</f>
        <v/>
      </c>
      <c r="AD127">
        <f>HYPERLINK("https://klasma.github.io/Logging_0360/tillsynsmail/A 24611-2026 tillsynsbegäran mail.docx", "A 24611-2026")</f>
        <v/>
      </c>
    </row>
    <row r="128" ht="15" customHeight="1">
      <c r="A128" t="inlineStr">
        <is>
          <t>A 25985-2026</t>
        </is>
      </c>
      <c r="B128" t="inlineStr">
        <is>
          <t>avverkningsanmälan</t>
        </is>
      </c>
      <c r="C128" t="inlineStr">
        <is>
          <t>Föryngringsavverkning</t>
        </is>
      </c>
      <c r="D128" s="1" t="n">
        <v>46181</v>
      </c>
      <c r="E128" s="1" t="n">
        <v>46263</v>
      </c>
      <c r="F128" t="inlineStr">
        <is>
          <t>UPPSALA LÄN</t>
        </is>
      </c>
      <c r="G128" t="inlineStr">
        <is>
          <t>TIERP</t>
        </is>
      </c>
      <c r="H128" t="inlineStr">
        <is>
          <t>Bergvik skog öst AB</t>
        </is>
      </c>
      <c r="I128" t="n">
        <v>4.8</v>
      </c>
      <c r="J128" t="n">
        <v>1</v>
      </c>
      <c r="K128" t="n">
        <v>1</v>
      </c>
      <c r="L128" t="n">
        <v>0</v>
      </c>
      <c r="M128" t="n">
        <v>0</v>
      </c>
      <c r="N128" t="n">
        <v>0</v>
      </c>
      <c r="O128" t="n">
        <v>0</v>
      </c>
      <c r="P128" t="n">
        <v>0</v>
      </c>
      <c r="Q128" t="n">
        <v>0</v>
      </c>
      <c r="R128" t="n">
        <v>0</v>
      </c>
      <c r="S128" t="n">
        <v>1</v>
      </c>
      <c r="T128" t="n">
        <v>1</v>
      </c>
      <c r="U128" t="n">
        <v>0</v>
      </c>
      <c r="V128" s="2" t="inlineStr">
        <is>
          <t>Tvåblad</t>
        </is>
      </c>
      <c r="W128">
        <f>HYPERLINK("https://klasma.github.io/Logging_0360/artfynd/A 25985-2026 artfynd.xlsx", "A 25985-2026")</f>
        <v/>
      </c>
      <c r="X128">
        <f>HYPERLINK("https://klasma.github.io/Logging_0360/kartor/A 25985-2026 karta.png", "A 25985-2026")</f>
        <v/>
      </c>
      <c r="Y128">
        <f>HYPERLINK("https://klasma.github.io/Logging_0360/kartor_geotiff/A 25985-2026 georefererad karta.tif", "A 25985-2026")</f>
        <v/>
      </c>
      <c r="AA128">
        <f>HYPERLINK("https://klasma.github.io/Logging_0360/klagomål/A 25985-2026 FSC-klagomål.docx", "A 25985-2026")</f>
        <v/>
      </c>
      <c r="AB128">
        <f>HYPERLINK("https://klasma.github.io/Logging_0360/klagomålsmail/A 25985-2026 FSC-klagomål mail.docx", "A 25985-2026")</f>
        <v/>
      </c>
      <c r="AC128">
        <f>HYPERLINK("https://klasma.github.io/Logging_0360/tillsyn/A 25985-2026 tillsynsbegäran.docx", "A 25985-2026")</f>
        <v/>
      </c>
      <c r="AD128">
        <f>HYPERLINK("https://klasma.github.io/Logging_0360/tillsynsmail/A 25985-2026 tillsynsbegäran mail.docx", "A 25985-2026")</f>
        <v/>
      </c>
    </row>
    <row r="129" ht="15" customHeight="1">
      <c r="A129" t="inlineStr">
        <is>
          <t>A 30213-2026</t>
        </is>
      </c>
      <c r="B129" t="inlineStr">
        <is>
          <t>avverkningsanmälan</t>
        </is>
      </c>
      <c r="C129" t="inlineStr">
        <is>
          <t>Föryngringsavverkning</t>
        </is>
      </c>
      <c r="D129" s="1" t="n">
        <v>46206</v>
      </c>
      <c r="E129" s="1" t="n">
        <v>46263</v>
      </c>
      <c r="F129" t="inlineStr">
        <is>
          <t>UPPSALA LÄN</t>
        </is>
      </c>
      <c r="G129" t="inlineStr">
        <is>
          <t>TIERP</t>
        </is>
      </c>
      <c r="H129" t="inlineStr">
        <is>
          <t>Bergvik skog öst AB</t>
        </is>
      </c>
      <c r="I129" t="n">
        <v>5.8</v>
      </c>
      <c r="J129" t="n">
        <v>1</v>
      </c>
      <c r="K129" t="n">
        <v>0</v>
      </c>
      <c r="L129" t="n">
        <v>0</v>
      </c>
      <c r="M129" t="n">
        <v>0</v>
      </c>
      <c r="N129" t="n">
        <v>0</v>
      </c>
      <c r="O129" t="n">
        <v>0</v>
      </c>
      <c r="P129" t="n">
        <v>0</v>
      </c>
      <c r="Q129" t="n">
        <v>0</v>
      </c>
      <c r="R129" t="n">
        <v>0</v>
      </c>
      <c r="S129" t="n">
        <v>1</v>
      </c>
      <c r="T129" t="n">
        <v>2</v>
      </c>
      <c r="U129" t="n">
        <v>0</v>
      </c>
      <c r="V129" s="2" t="inlineStr">
        <is>
          <t>Tjäder</t>
        </is>
      </c>
      <c r="W129">
        <f>HYPERLINK("https://klasma.github.io/Logging_0360/artfynd/A 30213-2026 artfynd.xlsx", "A 30213-2026")</f>
        <v/>
      </c>
      <c r="X129">
        <f>HYPERLINK("https://klasma.github.io/Logging_0360/kartor/A 30213-2026 karta.png", "A 30213-2026")</f>
        <v/>
      </c>
      <c r="Y129">
        <f>HYPERLINK("https://klasma.github.io/Logging_0360/kartor_geotiff/A 30213-2026 georefererad karta.tif", "A 30213-2026")</f>
        <v/>
      </c>
      <c r="AA129">
        <f>HYPERLINK("https://klasma.github.io/Logging_0360/klagomål/A 30213-2026 FSC-klagomål.docx", "A 30213-2026")</f>
        <v/>
      </c>
      <c r="AB129">
        <f>HYPERLINK("https://klasma.github.io/Logging_0360/klagomålsmail/A 30213-2026 FSC-klagomål mail.docx", "A 30213-2026")</f>
        <v/>
      </c>
      <c r="AC129">
        <f>HYPERLINK("https://klasma.github.io/Logging_0360/tillsyn/A 30213-2026 tillsynsbegäran.docx", "A 30213-2026")</f>
        <v/>
      </c>
      <c r="AD129">
        <f>HYPERLINK("https://klasma.github.io/Logging_0360/tillsynsmail/A 30213-2026 tillsynsbegäran mail.docx", "A 30213-2026")</f>
        <v/>
      </c>
      <c r="AE129">
        <f>HYPERLINK("https://klasma.github.io/Logging_0360/fåglar/A 30213-2026 prioriterade fågelarter.docx", "A 30213-2026")</f>
        <v/>
      </c>
    </row>
    <row r="130" ht="15" customHeight="1">
      <c r="A130" t="inlineStr">
        <is>
          <t>A 30891-2026</t>
        </is>
      </c>
      <c r="B130" t="inlineStr">
        <is>
          <t>avverkningsanmälan</t>
        </is>
      </c>
      <c r="C130" t="inlineStr">
        <is>
          <t>Föryngringsavverkning</t>
        </is>
      </c>
      <c r="D130" s="1" t="n">
        <v>46213</v>
      </c>
      <c r="E130" s="1" t="n">
        <v>46263</v>
      </c>
      <c r="F130" t="inlineStr">
        <is>
          <t>UPPSALA LÄN</t>
        </is>
      </c>
      <c r="G130" t="inlineStr">
        <is>
          <t>TIERP</t>
        </is>
      </c>
      <c r="H130" t="inlineStr">
        <is>
          <t>Bergvik skog väst AB</t>
        </is>
      </c>
      <c r="I130" t="n">
        <v>13.5</v>
      </c>
      <c r="J130" t="n">
        <v>0</v>
      </c>
      <c r="K130" t="n">
        <v>1</v>
      </c>
      <c r="L130" t="n">
        <v>0</v>
      </c>
      <c r="M130" t="n">
        <v>0</v>
      </c>
      <c r="N130" t="n">
        <v>0</v>
      </c>
      <c r="O130" t="n">
        <v>0</v>
      </c>
      <c r="P130" t="n">
        <v>0</v>
      </c>
      <c r="Q130" t="n">
        <v>0</v>
      </c>
      <c r="R130" t="n">
        <v>0</v>
      </c>
      <c r="S130" t="n">
        <v>1</v>
      </c>
      <c r="T130" t="n">
        <v>1</v>
      </c>
      <c r="U130" t="n">
        <v>0</v>
      </c>
      <c r="V130" s="2" t="inlineStr">
        <is>
          <t>Rödgul trumpetsvamp</t>
        </is>
      </c>
      <c r="W130">
        <f>HYPERLINK("https://klasma.github.io/Logging_0360/artfynd/A 30891-2026 artfynd.xlsx", "A 30891-2026")</f>
        <v/>
      </c>
      <c r="X130">
        <f>HYPERLINK("https://klasma.github.io/Logging_0360/kartor/A 30891-2026 karta.png", "A 30891-2026")</f>
        <v/>
      </c>
      <c r="Y130">
        <f>HYPERLINK("https://klasma.github.io/Logging_0360/kartor_geotiff/A 30891-2026 georefererad karta.tif", "A 30891-2026")</f>
        <v/>
      </c>
      <c r="Z130">
        <f>HYPERLINK("https://klasma.github.io/Logging_0360/knärot/A 30891-2026 karta knärot.png", "A 30891-2026")</f>
        <v/>
      </c>
      <c r="AA130">
        <f>HYPERLINK("https://klasma.github.io/Logging_0360/klagomål/A 30891-2026 FSC-klagomål.docx", "A 30891-2026")</f>
        <v/>
      </c>
      <c r="AB130">
        <f>HYPERLINK("https://klasma.github.io/Logging_0360/klagomålsmail/A 30891-2026 FSC-klagomål mail.docx", "A 30891-2026")</f>
        <v/>
      </c>
      <c r="AC130">
        <f>HYPERLINK("https://klasma.github.io/Logging_0360/tillsyn/A 30891-2026 tillsynsbegäran.docx", "A 30891-2026")</f>
        <v/>
      </c>
      <c r="AD130">
        <f>HYPERLINK("https://klasma.github.io/Logging_0360/tillsynsmail/A 30891-2026 tillsynsbegäran mail.docx", "A 30891-2026")</f>
        <v/>
      </c>
    </row>
    <row r="131" ht="15" customHeight="1">
      <c r="A131" t="inlineStr">
        <is>
          <t>S 490-2022</t>
        </is>
      </c>
      <c r="B131" t="inlineStr">
        <is>
          <t>samrådsanmälan</t>
        </is>
      </c>
      <c r="C131" t="inlineStr">
        <is>
          <t>Skogsgödsling</t>
        </is>
      </c>
      <c r="D131" s="1" t="n">
        <v>44587</v>
      </c>
      <c r="E131" s="1" t="n">
        <v>46263</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46263</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46263</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46263</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46263</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46263</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46263</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46263</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46263</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46263</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46263</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45225-2021</t>
        </is>
      </c>
      <c r="B142" t="inlineStr">
        <is>
          <t>avverkningsanmälan</t>
        </is>
      </c>
      <c r="C142" t="inlineStr">
        <is>
          <t>Föryngringsavverkning</t>
        </is>
      </c>
      <c r="D142" s="1" t="n">
        <v>44439</v>
      </c>
      <c r="E142" s="1" t="n">
        <v>46263</v>
      </c>
      <c r="F142" t="inlineStr">
        <is>
          <t>UPPSALA LÄN</t>
        </is>
      </c>
      <c r="G142" t="inlineStr">
        <is>
          <t>TIERP</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46263</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46263</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46263</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46263</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46263</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46263</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44690-2021</t>
        </is>
      </c>
      <c r="B149" t="inlineStr">
        <is>
          <t>avverkningsanmälan</t>
        </is>
      </c>
      <c r="C149" t="inlineStr">
        <is>
          <t>Föryngringsavverkning</t>
        </is>
      </c>
      <c r="D149" s="1" t="n">
        <v>44438</v>
      </c>
      <c r="E149" s="1" t="n">
        <v>46263</v>
      </c>
      <c r="F149" t="inlineStr">
        <is>
          <t>UPPSALA LÄN</t>
        </is>
      </c>
      <c r="G149" t="inlineStr">
        <is>
          <t>TIERP</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46263</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46263</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10783-2022</t>
        </is>
      </c>
      <c r="B152" t="inlineStr">
        <is>
          <t>avverkningsanmälan</t>
        </is>
      </c>
      <c r="C152" t="inlineStr">
        <is>
          <t>Föryngringsavverkning</t>
        </is>
      </c>
      <c r="D152" s="1" t="n">
        <v>44627</v>
      </c>
      <c r="E152" s="1" t="n">
        <v>46263</v>
      </c>
      <c r="F152" t="inlineStr">
        <is>
          <t>UPPSALA LÄN</t>
        </is>
      </c>
      <c r="G152" t="inlineStr">
        <is>
          <t>TIERP</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62897-2021</t>
        </is>
      </c>
      <c r="B153" t="inlineStr">
        <is>
          <t>avverkningsanmälan</t>
        </is>
      </c>
      <c r="C153" t="inlineStr">
        <is>
          <t>Föryngringsavverkning</t>
        </is>
      </c>
      <c r="D153" s="1" t="n">
        <v>44504</v>
      </c>
      <c r="E153" s="1" t="n">
        <v>46263</v>
      </c>
      <c r="F153" t="inlineStr">
        <is>
          <t>UPPSALA LÄN</t>
        </is>
      </c>
      <c r="G153" t="inlineStr">
        <is>
          <t>TIERP</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9288-2022</t>
        </is>
      </c>
      <c r="B154" t="inlineStr">
        <is>
          <t>avverkningsanmälan</t>
        </is>
      </c>
      <c r="C154" t="inlineStr">
        <is>
          <t>Föryngringsavverkning</t>
        </is>
      </c>
      <c r="D154" s="1" t="n">
        <v>44616</v>
      </c>
      <c r="E154" s="1" t="n">
        <v>46263</v>
      </c>
      <c r="F154" t="inlineStr">
        <is>
          <t>UPPSALA LÄN</t>
        </is>
      </c>
      <c r="G154" t="inlineStr">
        <is>
          <t>TIERP</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10777-2022</t>
        </is>
      </c>
      <c r="B155" t="inlineStr">
        <is>
          <t>avverkningsanmälan</t>
        </is>
      </c>
      <c r="C155" t="inlineStr">
        <is>
          <t>Föryngringsavverkning</t>
        </is>
      </c>
      <c r="D155" s="1" t="n">
        <v>44627</v>
      </c>
      <c r="E155" s="1" t="n">
        <v>46263</v>
      </c>
      <c r="F155" t="inlineStr">
        <is>
          <t>UPPSALA LÄN</t>
        </is>
      </c>
      <c r="G155" t="inlineStr">
        <is>
          <t>TIERP</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33890-2022</t>
        </is>
      </c>
      <c r="B156" t="inlineStr">
        <is>
          <t>avverkningsanmälan</t>
        </is>
      </c>
      <c r="C156" t="inlineStr">
        <is>
          <t>Föryngringsavverkning</t>
        </is>
      </c>
      <c r="D156" s="1" t="n">
        <v>44790</v>
      </c>
      <c r="E156" s="1" t="n">
        <v>46263</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65814-2021</t>
        </is>
      </c>
      <c r="B157" t="inlineStr">
        <is>
          <t>avverkningsanmälan</t>
        </is>
      </c>
      <c r="C157" t="inlineStr">
        <is>
          <t>Föryngringsavverkning</t>
        </is>
      </c>
      <c r="D157" s="1" t="n">
        <v>44517</v>
      </c>
      <c r="E157" s="1" t="n">
        <v>46263</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53751-2021</t>
        </is>
      </c>
      <c r="B158" t="inlineStr">
        <is>
          <t>avverkningsanmälan</t>
        </is>
      </c>
      <c r="C158" t="inlineStr">
        <is>
          <t>Föryngringsavverkning</t>
        </is>
      </c>
      <c r="D158" s="1" t="n">
        <v>44469</v>
      </c>
      <c r="E158" s="1" t="n">
        <v>46263</v>
      </c>
      <c r="F158" t="inlineStr">
        <is>
          <t>UPPSALA LÄN</t>
        </is>
      </c>
      <c r="G158" t="inlineStr">
        <is>
          <t>TIERP</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48485-2021</t>
        </is>
      </c>
      <c r="B159" t="inlineStr">
        <is>
          <t>avverkningsanmälan</t>
        </is>
      </c>
      <c r="C159" t="inlineStr">
        <is>
          <t>Föryngringsavverkning</t>
        </is>
      </c>
      <c r="D159" s="1" t="n">
        <v>44452</v>
      </c>
      <c r="E159" s="1" t="n">
        <v>46263</v>
      </c>
      <c r="F159" t="inlineStr">
        <is>
          <t>UPPSALA LÄN</t>
        </is>
      </c>
      <c r="G159" t="inlineStr">
        <is>
          <t>TIERP</t>
        </is>
      </c>
      <c r="H159" t="inlineStr">
        <is>
          <t>Bergvik skog väst AB</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26111-2022</t>
        </is>
      </c>
      <c r="B160" t="inlineStr">
        <is>
          <t>avverkningsanmälan</t>
        </is>
      </c>
      <c r="C160" t="inlineStr">
        <is>
          <t>Föryngringsavverkning</t>
        </is>
      </c>
      <c r="D160" s="1" t="n">
        <v>44734</v>
      </c>
      <c r="E160" s="1" t="n">
        <v>46263</v>
      </c>
      <c r="F160" t="inlineStr">
        <is>
          <t>UPPSALA LÄN</t>
        </is>
      </c>
      <c r="G160" t="inlineStr">
        <is>
          <t>TIERP</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56498-2021</t>
        </is>
      </c>
      <c r="B161" t="inlineStr">
        <is>
          <t>avverkningsanmälan</t>
        </is>
      </c>
      <c r="C161" t="inlineStr">
        <is>
          <t>Föryngringsavverkning</t>
        </is>
      </c>
      <c r="D161" s="1" t="n">
        <v>44480</v>
      </c>
      <c r="E161" s="1" t="n">
        <v>46263</v>
      </c>
      <c r="F161" t="inlineStr">
        <is>
          <t>UPPSALA LÄN</t>
        </is>
      </c>
      <c r="G161" t="inlineStr">
        <is>
          <t>TIERP</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48575-2022</t>
        </is>
      </c>
      <c r="B162" t="inlineStr">
        <is>
          <t>avverkningsanmälan</t>
        </is>
      </c>
      <c r="C162" t="inlineStr">
        <is>
          <t>Föryngringsavverkning</t>
        </is>
      </c>
      <c r="D162" s="1" t="n">
        <v>44859</v>
      </c>
      <c r="E162" s="1" t="n">
        <v>46263</v>
      </c>
      <c r="F162" t="inlineStr">
        <is>
          <t>UPPSALA LÄN</t>
        </is>
      </c>
      <c r="G162" t="inlineStr">
        <is>
          <t>TIERP</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27860-2022</t>
        </is>
      </c>
      <c r="B163" t="inlineStr">
        <is>
          <t>avverkningsanmälan</t>
        </is>
      </c>
      <c r="C163" t="inlineStr">
        <is>
          <t>Föryngringsavverkning</t>
        </is>
      </c>
      <c r="D163" s="1" t="n">
        <v>44743</v>
      </c>
      <c r="E163" s="1" t="n">
        <v>46263</v>
      </c>
      <c r="F163" t="inlineStr">
        <is>
          <t>UPPSALA LÄN</t>
        </is>
      </c>
      <c r="G163" t="inlineStr">
        <is>
          <t>TIERP</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49053-2021</t>
        </is>
      </c>
      <c r="B164" t="inlineStr">
        <is>
          <t>avverkningsanmälan</t>
        </is>
      </c>
      <c r="C164" t="inlineStr">
        <is>
          <t>Föryngringsavverkning</t>
        </is>
      </c>
      <c r="D164" s="1" t="n">
        <v>44453</v>
      </c>
      <c r="E164" s="1" t="n">
        <v>46263</v>
      </c>
      <c r="F164" t="inlineStr">
        <is>
          <t>UPPSALA LÄN</t>
        </is>
      </c>
      <c r="G164" t="inlineStr">
        <is>
          <t>TIERP</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73317-2021</t>
        </is>
      </c>
      <c r="B165" t="inlineStr">
        <is>
          <t>avverkningsanmälan</t>
        </is>
      </c>
      <c r="C165" t="inlineStr">
        <is>
          <t>Föryngringsavverkning</t>
        </is>
      </c>
      <c r="D165" s="1" t="n">
        <v>44551</v>
      </c>
      <c r="E165" s="1" t="n">
        <v>46263</v>
      </c>
      <c r="F165" t="inlineStr">
        <is>
          <t>UPPSALA LÄN</t>
        </is>
      </c>
      <c r="G165" t="inlineStr">
        <is>
          <t>TIERP</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46263</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2814-2022</t>
        </is>
      </c>
      <c r="B167" t="inlineStr">
        <is>
          <t>avverkningsanmälan</t>
        </is>
      </c>
      <c r="C167" t="inlineStr">
        <is>
          <t>Föryngringsavverkning</t>
        </is>
      </c>
      <c r="D167" s="1" t="n">
        <v>44581</v>
      </c>
      <c r="E167" s="1" t="n">
        <v>46263</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71774-2021</t>
        </is>
      </c>
      <c r="B168" t="inlineStr">
        <is>
          <t>avverkningsanmälan</t>
        </is>
      </c>
      <c r="C168" t="inlineStr">
        <is>
          <t>Föryngringsavverkning</t>
        </is>
      </c>
      <c r="D168" s="1" t="n">
        <v>44543</v>
      </c>
      <c r="E168" s="1" t="n">
        <v>46263</v>
      </c>
      <c r="F168" t="inlineStr">
        <is>
          <t>UPPSALA LÄN</t>
        </is>
      </c>
      <c r="G168" t="inlineStr">
        <is>
          <t>TIERP</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21047-2022</t>
        </is>
      </c>
      <c r="B169" t="inlineStr">
        <is>
          <t>avverkningsanmälan</t>
        </is>
      </c>
      <c r="C169" t="inlineStr">
        <is>
          <t>Föryngringsavverkning</t>
        </is>
      </c>
      <c r="D169" s="1" t="n">
        <v>44704</v>
      </c>
      <c r="E169" s="1" t="n">
        <v>46263</v>
      </c>
      <c r="F169" t="inlineStr">
        <is>
          <t>UPPSALA LÄN</t>
        </is>
      </c>
      <c r="G169" t="inlineStr">
        <is>
          <t>TIERP</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20885-2022</t>
        </is>
      </c>
      <c r="B170" t="inlineStr">
        <is>
          <t>avverkningsanmälan</t>
        </is>
      </c>
      <c r="C170" t="inlineStr">
        <is>
          <t>Föryngringsavverkning</t>
        </is>
      </c>
      <c r="D170" s="1" t="n">
        <v>44701</v>
      </c>
      <c r="E170" s="1" t="n">
        <v>46263</v>
      </c>
      <c r="F170" t="inlineStr">
        <is>
          <t>UPPSALA LÄN</t>
        </is>
      </c>
      <c r="G170" t="inlineStr">
        <is>
          <t>TIERP</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72975-2021</t>
        </is>
      </c>
      <c r="B171" t="inlineStr">
        <is>
          <t>avverkningsanmälan</t>
        </is>
      </c>
      <c r="C171" t="inlineStr">
        <is>
          <t>Föryngringsavverkning</t>
        </is>
      </c>
      <c r="D171" s="1" t="n">
        <v>44548</v>
      </c>
      <c r="E171" s="1" t="n">
        <v>46263</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48455-2021</t>
        </is>
      </c>
      <c r="B172" t="inlineStr">
        <is>
          <t>avverkningsanmälan</t>
        </is>
      </c>
      <c r="C172" t="inlineStr">
        <is>
          <t>Föryngringsavverkning</t>
        </is>
      </c>
      <c r="D172" s="1" t="n">
        <v>44452</v>
      </c>
      <c r="E172" s="1" t="n">
        <v>46263</v>
      </c>
      <c r="F172" t="inlineStr">
        <is>
          <t>UPPSALA LÄN</t>
        </is>
      </c>
      <c r="G172" t="inlineStr">
        <is>
          <t>TIERP</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27533-2022</t>
        </is>
      </c>
      <c r="B173" t="inlineStr">
        <is>
          <t>avverkningsanmälan</t>
        </is>
      </c>
      <c r="C173" t="inlineStr">
        <is>
          <t>Föryngringsavverkning</t>
        </is>
      </c>
      <c r="D173" s="1" t="n">
        <v>44742</v>
      </c>
      <c r="E173" s="1" t="n">
        <v>46263</v>
      </c>
      <c r="F173" t="inlineStr">
        <is>
          <t>UPPSALA LÄN</t>
        </is>
      </c>
      <c r="G173" t="inlineStr">
        <is>
          <t>TIERP</t>
        </is>
      </c>
      <c r="H173" t="inlineStr">
        <is>
          <t>Bergvik skog öst AB</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33286-2022</t>
        </is>
      </c>
      <c r="B174" t="inlineStr">
        <is>
          <t>avverkningsanmälan</t>
        </is>
      </c>
      <c r="C174" t="inlineStr">
        <is>
          <t>Avverkning för annat ändamål</t>
        </is>
      </c>
      <c r="D174" s="1" t="n">
        <v>44788</v>
      </c>
      <c r="E174" s="1" t="n">
        <v>46263</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13650-2022</t>
        </is>
      </c>
      <c r="B175" t="inlineStr">
        <is>
          <t>avverkningsanmälan</t>
        </is>
      </c>
      <c r="C175" t="inlineStr">
        <is>
          <t>Föryngringsavverkning</t>
        </is>
      </c>
      <c r="D175" s="1" t="n">
        <v>44648</v>
      </c>
      <c r="E175" s="1" t="n">
        <v>46263</v>
      </c>
      <c r="F175" t="inlineStr">
        <is>
          <t>UPPSALA LÄN</t>
        </is>
      </c>
      <c r="G175" t="inlineStr">
        <is>
          <t>TIERP</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13656-2022</t>
        </is>
      </c>
      <c r="B176" t="inlineStr">
        <is>
          <t>avverkningsanmälan</t>
        </is>
      </c>
      <c r="C176" t="inlineStr">
        <is>
          <t>Föryngringsavverkning</t>
        </is>
      </c>
      <c r="D176" s="1" t="n">
        <v>44648</v>
      </c>
      <c r="E176" s="1" t="n">
        <v>46263</v>
      </c>
      <c r="F176" t="inlineStr">
        <is>
          <t>UPPSALA LÄN</t>
        </is>
      </c>
      <c r="G176" t="inlineStr">
        <is>
          <t>TIERP</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59378-2021</t>
        </is>
      </c>
      <c r="B177" t="inlineStr">
        <is>
          <t>avverkningsanmälan</t>
        </is>
      </c>
      <c r="C177" t="inlineStr">
        <is>
          <t>Föryngringsavverkning</t>
        </is>
      </c>
      <c r="D177" s="1" t="n">
        <v>44491</v>
      </c>
      <c r="E177" s="1" t="n">
        <v>46263</v>
      </c>
      <c r="F177" t="inlineStr">
        <is>
          <t>UPPSALA LÄN</t>
        </is>
      </c>
      <c r="G177" t="inlineStr">
        <is>
          <t>TIERP</t>
        </is>
      </c>
      <c r="H177" t="inlineStr">
        <is>
          <t>Bergvik skog öst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53766-2021</t>
        </is>
      </c>
      <c r="B178" t="inlineStr">
        <is>
          <t>avverkningsanmälan</t>
        </is>
      </c>
      <c r="C178" t="inlineStr">
        <is>
          <t>Föryngringsavverkning</t>
        </is>
      </c>
      <c r="D178" s="1" t="n">
        <v>44469</v>
      </c>
      <c r="E178" s="1" t="n">
        <v>46263</v>
      </c>
      <c r="F178" t="inlineStr">
        <is>
          <t>UPPSALA LÄN</t>
        </is>
      </c>
      <c r="G178" t="inlineStr">
        <is>
          <t>TIERP</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12194-2022</t>
        </is>
      </c>
      <c r="B179" t="inlineStr">
        <is>
          <t>avverkningsanmälan</t>
        </is>
      </c>
      <c r="C179" t="inlineStr">
        <is>
          <t>Föryngringsavverkning</t>
        </is>
      </c>
      <c r="D179" s="1" t="n">
        <v>44636</v>
      </c>
      <c r="E179" s="1" t="n">
        <v>46263</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16556-2022</t>
        </is>
      </c>
      <c r="B180" t="inlineStr">
        <is>
          <t>avverkningsanmälan</t>
        </is>
      </c>
      <c r="C180" t="inlineStr">
        <is>
          <t>Föryngringsavverkning</t>
        </is>
      </c>
      <c r="D180" s="1" t="n">
        <v>44672</v>
      </c>
      <c r="E180" s="1" t="n">
        <v>46263</v>
      </c>
      <c r="F180" t="inlineStr">
        <is>
          <t>UPPSALA LÄN</t>
        </is>
      </c>
      <c r="G180" t="inlineStr">
        <is>
          <t>TIERP</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53666-2021</t>
        </is>
      </c>
      <c r="B181" t="inlineStr">
        <is>
          <t>avverkningsanmälan</t>
        </is>
      </c>
      <c r="C181" t="inlineStr">
        <is>
          <t>Föryngringsavverkning</t>
        </is>
      </c>
      <c r="D181" s="1" t="n">
        <v>44469</v>
      </c>
      <c r="E181" s="1" t="n">
        <v>46263</v>
      </c>
      <c r="F181" t="inlineStr">
        <is>
          <t>UPPSALA LÄN</t>
        </is>
      </c>
      <c r="G181" t="inlineStr">
        <is>
          <t>TIERP</t>
        </is>
      </c>
      <c r="H181" t="inlineStr">
        <is>
          <t>Bergvik skog öst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11496-2022</t>
        </is>
      </c>
      <c r="B182" t="inlineStr">
        <is>
          <t>avverkningsanmälan</t>
        </is>
      </c>
      <c r="C182" t="inlineStr">
        <is>
          <t>Föryngringsavverkning</t>
        </is>
      </c>
      <c r="D182" s="1" t="n">
        <v>44631</v>
      </c>
      <c r="E182" s="1" t="n">
        <v>46263</v>
      </c>
      <c r="F182" t="inlineStr">
        <is>
          <t>UPPSALA LÄN</t>
        </is>
      </c>
      <c r="G182" t="inlineStr">
        <is>
          <t>TIERP</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24869-2022</t>
        </is>
      </c>
      <c r="B183" t="inlineStr">
        <is>
          <t>avverkningsanmälan</t>
        </is>
      </c>
      <c r="C183" t="inlineStr">
        <is>
          <t>Föryngringsavverkning</t>
        </is>
      </c>
      <c r="D183" s="1" t="n">
        <v>44728</v>
      </c>
      <c r="E183" s="1" t="n">
        <v>46263</v>
      </c>
      <c r="F183" t="inlineStr">
        <is>
          <t>UPPSALA LÄN</t>
        </is>
      </c>
      <c r="G183" t="inlineStr">
        <is>
          <t>TIERP</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28881-2022</t>
        </is>
      </c>
      <c r="B184" t="inlineStr">
        <is>
          <t>avverkningsanmälan</t>
        </is>
      </c>
      <c r="C184" t="inlineStr">
        <is>
          <t>Föryngringsavverkning</t>
        </is>
      </c>
      <c r="D184" s="1" t="n">
        <v>44749</v>
      </c>
      <c r="E184" s="1" t="n">
        <v>46263</v>
      </c>
      <c r="F184" t="inlineStr">
        <is>
          <t>UPPSALA LÄN</t>
        </is>
      </c>
      <c r="G184" t="inlineStr">
        <is>
          <t>TIERP</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10780-2022</t>
        </is>
      </c>
      <c r="B185" t="inlineStr">
        <is>
          <t>avverkningsanmälan</t>
        </is>
      </c>
      <c r="C185" t="inlineStr">
        <is>
          <t>Föryngringsavverkning</t>
        </is>
      </c>
      <c r="D185" s="1" t="n">
        <v>44627</v>
      </c>
      <c r="E185" s="1" t="n">
        <v>46263</v>
      </c>
      <c r="F185" t="inlineStr">
        <is>
          <t>UPPSALA LÄN</t>
        </is>
      </c>
      <c r="G185" t="inlineStr">
        <is>
          <t>TIERP</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10785-2022</t>
        </is>
      </c>
      <c r="B186" t="inlineStr">
        <is>
          <t>avverkningsanmälan</t>
        </is>
      </c>
      <c r="C186" t="inlineStr">
        <is>
          <t>Föryngringsavverkning</t>
        </is>
      </c>
      <c r="D186" s="1" t="n">
        <v>44627</v>
      </c>
      <c r="E186" s="1" t="n">
        <v>46263</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32326-2022</t>
        </is>
      </c>
      <c r="B187" t="inlineStr">
        <is>
          <t>avverkningsanmälan</t>
        </is>
      </c>
      <c r="C187" t="inlineStr">
        <is>
          <t>Föryngringsavverkning</t>
        </is>
      </c>
      <c r="D187" s="1" t="n">
        <v>44781</v>
      </c>
      <c r="E187" s="1" t="n">
        <v>46263</v>
      </c>
      <c r="F187" t="inlineStr">
        <is>
          <t>UPPSALA LÄN</t>
        </is>
      </c>
      <c r="G187" t="inlineStr">
        <is>
          <t>TIERP</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13464-2024</t>
        </is>
      </c>
      <c r="B188" t="inlineStr">
        <is>
          <t>avverkningsanmälan</t>
        </is>
      </c>
      <c r="C188" t="inlineStr">
        <is>
          <t>Föryngringsavverkning</t>
        </is>
      </c>
      <c r="D188" s="1" t="n">
        <v>45387</v>
      </c>
      <c r="E188" s="1" t="n">
        <v>46263</v>
      </c>
      <c r="F188" t="inlineStr">
        <is>
          <t>UPPSALA LÄN</t>
        </is>
      </c>
      <c r="G188" t="inlineStr">
        <is>
          <t>TIERP</t>
        </is>
      </c>
      <c r="H188" t="inlineStr">
        <is>
          <t>Bergvik skog väst AB</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34460-2022</t>
        </is>
      </c>
      <c r="B189" t="inlineStr">
        <is>
          <t>avverkningsanmälan</t>
        </is>
      </c>
      <c r="C189" t="inlineStr">
        <is>
          <t>Föryngringsavverkning</t>
        </is>
      </c>
      <c r="D189" s="1" t="n">
        <v>44792</v>
      </c>
      <c r="E189" s="1" t="n">
        <v>46263</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16791-2023</t>
        </is>
      </c>
      <c r="B190" t="inlineStr">
        <is>
          <t>avverkningsanmälan</t>
        </is>
      </c>
      <c r="C190" t="inlineStr">
        <is>
          <t>Föryngringsavverkning</t>
        </is>
      </c>
      <c r="D190" s="1" t="n">
        <v>45033</v>
      </c>
      <c r="E190" s="1" t="n">
        <v>46263</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5126-2024</t>
        </is>
      </c>
      <c r="B191" t="inlineStr">
        <is>
          <t>avverkningsanmälan</t>
        </is>
      </c>
      <c r="C191" t="inlineStr">
        <is>
          <t>Föryngringsavverkning</t>
        </is>
      </c>
      <c r="D191" s="1" t="n">
        <v>45330</v>
      </c>
      <c r="E191" s="1" t="n">
        <v>46263</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59482-2023</t>
        </is>
      </c>
      <c r="B192" t="inlineStr">
        <is>
          <t>avverkningsanmälan</t>
        </is>
      </c>
      <c r="C192" t="inlineStr">
        <is>
          <t>Föryngringsavverkning</t>
        </is>
      </c>
      <c r="D192" s="1" t="n">
        <v>45253</v>
      </c>
      <c r="E192" s="1" t="n">
        <v>46263</v>
      </c>
      <c r="F192" t="inlineStr">
        <is>
          <t>UPPSALA LÄN</t>
        </is>
      </c>
      <c r="G192" t="inlineStr">
        <is>
          <t>TIERP</t>
        </is>
      </c>
      <c r="I192" t="n">
        <v>11.3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48483-2022</t>
        </is>
      </c>
      <c r="B193" t="inlineStr">
        <is>
          <t>avverkningsanmälan</t>
        </is>
      </c>
      <c r="C193" t="inlineStr">
        <is>
          <t>Föryngringsavverkning</t>
        </is>
      </c>
      <c r="D193" s="1" t="n">
        <v>44858</v>
      </c>
      <c r="E193" s="1" t="n">
        <v>46263</v>
      </c>
      <c r="F193" t="inlineStr">
        <is>
          <t>UPPSALA LÄN</t>
        </is>
      </c>
      <c r="G193" t="inlineStr">
        <is>
          <t>TIERP</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44946-2022</t>
        </is>
      </c>
      <c r="B194" t="inlineStr">
        <is>
          <t>avverkningsanmälan</t>
        </is>
      </c>
      <c r="C194" t="inlineStr">
        <is>
          <t>Föryngringsavverkning</t>
        </is>
      </c>
      <c r="D194" s="1" t="n">
        <v>44841</v>
      </c>
      <c r="E194" s="1" t="n">
        <v>46263</v>
      </c>
      <c r="F194" t="inlineStr">
        <is>
          <t>UPPSALA LÄN</t>
        </is>
      </c>
      <c r="G194" t="inlineStr">
        <is>
          <t>TIERP</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13691-2024</t>
        </is>
      </c>
      <c r="B195" t="inlineStr">
        <is>
          <t>avverkningsanmälan</t>
        </is>
      </c>
      <c r="C195" t="inlineStr">
        <is>
          <t>Föryngringsavverkning</t>
        </is>
      </c>
      <c r="D195" s="1" t="n">
        <v>45390</v>
      </c>
      <c r="E195" s="1" t="n">
        <v>46263</v>
      </c>
      <c r="F195" t="inlineStr">
        <is>
          <t>UPPSALA LÄN</t>
        </is>
      </c>
      <c r="G195" t="inlineStr">
        <is>
          <t>TIERP</t>
        </is>
      </c>
      <c r="H195" t="inlineStr">
        <is>
          <t>Bergvik skog väst AB</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61677-2023</t>
        </is>
      </c>
      <c r="B196" t="inlineStr">
        <is>
          <t>avverkningsanmälan</t>
        </is>
      </c>
      <c r="C196" t="inlineStr">
        <is>
          <t>Föryngringsavverkning</t>
        </is>
      </c>
      <c r="D196" s="1" t="n">
        <v>45265</v>
      </c>
      <c r="E196" s="1" t="n">
        <v>46263</v>
      </c>
      <c r="F196" t="inlineStr">
        <is>
          <t>UPPSALA LÄN</t>
        </is>
      </c>
      <c r="G196" t="inlineStr">
        <is>
          <t>TIERP</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8958-2024</t>
        </is>
      </c>
      <c r="B197" t="inlineStr">
        <is>
          <t>avverkningsanmälan</t>
        </is>
      </c>
      <c r="C197" t="inlineStr">
        <is>
          <t>Föryngringsavverkning</t>
        </is>
      </c>
      <c r="D197" s="1" t="n">
        <v>45357</v>
      </c>
      <c r="E197" s="1" t="n">
        <v>46263</v>
      </c>
      <c r="F197" t="inlineStr">
        <is>
          <t>UPPSALA LÄN</t>
        </is>
      </c>
      <c r="G197" t="inlineStr">
        <is>
          <t>TIERP</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52490-2025</t>
        </is>
      </c>
      <c r="B198" t="inlineStr">
        <is>
          <t>avverkningsanmälan</t>
        </is>
      </c>
      <c r="C198" t="inlineStr">
        <is>
          <t>Föryngringsavverkning</t>
        </is>
      </c>
      <c r="D198" s="1" t="n">
        <v>45954</v>
      </c>
      <c r="E198" s="1" t="n">
        <v>46263</v>
      </c>
      <c r="F198" t="inlineStr">
        <is>
          <t>UPPSALA LÄN</t>
        </is>
      </c>
      <c r="G198" t="inlineStr">
        <is>
          <t>TIERP</t>
        </is>
      </c>
      <c r="H198" t="inlineStr">
        <is>
          <t>Bergvik skog väst AB</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52502-2025</t>
        </is>
      </c>
      <c r="B199" t="inlineStr">
        <is>
          <t>avverkningsanmälan</t>
        </is>
      </c>
      <c r="C199" t="inlineStr">
        <is>
          <t>Föryngringsavverkning</t>
        </is>
      </c>
      <c r="D199" s="1" t="n">
        <v>45954</v>
      </c>
      <c r="E199" s="1" t="n">
        <v>46263</v>
      </c>
      <c r="F199" t="inlineStr">
        <is>
          <t>UPPSALA LÄN</t>
        </is>
      </c>
      <c r="G199" t="inlineStr">
        <is>
          <t>TIERP</t>
        </is>
      </c>
      <c r="H199" t="inlineStr">
        <is>
          <t>Bergvik skog väst AB</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53036-2025</t>
        </is>
      </c>
      <c r="B200" t="inlineStr">
        <is>
          <t>avverkningsanmälan</t>
        </is>
      </c>
      <c r="C200" t="inlineStr">
        <is>
          <t>Föryngringsavverkning</t>
        </is>
      </c>
      <c r="D200" s="1" t="n">
        <v>45958</v>
      </c>
      <c r="E200" s="1" t="n">
        <v>46263</v>
      </c>
      <c r="F200" t="inlineStr">
        <is>
          <t>UPPSALA LÄN</t>
        </is>
      </c>
      <c r="G200" t="inlineStr">
        <is>
          <t>TIERP</t>
        </is>
      </c>
      <c r="I200" t="n">
        <v>12.3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52863-2025</t>
        </is>
      </c>
      <c r="B201" t="inlineStr">
        <is>
          <t>avverkningsanmälan</t>
        </is>
      </c>
      <c r="C201" t="inlineStr">
        <is>
          <t>Föryngringsavverkning</t>
        </is>
      </c>
      <c r="D201" s="1" t="n">
        <v>45957</v>
      </c>
      <c r="E201" s="1" t="n">
        <v>46263</v>
      </c>
      <c r="F201" t="inlineStr">
        <is>
          <t>UPPSALA LÄN</t>
        </is>
      </c>
      <c r="G201" t="inlineStr">
        <is>
          <t>TIERP</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47419-2022</t>
        </is>
      </c>
      <c r="B202" t="inlineStr">
        <is>
          <t>avverkningsanmälan</t>
        </is>
      </c>
      <c r="C202" t="inlineStr">
        <is>
          <t>Föryngringsavverkning</t>
        </is>
      </c>
      <c r="D202" s="1" t="n">
        <v>44853</v>
      </c>
      <c r="E202" s="1" t="n">
        <v>46263</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52790-2025</t>
        </is>
      </c>
      <c r="B203" t="inlineStr">
        <is>
          <t>avverkningsanmälan</t>
        </is>
      </c>
      <c r="C203" t="inlineStr">
        <is>
          <t>Föryngringsavverkning</t>
        </is>
      </c>
      <c r="D203" s="1" t="n">
        <v>45957</v>
      </c>
      <c r="E203" s="1" t="n">
        <v>46263</v>
      </c>
      <c r="F203" t="inlineStr">
        <is>
          <t>UPPSALA LÄN</t>
        </is>
      </c>
      <c r="G203" t="inlineStr">
        <is>
          <t>TIERP</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52873-2025</t>
        </is>
      </c>
      <c r="B204" t="inlineStr">
        <is>
          <t>avverkningsanmälan</t>
        </is>
      </c>
      <c r="C204" t="inlineStr">
        <is>
          <t>Föryngringsavverkning</t>
        </is>
      </c>
      <c r="D204" s="1" t="n">
        <v>45957</v>
      </c>
      <c r="E204" s="1" t="n">
        <v>46263</v>
      </c>
      <c r="F204" t="inlineStr">
        <is>
          <t>UPPSALA LÄN</t>
        </is>
      </c>
      <c r="G204" t="inlineStr">
        <is>
          <t>TIERP</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53199-2025</t>
        </is>
      </c>
      <c r="B205" t="inlineStr">
        <is>
          <t>avverkningsanmälan</t>
        </is>
      </c>
      <c r="C205" t="inlineStr">
        <is>
          <t>Föryngringsavverkning</t>
        </is>
      </c>
      <c r="D205" s="1" t="n">
        <v>45957</v>
      </c>
      <c r="E205" s="1" t="n">
        <v>46263</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53164-2025</t>
        </is>
      </c>
      <c r="B206" t="inlineStr">
        <is>
          <t>avverkningsanmälan</t>
        </is>
      </c>
      <c r="C206" t="inlineStr">
        <is>
          <t>Föryngringsavverkning</t>
        </is>
      </c>
      <c r="D206" s="1" t="n">
        <v>45957</v>
      </c>
      <c r="E206" s="1" t="n">
        <v>46263</v>
      </c>
      <c r="F206" t="inlineStr">
        <is>
          <t>UPPSALA LÄN</t>
        </is>
      </c>
      <c r="G206" t="inlineStr">
        <is>
          <t>TIERP</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53483-2025</t>
        </is>
      </c>
      <c r="B207" t="inlineStr">
        <is>
          <t>avverkningsanmälan</t>
        </is>
      </c>
      <c r="C207" t="inlineStr">
        <is>
          <t>Föryngringsavverkning</t>
        </is>
      </c>
      <c r="D207" s="1" t="n">
        <v>45959</v>
      </c>
      <c r="E207" s="1" t="n">
        <v>46263</v>
      </c>
      <c r="F207" t="inlineStr">
        <is>
          <t>UPPSALA LÄN</t>
        </is>
      </c>
      <c r="G207" t="inlineStr">
        <is>
          <t>TIERP</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15662-2025</t>
        </is>
      </c>
      <c r="B208" t="inlineStr">
        <is>
          <t>avverkningsanmälan</t>
        </is>
      </c>
      <c r="C208" t="inlineStr">
        <is>
          <t>Föryngringsavverkning</t>
        </is>
      </c>
      <c r="D208" s="1" t="n">
        <v>45748</v>
      </c>
      <c r="E208" s="1" t="n">
        <v>46263</v>
      </c>
      <c r="F208" t="inlineStr">
        <is>
          <t>UPPSALA LÄN</t>
        </is>
      </c>
      <c r="G208" t="inlineStr">
        <is>
          <t>TIERP</t>
        </is>
      </c>
      <c r="H208" t="inlineStr">
        <is>
          <t>Kyrkan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61617-2022</t>
        </is>
      </c>
      <c r="B209" t="inlineStr">
        <is>
          <t>avverkningsanmälan</t>
        </is>
      </c>
      <c r="C209" t="inlineStr">
        <is>
          <t>Föryngringsavverkning</t>
        </is>
      </c>
      <c r="D209" s="1" t="n">
        <v>44916</v>
      </c>
      <c r="E209" s="1" t="n">
        <v>46263</v>
      </c>
      <c r="F209" t="inlineStr">
        <is>
          <t>UPPSALA LÄN</t>
        </is>
      </c>
      <c r="G209" t="inlineStr">
        <is>
          <t>TIERP</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54458-2025</t>
        </is>
      </c>
      <c r="B210" t="inlineStr">
        <is>
          <t>avverkningsanmälan</t>
        </is>
      </c>
      <c r="C210" t="inlineStr">
        <is>
          <t>Föryngringsavverkning</t>
        </is>
      </c>
      <c r="D210" s="1" t="n">
        <v>45965</v>
      </c>
      <c r="E210" s="1" t="n">
        <v>46263</v>
      </c>
      <c r="F210" t="inlineStr">
        <is>
          <t>UPPSALA LÄN</t>
        </is>
      </c>
      <c r="G210" t="inlineStr">
        <is>
          <t>TIERP</t>
        </is>
      </c>
      <c r="H210" t="inlineStr">
        <is>
          <t>Bergvik skog öst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22083-2025</t>
        </is>
      </c>
      <c r="B211" t="inlineStr">
        <is>
          <t>avverkningsanmälan</t>
        </is>
      </c>
      <c r="C211" t="inlineStr">
        <is>
          <t>Föryngringsavverkning</t>
        </is>
      </c>
      <c r="D211" s="1" t="n">
        <v>45785</v>
      </c>
      <c r="E211" s="1" t="n">
        <v>46263</v>
      </c>
      <c r="F211" t="inlineStr">
        <is>
          <t>UPPSALA LÄN</t>
        </is>
      </c>
      <c r="G211" t="inlineStr">
        <is>
          <t>TIERP</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18544-2025</t>
        </is>
      </c>
      <c r="B212" t="inlineStr">
        <is>
          <t>avverkningsanmälan</t>
        </is>
      </c>
      <c r="C212" t="inlineStr">
        <is>
          <t>Föryngringsavverkning</t>
        </is>
      </c>
      <c r="D212" s="1" t="n">
        <v>45763</v>
      </c>
      <c r="E212" s="1" t="n">
        <v>46263</v>
      </c>
      <c r="F212" t="inlineStr">
        <is>
          <t>UPPSALA LÄN</t>
        </is>
      </c>
      <c r="G212" t="inlineStr">
        <is>
          <t>TIERP</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54634-2025</t>
        </is>
      </c>
      <c r="B213" t="inlineStr">
        <is>
          <t>avverkningsanmälan</t>
        </is>
      </c>
      <c r="C213" t="inlineStr">
        <is>
          <t>Föryngringsavverkning</t>
        </is>
      </c>
      <c r="D213" s="1" t="n">
        <v>45966</v>
      </c>
      <c r="E213" s="1" t="n">
        <v>46263</v>
      </c>
      <c r="F213" t="inlineStr">
        <is>
          <t>UPPSALA LÄN</t>
        </is>
      </c>
      <c r="G213" t="inlineStr">
        <is>
          <t>TIERP</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35001-2024</t>
        </is>
      </c>
      <c r="B214" t="inlineStr">
        <is>
          <t>avverkningsanmälan</t>
        </is>
      </c>
      <c r="C214" t="inlineStr">
        <is>
          <t>Föryngringsavverkning</t>
        </is>
      </c>
      <c r="D214" s="1" t="n">
        <v>45527</v>
      </c>
      <c r="E214" s="1" t="n">
        <v>46263</v>
      </c>
      <c r="F214" t="inlineStr">
        <is>
          <t>UPPSALA LÄN</t>
        </is>
      </c>
      <c r="G214" t="inlineStr">
        <is>
          <t>TIERP</t>
        </is>
      </c>
      <c r="H214" t="inlineStr">
        <is>
          <t>Bergvik skog väst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43713-2022</t>
        </is>
      </c>
      <c r="B215" t="inlineStr">
        <is>
          <t>avverkningsanmälan</t>
        </is>
      </c>
      <c r="C215" t="inlineStr">
        <is>
          <t>Föryngringsavverkning</t>
        </is>
      </c>
      <c r="D215" s="1" t="n">
        <v>44837</v>
      </c>
      <c r="E215" s="1" t="n">
        <v>46263</v>
      </c>
      <c r="F215" t="inlineStr">
        <is>
          <t>UPPSALA LÄN</t>
        </is>
      </c>
      <c r="G215" t="inlineStr">
        <is>
          <t>TIERP</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58492-2023</t>
        </is>
      </c>
      <c r="B216" t="inlineStr">
        <is>
          <t>avverkningsanmälan</t>
        </is>
      </c>
      <c r="C216" t="inlineStr">
        <is>
          <t>Avverkning för annat ändamål</t>
        </is>
      </c>
      <c r="D216" s="1" t="n">
        <v>45251</v>
      </c>
      <c r="E216" s="1" t="n">
        <v>46263</v>
      </c>
      <c r="F216" t="inlineStr">
        <is>
          <t>UPPSALA LÄN</t>
        </is>
      </c>
      <c r="G216" t="inlineStr">
        <is>
          <t>TIERP</t>
        </is>
      </c>
      <c r="H216" t="inlineStr">
        <is>
          <t>Bergvik skog väst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54482-2025</t>
        </is>
      </c>
      <c r="B217" t="inlineStr">
        <is>
          <t>avverkningsanmälan</t>
        </is>
      </c>
      <c r="C217" t="inlineStr">
        <is>
          <t>Föryngringsavverkning</t>
        </is>
      </c>
      <c r="D217" s="1" t="n">
        <v>45965</v>
      </c>
      <c r="E217" s="1" t="n">
        <v>46263</v>
      </c>
      <c r="F217" t="inlineStr">
        <is>
          <t>UPPSALA LÄN</t>
        </is>
      </c>
      <c r="G217" t="inlineStr">
        <is>
          <t>TIERP</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20854-2024</t>
        </is>
      </c>
      <c r="B218" t="inlineStr">
        <is>
          <t>avverkningsanmälan</t>
        </is>
      </c>
      <c r="C218" t="inlineStr">
        <is>
          <t>Föryngringsavverkning</t>
        </is>
      </c>
      <c r="D218" s="1" t="n">
        <v>45439</v>
      </c>
      <c r="E218" s="1" t="n">
        <v>46263</v>
      </c>
      <c r="F218" t="inlineStr">
        <is>
          <t>UPPSALA LÄN</t>
        </is>
      </c>
      <c r="G218" t="inlineStr">
        <is>
          <t>TIERP</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48403-2022</t>
        </is>
      </c>
      <c r="B219" t="inlineStr">
        <is>
          <t>avverkningsanmälan</t>
        </is>
      </c>
      <c r="C219" t="inlineStr">
        <is>
          <t>Föryngringsavverkning</t>
        </is>
      </c>
      <c r="D219" s="1" t="n">
        <v>44858</v>
      </c>
      <c r="E219" s="1" t="n">
        <v>46263</v>
      </c>
      <c r="F219" t="inlineStr">
        <is>
          <t>UPPSALA LÄN</t>
        </is>
      </c>
      <c r="G219" t="inlineStr">
        <is>
          <t>TIERP</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4314-2025</t>
        </is>
      </c>
      <c r="B220" t="inlineStr">
        <is>
          <t>avverkningsanmälan</t>
        </is>
      </c>
      <c r="C220" t="inlineStr">
        <is>
          <t>Föryngringsavverkning</t>
        </is>
      </c>
      <c r="D220" s="1" t="n">
        <v>45685</v>
      </c>
      <c r="E220" s="1" t="n">
        <v>46263</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18526-2025</t>
        </is>
      </c>
      <c r="B221" t="inlineStr">
        <is>
          <t>avverkningsanmälan</t>
        </is>
      </c>
      <c r="C221" t="inlineStr">
        <is>
          <t>Föryngringsavverkning</t>
        </is>
      </c>
      <c r="D221" s="1" t="n">
        <v>45763</v>
      </c>
      <c r="E221" s="1" t="n">
        <v>46263</v>
      </c>
      <c r="F221" t="inlineStr">
        <is>
          <t>UPPSALA LÄN</t>
        </is>
      </c>
      <c r="G221" t="inlineStr">
        <is>
          <t>TIERP</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40164-2025</t>
        </is>
      </c>
      <c r="B222" t="inlineStr">
        <is>
          <t>avverkningsanmälan</t>
        </is>
      </c>
      <c r="C222" t="inlineStr">
        <is>
          <t>Föryngringsavverkning</t>
        </is>
      </c>
      <c r="D222" s="1" t="n">
        <v>45894</v>
      </c>
      <c r="E222" s="1" t="n">
        <v>46263</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17944-2023</t>
        </is>
      </c>
      <c r="B223" t="inlineStr">
        <is>
          <t>avverkningsanmälan</t>
        </is>
      </c>
      <c r="C223" t="inlineStr">
        <is>
          <t>Föryngringsavverkning</t>
        </is>
      </c>
      <c r="D223" s="1" t="n">
        <v>45040</v>
      </c>
      <c r="E223" s="1" t="n">
        <v>46263</v>
      </c>
      <c r="F223" t="inlineStr">
        <is>
          <t>UPPSALA LÄN</t>
        </is>
      </c>
      <c r="G223" t="inlineStr">
        <is>
          <t>TIERP</t>
        </is>
      </c>
      <c r="H223" t="inlineStr">
        <is>
          <t>Bergvik skog väst AB</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40627-2025</t>
        </is>
      </c>
      <c r="B224" t="inlineStr">
        <is>
          <t>avverkningsanmälan</t>
        </is>
      </c>
      <c r="C224" t="inlineStr">
        <is>
          <t>Föryngringsavverkning</t>
        </is>
      </c>
      <c r="D224" s="1" t="n">
        <v>45896</v>
      </c>
      <c r="E224" s="1" t="n">
        <v>46263</v>
      </c>
      <c r="F224" t="inlineStr">
        <is>
          <t>UPPSALA LÄN</t>
        </is>
      </c>
      <c r="G224" t="inlineStr">
        <is>
          <t>TIERP</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55719-2025</t>
        </is>
      </c>
      <c r="B225" t="inlineStr">
        <is>
          <t>avverkningsanmälan</t>
        </is>
      </c>
      <c r="C225" t="inlineStr">
        <is>
          <t>Föryngringsavverkning</t>
        </is>
      </c>
      <c r="D225" s="1" t="n">
        <v>45972</v>
      </c>
      <c r="E225" s="1" t="n">
        <v>46263</v>
      </c>
      <c r="F225" t="inlineStr">
        <is>
          <t>UPPSALA LÄN</t>
        </is>
      </c>
      <c r="G225" t="inlineStr">
        <is>
          <t>TIERP</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61640-2023</t>
        </is>
      </c>
      <c r="B226" t="inlineStr">
        <is>
          <t>avverkningsanmälan</t>
        </is>
      </c>
      <c r="C226" t="inlineStr">
        <is>
          <t>Föryngringsavverkning</t>
        </is>
      </c>
      <c r="D226" s="1" t="n">
        <v>45265</v>
      </c>
      <c r="E226" s="1" t="n">
        <v>46263</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41531-2025</t>
        </is>
      </c>
      <c r="B227" t="inlineStr">
        <is>
          <t>avverkningsanmälan</t>
        </is>
      </c>
      <c r="C227" t="inlineStr">
        <is>
          <t>Föryngringsavverkning</t>
        </is>
      </c>
      <c r="D227" s="1" t="n">
        <v>45901</v>
      </c>
      <c r="E227" s="1" t="n">
        <v>46263</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41535-2025</t>
        </is>
      </c>
      <c r="B228" t="inlineStr">
        <is>
          <t>avverkningsanmälan</t>
        </is>
      </c>
      <c r="C228" t="inlineStr">
        <is>
          <t>Föryngringsavverkning</t>
        </is>
      </c>
      <c r="D228" s="1" t="n">
        <v>45901</v>
      </c>
      <c r="E228" s="1" t="n">
        <v>46263</v>
      </c>
      <c r="F228" t="inlineStr">
        <is>
          <t>UPPSALA LÄN</t>
        </is>
      </c>
      <c r="G228" t="inlineStr">
        <is>
          <t>TIERP</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56051-2025</t>
        </is>
      </c>
      <c r="B229" t="inlineStr">
        <is>
          <t>avverkningsanmälan</t>
        </is>
      </c>
      <c r="C229" t="inlineStr">
        <is>
          <t>Föryngringsavverkning</t>
        </is>
      </c>
      <c r="D229" s="1" t="n">
        <v>45973</v>
      </c>
      <c r="E229" s="1" t="n">
        <v>46263</v>
      </c>
      <c r="F229" t="inlineStr">
        <is>
          <t>UPPSALA LÄN</t>
        </is>
      </c>
      <c r="G229" t="inlineStr">
        <is>
          <t>TIERP</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56059-2025</t>
        </is>
      </c>
      <c r="B230" t="inlineStr">
        <is>
          <t>avverkningsanmälan</t>
        </is>
      </c>
      <c r="C230" t="inlineStr">
        <is>
          <t>Föryngringsavverkning</t>
        </is>
      </c>
      <c r="D230" s="1" t="n">
        <v>45973</v>
      </c>
      <c r="E230" s="1" t="n">
        <v>46263</v>
      </c>
      <c r="F230" t="inlineStr">
        <is>
          <t>UPPSALA LÄN</t>
        </is>
      </c>
      <c r="G230" t="inlineStr">
        <is>
          <t>TIERP</t>
        </is>
      </c>
      <c r="H230" t="inlineStr">
        <is>
          <t>Bergvik skog väst AB</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55872-2025</t>
        </is>
      </c>
      <c r="B231" t="inlineStr">
        <is>
          <t>avverkningsanmälan</t>
        </is>
      </c>
      <c r="C231" t="inlineStr">
        <is>
          <t>Föryngringsavverkning</t>
        </is>
      </c>
      <c r="D231" s="1" t="n">
        <v>45973</v>
      </c>
      <c r="E231" s="1" t="n">
        <v>46263</v>
      </c>
      <c r="F231" t="inlineStr">
        <is>
          <t>UPPSALA LÄN</t>
        </is>
      </c>
      <c r="G231" t="inlineStr">
        <is>
          <t>TIERP</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36830-2024</t>
        </is>
      </c>
      <c r="B232" t="inlineStr">
        <is>
          <t>avverkningsanmälan</t>
        </is>
      </c>
      <c r="C232" t="inlineStr">
        <is>
          <t>Föryngringsavverkning</t>
        </is>
      </c>
      <c r="D232" s="1" t="n">
        <v>45538</v>
      </c>
      <c r="E232" s="1" t="n">
        <v>46263</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46263</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56067-2025</t>
        </is>
      </c>
      <c r="B234" t="inlineStr">
        <is>
          <t>avverkningsanmälan</t>
        </is>
      </c>
      <c r="C234" t="inlineStr">
        <is>
          <t>Föryngringsavverkning</t>
        </is>
      </c>
      <c r="D234" s="1" t="n">
        <v>45973</v>
      </c>
      <c r="E234" s="1" t="n">
        <v>46263</v>
      </c>
      <c r="F234" t="inlineStr">
        <is>
          <t>UPPSALA LÄN</t>
        </is>
      </c>
      <c r="G234" t="inlineStr">
        <is>
          <t>TIERP</t>
        </is>
      </c>
      <c r="H234" t="inlineStr">
        <is>
          <t>Bergvik skog väst AB</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23201-2025</t>
        </is>
      </c>
      <c r="B235" t="inlineStr">
        <is>
          <t>avverkningsanmälan</t>
        </is>
      </c>
      <c r="C235" t="inlineStr">
        <is>
          <t>Föryngringsavverkning</t>
        </is>
      </c>
      <c r="D235" s="1" t="n">
        <v>45791</v>
      </c>
      <c r="E235" s="1" t="n">
        <v>46263</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41527-2025</t>
        </is>
      </c>
      <c r="B236" t="inlineStr">
        <is>
          <t>avverkningsanmälan</t>
        </is>
      </c>
      <c r="C236" t="inlineStr">
        <is>
          <t>Föryngringsavverkning</t>
        </is>
      </c>
      <c r="D236" s="1" t="n">
        <v>45901</v>
      </c>
      <c r="E236" s="1" t="n">
        <v>46263</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41537-2025</t>
        </is>
      </c>
      <c r="B237" t="inlineStr">
        <is>
          <t>avverkningsanmälan</t>
        </is>
      </c>
      <c r="C237" t="inlineStr">
        <is>
          <t>Föryngringsavverkning</t>
        </is>
      </c>
      <c r="D237" s="1" t="n">
        <v>45901</v>
      </c>
      <c r="E237" s="1" t="n">
        <v>46263</v>
      </c>
      <c r="F237" t="inlineStr">
        <is>
          <t>UPPSALA LÄN</t>
        </is>
      </c>
      <c r="G237" t="inlineStr">
        <is>
          <t>TIERP</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41490-2025</t>
        </is>
      </c>
      <c r="B238" t="inlineStr">
        <is>
          <t>avverkningsanmälan</t>
        </is>
      </c>
      <c r="C238" t="inlineStr">
        <is>
          <t>Föryngringsavverkning</t>
        </is>
      </c>
      <c r="D238" s="1" t="n">
        <v>45901</v>
      </c>
      <c r="E238" s="1" t="n">
        <v>46263</v>
      </c>
      <c r="F238" t="inlineStr">
        <is>
          <t>UPPSALA LÄN</t>
        </is>
      </c>
      <c r="G238" t="inlineStr">
        <is>
          <t>TIERP</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41497-2025</t>
        </is>
      </c>
      <c r="B239" t="inlineStr">
        <is>
          <t>avverkningsanmälan</t>
        </is>
      </c>
      <c r="C239" t="inlineStr">
        <is>
          <t>Föryngringsavverkning</t>
        </is>
      </c>
      <c r="D239" s="1" t="n">
        <v>45901</v>
      </c>
      <c r="E239" s="1" t="n">
        <v>46263</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47422-2022</t>
        </is>
      </c>
      <c r="B240" t="inlineStr">
        <is>
          <t>avverkningsanmälan</t>
        </is>
      </c>
      <c r="C240" t="inlineStr">
        <is>
          <t>Föryngringsavverkning</t>
        </is>
      </c>
      <c r="D240" s="1" t="n">
        <v>44853</v>
      </c>
      <c r="E240" s="1" t="n">
        <v>46263</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32212-2024</t>
        </is>
      </c>
      <c r="B241" t="inlineStr">
        <is>
          <t>avverkningsanmälan</t>
        </is>
      </c>
      <c r="C241" t="inlineStr">
        <is>
          <t>Föryngringsavverkning</t>
        </is>
      </c>
      <c r="D241" s="1" t="n">
        <v>45511</v>
      </c>
      <c r="E241" s="1" t="n">
        <v>46263</v>
      </c>
      <c r="F241" t="inlineStr">
        <is>
          <t>UPPSALA LÄN</t>
        </is>
      </c>
      <c r="G241" t="inlineStr">
        <is>
          <t>TIERP</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46263</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33677-2023</t>
        </is>
      </c>
      <c r="B243" t="inlineStr">
        <is>
          <t>avverkningsanmälan</t>
        </is>
      </c>
      <c r="C243" t="inlineStr">
        <is>
          <t>Föryngringsavverkning</t>
        </is>
      </c>
      <c r="D243" s="1" t="n">
        <v>45119</v>
      </c>
      <c r="E243" s="1" t="n">
        <v>46263</v>
      </c>
      <c r="F243" t="inlineStr">
        <is>
          <t>UPPSALA LÄN</t>
        </is>
      </c>
      <c r="G243" t="inlineStr">
        <is>
          <t>TIERP</t>
        </is>
      </c>
      <c r="H243" t="inlineStr">
        <is>
          <t>Bergvik skog väst AB</t>
        </is>
      </c>
      <c r="I243" t="n">
        <v>57.7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42688-2025</t>
        </is>
      </c>
      <c r="B244" t="inlineStr">
        <is>
          <t>avverkningsanmälan</t>
        </is>
      </c>
      <c r="C244" t="inlineStr">
        <is>
          <t>Föryngringsavverkning</t>
        </is>
      </c>
      <c r="D244" s="1" t="n">
        <v>45908</v>
      </c>
      <c r="E244" s="1" t="n">
        <v>46263</v>
      </c>
      <c r="F244" t="inlineStr">
        <is>
          <t>UPPSALA LÄN</t>
        </is>
      </c>
      <c r="G244" t="inlineStr">
        <is>
          <t>TIERP</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42695-2025</t>
        </is>
      </c>
      <c r="B245" t="inlineStr">
        <is>
          <t>avverkningsanmälan</t>
        </is>
      </c>
      <c r="C245" t="inlineStr">
        <is>
          <t>Föryngringsavverkning</t>
        </is>
      </c>
      <c r="D245" s="1" t="n">
        <v>45908</v>
      </c>
      <c r="E245" s="1" t="n">
        <v>46263</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48736-2023</t>
        </is>
      </c>
      <c r="B246" t="inlineStr">
        <is>
          <t>avverkningsanmälan</t>
        </is>
      </c>
      <c r="C246" t="inlineStr">
        <is>
          <t>Föryngringsavverkning</t>
        </is>
      </c>
      <c r="D246" s="1" t="n">
        <v>45203</v>
      </c>
      <c r="E246" s="1" t="n">
        <v>46263</v>
      </c>
      <c r="F246" t="inlineStr">
        <is>
          <t>UPPSALA LÄN</t>
        </is>
      </c>
      <c r="G246" t="inlineStr">
        <is>
          <t>TIERP</t>
        </is>
      </c>
      <c r="H246" t="inlineStr">
        <is>
          <t>Bergvik skog väst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43222-2025</t>
        </is>
      </c>
      <c r="B247" t="inlineStr">
        <is>
          <t>avverkningsanmälan</t>
        </is>
      </c>
      <c r="C247" t="inlineStr">
        <is>
          <t>Föryngringsavverkning</t>
        </is>
      </c>
      <c r="D247" s="1" t="n">
        <v>45910</v>
      </c>
      <c r="E247" s="1" t="n">
        <v>46263</v>
      </c>
      <c r="F247" t="inlineStr">
        <is>
          <t>UPPSALA LÄN</t>
        </is>
      </c>
      <c r="G247" t="inlineStr">
        <is>
          <t>TIERP</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56044-2025</t>
        </is>
      </c>
      <c r="B248" t="inlineStr">
        <is>
          <t>avverkningsanmälan</t>
        </is>
      </c>
      <c r="C248" t="inlineStr">
        <is>
          <t>Föryngringsavverkning</t>
        </is>
      </c>
      <c r="D248" s="1" t="n">
        <v>45973</v>
      </c>
      <c r="E248" s="1" t="n">
        <v>46263</v>
      </c>
      <c r="F248" t="inlineStr">
        <is>
          <t>UPPSALA LÄN</t>
        </is>
      </c>
      <c r="G248" t="inlineStr">
        <is>
          <t>TIERP</t>
        </is>
      </c>
      <c r="H248" t="inlineStr">
        <is>
          <t>Bergvik skog väst AB</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5995-2023</t>
        </is>
      </c>
      <c r="B249" t="inlineStr">
        <is>
          <t>avverkningsanmälan</t>
        </is>
      </c>
      <c r="C249" t="inlineStr">
        <is>
          <t>Föryngringsavverkning</t>
        </is>
      </c>
      <c r="D249" s="1" t="n">
        <v>44964</v>
      </c>
      <c r="E249" s="1" t="n">
        <v>46263</v>
      </c>
      <c r="F249" t="inlineStr">
        <is>
          <t>UPPSALA LÄN</t>
        </is>
      </c>
      <c r="G249" t="inlineStr">
        <is>
          <t>TIERP</t>
        </is>
      </c>
      <c r="H249" t="inlineStr">
        <is>
          <t>Bergvik skog öst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46263</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43525-2025</t>
        </is>
      </c>
      <c r="B251" t="inlineStr">
        <is>
          <t>avverkningsanmälan</t>
        </is>
      </c>
      <c r="C251" t="inlineStr">
        <is>
          <t>Föryngringsavverkning</t>
        </is>
      </c>
      <c r="D251" s="1" t="n">
        <v>45911</v>
      </c>
      <c r="E251" s="1" t="n">
        <v>46263</v>
      </c>
      <c r="F251" t="inlineStr">
        <is>
          <t>UPPSALA LÄN</t>
        </is>
      </c>
      <c r="G251" t="inlineStr">
        <is>
          <t>TIERP</t>
        </is>
      </c>
      <c r="H251" t="inlineStr">
        <is>
          <t>Bergvik skog öst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33570-2025</t>
        </is>
      </c>
      <c r="B252" t="inlineStr">
        <is>
          <t>avverkningsanmälan</t>
        </is>
      </c>
      <c r="C252" t="inlineStr">
        <is>
          <t>Föryngringsavverkning</t>
        </is>
      </c>
      <c r="D252" s="1" t="n">
        <v>45841</v>
      </c>
      <c r="E252" s="1" t="n">
        <v>46263</v>
      </c>
      <c r="F252" t="inlineStr">
        <is>
          <t>UPPSALA LÄN</t>
        </is>
      </c>
      <c r="G252" t="inlineStr">
        <is>
          <t>TIERP</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35195-2025</t>
        </is>
      </c>
      <c r="B253" t="inlineStr">
        <is>
          <t>avverkningsanmälan</t>
        </is>
      </c>
      <c r="C253" t="inlineStr">
        <is>
          <t>Föryngringsavverkning</t>
        </is>
      </c>
      <c r="D253" s="1" t="n">
        <v>45853</v>
      </c>
      <c r="E253" s="1" t="n">
        <v>46263</v>
      </c>
      <c r="F253" t="inlineStr">
        <is>
          <t>UPPSALA LÄN</t>
        </is>
      </c>
      <c r="G253" t="inlineStr">
        <is>
          <t>TIERP</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35196-2025</t>
        </is>
      </c>
      <c r="B254" t="inlineStr">
        <is>
          <t>avverkningsanmälan</t>
        </is>
      </c>
      <c r="C254" t="inlineStr">
        <is>
          <t>Avverkning för annat ändamål</t>
        </is>
      </c>
      <c r="D254" s="1" t="n">
        <v>45853</v>
      </c>
      <c r="E254" s="1" t="n">
        <v>46263</v>
      </c>
      <c r="F254" t="inlineStr">
        <is>
          <t>UPPSALA LÄN</t>
        </is>
      </c>
      <c r="G254" t="inlineStr">
        <is>
          <t>TIERP</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22529-2025</t>
        </is>
      </c>
      <c r="B255" t="inlineStr">
        <is>
          <t>avverkningsanmälan</t>
        </is>
      </c>
      <c r="C255" t="inlineStr">
        <is>
          <t>Föryngringsavverkning</t>
        </is>
      </c>
      <c r="D255" s="1" t="n">
        <v>45786</v>
      </c>
      <c r="E255" s="1" t="n">
        <v>46263</v>
      </c>
      <c r="F255" t="inlineStr">
        <is>
          <t>UPPSALA LÄN</t>
        </is>
      </c>
      <c r="G255" t="inlineStr">
        <is>
          <t>TIERP</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30509-2024</t>
        </is>
      </c>
      <c r="B256" t="inlineStr">
        <is>
          <t>avverkningsanmälan</t>
        </is>
      </c>
      <c r="C256" t="inlineStr">
        <is>
          <t>Föryngringsavverkning</t>
        </is>
      </c>
      <c r="D256" s="1" t="n">
        <v>45492</v>
      </c>
      <c r="E256" s="1" t="n">
        <v>46263</v>
      </c>
      <c r="F256" t="inlineStr">
        <is>
          <t>UPPSALA LÄN</t>
        </is>
      </c>
      <c r="G256" t="inlineStr">
        <is>
          <t>TIERP</t>
        </is>
      </c>
      <c r="H256" t="inlineStr">
        <is>
          <t>Bergvik skog öst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46263</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73-2023</t>
        </is>
      </c>
      <c r="B258" t="inlineStr">
        <is>
          <t>avverkningsanmälan</t>
        </is>
      </c>
      <c r="C258" t="inlineStr">
        <is>
          <t>Föryngringsavverkning</t>
        </is>
      </c>
      <c r="D258" s="1" t="n">
        <v>44928</v>
      </c>
      <c r="E258" s="1" t="n">
        <v>46263</v>
      </c>
      <c r="F258" t="inlineStr">
        <is>
          <t>UPPSALA LÄN</t>
        </is>
      </c>
      <c r="G258" t="inlineStr">
        <is>
          <t>TIERP</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4329-2023</t>
        </is>
      </c>
      <c r="B259" t="inlineStr">
        <is>
          <t>avverkningsanmälan</t>
        </is>
      </c>
      <c r="C259" t="inlineStr">
        <is>
          <t>Föryngringsavverkning</t>
        </is>
      </c>
      <c r="D259" s="1" t="n">
        <v>44953</v>
      </c>
      <c r="E259" s="1" t="n">
        <v>46263</v>
      </c>
      <c r="F259" t="inlineStr">
        <is>
          <t>UPPSALA LÄN</t>
        </is>
      </c>
      <c r="G259" t="inlineStr">
        <is>
          <t>TIERP</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22528-2025</t>
        </is>
      </c>
      <c r="B260" t="inlineStr">
        <is>
          <t>avverkningsanmälan</t>
        </is>
      </c>
      <c r="C260" t="inlineStr">
        <is>
          <t>Föryngringsavverkning</t>
        </is>
      </c>
      <c r="D260" s="1" t="n">
        <v>45786</v>
      </c>
      <c r="E260" s="1" t="n">
        <v>46263</v>
      </c>
      <c r="F260" t="inlineStr">
        <is>
          <t>UPPSALA LÄN</t>
        </is>
      </c>
      <c r="G260" t="inlineStr">
        <is>
          <t>TIERP</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55816-2024</t>
        </is>
      </c>
      <c r="B261" t="inlineStr">
        <is>
          <t>avverkningsanmälan</t>
        </is>
      </c>
      <c r="C261" t="inlineStr">
        <is>
          <t>Föryngringsavverkning</t>
        </is>
      </c>
      <c r="D261" s="1" t="n">
        <v>45623</v>
      </c>
      <c r="E261" s="1" t="n">
        <v>46263</v>
      </c>
      <c r="F261" t="inlineStr">
        <is>
          <t>UPPSALA LÄN</t>
        </is>
      </c>
      <c r="G261" t="inlineStr">
        <is>
          <t>TIERP</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30110-2024</t>
        </is>
      </c>
      <c r="B262" t="inlineStr">
        <is>
          <t>avverkningsanmälan</t>
        </is>
      </c>
      <c r="C262" t="inlineStr">
        <is>
          <t>Föryngringsavverkning</t>
        </is>
      </c>
      <c r="D262" s="1" t="n">
        <v>45489</v>
      </c>
      <c r="E262" s="1" t="n">
        <v>46263</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47505-2024</t>
        </is>
      </c>
      <c r="B263" t="inlineStr">
        <is>
          <t>avverkningsanmälan</t>
        </is>
      </c>
      <c r="C263" t="inlineStr">
        <is>
          <t>Föryngringsavverkning</t>
        </is>
      </c>
      <c r="D263" s="1" t="n">
        <v>45587</v>
      </c>
      <c r="E263" s="1" t="n">
        <v>46263</v>
      </c>
      <c r="F263" t="inlineStr">
        <is>
          <t>UPPSALA LÄN</t>
        </is>
      </c>
      <c r="G263" t="inlineStr">
        <is>
          <t>TIERP</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22672-2023</t>
        </is>
      </c>
      <c r="B264" t="inlineStr">
        <is>
          <t>avverkningsanmälan</t>
        </is>
      </c>
      <c r="C264" t="inlineStr">
        <is>
          <t>Föryngringsavverkning</t>
        </is>
      </c>
      <c r="D264" s="1" t="n">
        <v>45071</v>
      </c>
      <c r="E264" s="1" t="n">
        <v>46263</v>
      </c>
      <c r="F264" t="inlineStr">
        <is>
          <t>UPPSALA LÄN</t>
        </is>
      </c>
      <c r="G264" t="inlineStr">
        <is>
          <t>TIERP</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57532-2022</t>
        </is>
      </c>
      <c r="B265" t="inlineStr">
        <is>
          <t>avverkningsanmälan</t>
        </is>
      </c>
      <c r="C265" t="inlineStr">
        <is>
          <t>Föryngringsavverkning</t>
        </is>
      </c>
      <c r="D265" s="1" t="n">
        <v>44896</v>
      </c>
      <c r="E265" s="1" t="n">
        <v>46263</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43873-2025</t>
        </is>
      </c>
      <c r="B266" t="inlineStr">
        <is>
          <t>avverkningsanmälan</t>
        </is>
      </c>
      <c r="C266" t="inlineStr">
        <is>
          <t>Föryngringsavverkning</t>
        </is>
      </c>
      <c r="D266" s="1" t="n">
        <v>45912</v>
      </c>
      <c r="E266" s="1" t="n">
        <v>46263</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55780-2024</t>
        </is>
      </c>
      <c r="B267" t="inlineStr">
        <is>
          <t>avverkningsanmälan</t>
        </is>
      </c>
      <c r="C267" t="inlineStr">
        <is>
          <t>Föryngringsavverkning</t>
        </is>
      </c>
      <c r="D267" s="1" t="n">
        <v>45623</v>
      </c>
      <c r="E267" s="1" t="n">
        <v>46263</v>
      </c>
      <c r="F267" t="inlineStr">
        <is>
          <t>UPPSALA LÄN</t>
        </is>
      </c>
      <c r="G267" t="inlineStr">
        <is>
          <t>TIERP</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46263</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46263</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1056-2025</t>
        </is>
      </c>
      <c r="B270" t="inlineStr">
        <is>
          <t>avverkningsanmälan</t>
        </is>
      </c>
      <c r="C270" t="inlineStr">
        <is>
          <t>Föryngringsavverkning</t>
        </is>
      </c>
      <c r="D270" s="1" t="n">
        <v>45666</v>
      </c>
      <c r="E270" s="1" t="n">
        <v>46263</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1384-2023</t>
        </is>
      </c>
      <c r="B271" t="inlineStr">
        <is>
          <t>avverkningsanmälan</t>
        </is>
      </c>
      <c r="C271" t="inlineStr">
        <is>
          <t>Föryngringsavverkning</t>
        </is>
      </c>
      <c r="D271" s="1" t="n">
        <v>44936</v>
      </c>
      <c r="E271" s="1" t="n">
        <v>46263</v>
      </c>
      <c r="F271" t="inlineStr">
        <is>
          <t>UPPSALA LÄN</t>
        </is>
      </c>
      <c r="G271" t="inlineStr">
        <is>
          <t>TIERP</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57536-2022</t>
        </is>
      </c>
      <c r="B272" t="inlineStr">
        <is>
          <t>avverkningsanmälan</t>
        </is>
      </c>
      <c r="C272" t="inlineStr">
        <is>
          <t>Föryngringsavverkning</t>
        </is>
      </c>
      <c r="D272" s="1" t="n">
        <v>44896</v>
      </c>
      <c r="E272" s="1" t="n">
        <v>46263</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46263</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44675-2025</t>
        </is>
      </c>
      <c r="B274" t="inlineStr">
        <is>
          <t>avverkningsanmälan</t>
        </is>
      </c>
      <c r="C274" t="inlineStr">
        <is>
          <t>Föryngringsavverkning</t>
        </is>
      </c>
      <c r="D274" s="1" t="n">
        <v>45917</v>
      </c>
      <c r="E274" s="1" t="n">
        <v>46263</v>
      </c>
      <c r="F274" t="inlineStr">
        <is>
          <t>UPPSALA LÄN</t>
        </is>
      </c>
      <c r="G274" t="inlineStr">
        <is>
          <t>TIERP</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57064-2025</t>
        </is>
      </c>
      <c r="B275" t="inlineStr">
        <is>
          <t>avverkningsanmälan</t>
        </is>
      </c>
      <c r="C275" t="inlineStr">
        <is>
          <t>Föryngringsavverkning</t>
        </is>
      </c>
      <c r="D275" s="1" t="n">
        <v>45979</v>
      </c>
      <c r="E275" s="1" t="n">
        <v>46263</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44612-2025</t>
        </is>
      </c>
      <c r="B276" t="inlineStr">
        <is>
          <t>avverkningsanmälan</t>
        </is>
      </c>
      <c r="C276" t="inlineStr">
        <is>
          <t>Föryngringsavverkning</t>
        </is>
      </c>
      <c r="D276" s="1" t="n">
        <v>45917</v>
      </c>
      <c r="E276" s="1" t="n">
        <v>46263</v>
      </c>
      <c r="F276" t="inlineStr">
        <is>
          <t>UPPSALA LÄN</t>
        </is>
      </c>
      <c r="G276" t="inlineStr">
        <is>
          <t>TIERP</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45460-2025</t>
        </is>
      </c>
      <c r="B277" t="inlineStr">
        <is>
          <t>avverkningsanmälan</t>
        </is>
      </c>
      <c r="C277" t="inlineStr">
        <is>
          <t>Föryngringsavverkning</t>
        </is>
      </c>
      <c r="D277" s="1" t="n">
        <v>45922</v>
      </c>
      <c r="E277" s="1" t="n">
        <v>46263</v>
      </c>
      <c r="F277" t="inlineStr">
        <is>
          <t>UPPSALA LÄN</t>
        </is>
      </c>
      <c r="G277" t="inlineStr">
        <is>
          <t>TIERP</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45449-2025</t>
        </is>
      </c>
      <c r="B278" t="inlineStr">
        <is>
          <t>avverkningsanmälan</t>
        </is>
      </c>
      <c r="C278" t="inlineStr">
        <is>
          <t>Föryngringsavverkning</t>
        </is>
      </c>
      <c r="D278" s="1" t="n">
        <v>45922</v>
      </c>
      <c r="E278" s="1" t="n">
        <v>46263</v>
      </c>
      <c r="F278" t="inlineStr">
        <is>
          <t>UPPSALA LÄN</t>
        </is>
      </c>
      <c r="G278" t="inlineStr">
        <is>
          <t>TIERP</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45308-2025</t>
        </is>
      </c>
      <c r="B279" t="inlineStr">
        <is>
          <t>avverkningsanmälan</t>
        </is>
      </c>
      <c r="C279" t="inlineStr">
        <is>
          <t>Föryngringsavverkning</t>
        </is>
      </c>
      <c r="D279" s="1" t="n">
        <v>45921</v>
      </c>
      <c r="E279" s="1" t="n">
        <v>46263</v>
      </c>
      <c r="F279" t="inlineStr">
        <is>
          <t>UPPSALA LÄN</t>
        </is>
      </c>
      <c r="G279" t="inlineStr">
        <is>
          <t>TIERP</t>
        </is>
      </c>
      <c r="H279" t="inlineStr">
        <is>
          <t>Bergvik skog väst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45311-2025</t>
        </is>
      </c>
      <c r="B280" t="inlineStr">
        <is>
          <t>avverkningsanmälan</t>
        </is>
      </c>
      <c r="C280" t="inlineStr">
        <is>
          <t>Föryngringsavverkning</t>
        </is>
      </c>
      <c r="D280" s="1" t="n">
        <v>45921</v>
      </c>
      <c r="E280" s="1" t="n">
        <v>46263</v>
      </c>
      <c r="F280" t="inlineStr">
        <is>
          <t>UPPSALA LÄN</t>
        </is>
      </c>
      <c r="G280" t="inlineStr">
        <is>
          <t>TIERP</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45328-2025</t>
        </is>
      </c>
      <c r="B281" t="inlineStr">
        <is>
          <t>avverkningsanmälan</t>
        </is>
      </c>
      <c r="C281" t="inlineStr">
        <is>
          <t>Föryngringsavverkning</t>
        </is>
      </c>
      <c r="D281" s="1" t="n">
        <v>45922</v>
      </c>
      <c r="E281" s="1" t="n">
        <v>46263</v>
      </c>
      <c r="F281" t="inlineStr">
        <is>
          <t>UPPSALA LÄN</t>
        </is>
      </c>
      <c r="G281" t="inlineStr">
        <is>
          <t>TIERP</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24807-2025</t>
        </is>
      </c>
      <c r="B282" t="inlineStr">
        <is>
          <t>avverkningsanmälan</t>
        </is>
      </c>
      <c r="C282" t="inlineStr">
        <is>
          <t>Föryngringsavverkning</t>
        </is>
      </c>
      <c r="D282" s="1" t="n">
        <v>45799</v>
      </c>
      <c r="E282" s="1" t="n">
        <v>46263</v>
      </c>
      <c r="F282" t="inlineStr">
        <is>
          <t>UPPSALA LÄN</t>
        </is>
      </c>
      <c r="G282" t="inlineStr">
        <is>
          <t>TIERP</t>
        </is>
      </c>
      <c r="H282" t="inlineStr">
        <is>
          <t>Bergvik skog öst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37053-2024</t>
        </is>
      </c>
      <c r="B283" t="inlineStr">
        <is>
          <t>avverkningsanmälan</t>
        </is>
      </c>
      <c r="C283" t="inlineStr">
        <is>
          <t>Föryngringsavverkning</t>
        </is>
      </c>
      <c r="D283" s="1" t="n">
        <v>45539</v>
      </c>
      <c r="E283" s="1" t="n">
        <v>46263</v>
      </c>
      <c r="F283" t="inlineStr">
        <is>
          <t>UPPSALA LÄN</t>
        </is>
      </c>
      <c r="G283" t="inlineStr">
        <is>
          <t>TIERP</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46644-2025</t>
        </is>
      </c>
      <c r="B284" t="inlineStr">
        <is>
          <t>avverkningsanmälan</t>
        </is>
      </c>
      <c r="C284" t="inlineStr">
        <is>
          <t>Föryngringsavverkning</t>
        </is>
      </c>
      <c r="D284" s="1" t="n">
        <v>45926</v>
      </c>
      <c r="E284" s="1" t="n">
        <v>46263</v>
      </c>
      <c r="F284" t="inlineStr">
        <is>
          <t>UPPSALA LÄN</t>
        </is>
      </c>
      <c r="G284" t="inlineStr">
        <is>
          <t>TIERP</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61152-2024</t>
        </is>
      </c>
      <c r="B285" t="inlineStr">
        <is>
          <t>avverkningsanmälan</t>
        </is>
      </c>
      <c r="C285" t="inlineStr">
        <is>
          <t>Föryngringsavverkning</t>
        </is>
      </c>
      <c r="D285" s="1" t="n">
        <v>45645</v>
      </c>
      <c r="E285" s="1" t="n">
        <v>46263</v>
      </c>
      <c r="F285" t="inlineStr">
        <is>
          <t>UPPSALA LÄN</t>
        </is>
      </c>
      <c r="G285" t="inlineStr">
        <is>
          <t>TIERP</t>
        </is>
      </c>
      <c r="H285" t="inlineStr">
        <is>
          <t>Bergvik skog väst AB</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61156-2024</t>
        </is>
      </c>
      <c r="B286" t="inlineStr">
        <is>
          <t>avverkningsanmälan</t>
        </is>
      </c>
      <c r="C286" t="inlineStr">
        <is>
          <t>Föryngringsavverkning</t>
        </is>
      </c>
      <c r="D286" s="1" t="n">
        <v>45645</v>
      </c>
      <c r="E286" s="1" t="n">
        <v>46263</v>
      </c>
      <c r="F286" t="inlineStr">
        <is>
          <t>UPPSALA LÄN</t>
        </is>
      </c>
      <c r="G286" t="inlineStr">
        <is>
          <t>TIERP</t>
        </is>
      </c>
      <c r="H286" t="inlineStr">
        <is>
          <t>Bergvik skog väst AB</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34835-2024</t>
        </is>
      </c>
      <c r="B287" t="inlineStr">
        <is>
          <t>avverkningsanmälan</t>
        </is>
      </c>
      <c r="C287" t="inlineStr">
        <is>
          <t>Föryngringsavverkning</t>
        </is>
      </c>
      <c r="D287" s="1" t="n">
        <v>45526</v>
      </c>
      <c r="E287" s="1" t="n">
        <v>46263</v>
      </c>
      <c r="F287" t="inlineStr">
        <is>
          <t>UPPSALA LÄN</t>
        </is>
      </c>
      <c r="G287" t="inlineStr">
        <is>
          <t>TIERP</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10551-2024</t>
        </is>
      </c>
      <c r="B288" t="inlineStr">
        <is>
          <t>avverkningsanmälan</t>
        </is>
      </c>
      <c r="C288" t="inlineStr">
        <is>
          <t>Föryngringsavverkning</t>
        </is>
      </c>
      <c r="D288" s="1" t="n">
        <v>45366</v>
      </c>
      <c r="E288" s="1" t="n">
        <v>46263</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13460-2024</t>
        </is>
      </c>
      <c r="B289" t="inlineStr">
        <is>
          <t>avverkningsanmälan</t>
        </is>
      </c>
      <c r="C289" t="inlineStr">
        <is>
          <t>Föryngringsavverkning</t>
        </is>
      </c>
      <c r="D289" s="1" t="n">
        <v>45387</v>
      </c>
      <c r="E289" s="1" t="n">
        <v>46263</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58134-2025</t>
        </is>
      </c>
      <c r="B290" t="inlineStr">
        <is>
          <t>avverkningsanmälan</t>
        </is>
      </c>
      <c r="C290" t="inlineStr">
        <is>
          <t>Föryngringsavverkning</t>
        </is>
      </c>
      <c r="D290" s="1" t="n">
        <v>45982</v>
      </c>
      <c r="E290" s="1" t="n">
        <v>46263</v>
      </c>
      <c r="F290" t="inlineStr">
        <is>
          <t>UPPSALA LÄN</t>
        </is>
      </c>
      <c r="G290" t="inlineStr">
        <is>
          <t>TIERP</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14241-2024</t>
        </is>
      </c>
      <c r="B291" t="inlineStr">
        <is>
          <t>avverkningsanmälan</t>
        </is>
      </c>
      <c r="C291" t="inlineStr">
        <is>
          <t>Föryngringsavverkning</t>
        </is>
      </c>
      <c r="D291" s="1" t="n">
        <v>45393</v>
      </c>
      <c r="E291" s="1" t="n">
        <v>46263</v>
      </c>
      <c r="F291" t="inlineStr">
        <is>
          <t>UPPSALA LÄN</t>
        </is>
      </c>
      <c r="G291" t="inlineStr">
        <is>
          <t>TIERP</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57944-2025</t>
        </is>
      </c>
      <c r="B292" t="inlineStr">
        <is>
          <t>avverkningsanmälan</t>
        </is>
      </c>
      <c r="C292" t="inlineStr">
        <is>
          <t>Föryngringsavverkning</t>
        </is>
      </c>
      <c r="D292" s="1" t="n">
        <v>45982</v>
      </c>
      <c r="E292" s="1" t="n">
        <v>46263</v>
      </c>
      <c r="F292" t="inlineStr">
        <is>
          <t>UPPSALA LÄN</t>
        </is>
      </c>
      <c r="G292" t="inlineStr">
        <is>
          <t>TIERP</t>
        </is>
      </c>
      <c r="H292" t="inlineStr">
        <is>
          <t>Övriga Aktiebolag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34198-2023</t>
        </is>
      </c>
      <c r="B293" t="inlineStr">
        <is>
          <t>avverkningsanmälan</t>
        </is>
      </c>
      <c r="C293" t="inlineStr">
        <is>
          <t>Föryngringsavverkning</t>
        </is>
      </c>
      <c r="D293" s="1" t="n">
        <v>45138</v>
      </c>
      <c r="E293" s="1" t="n">
        <v>46263</v>
      </c>
      <c r="F293" t="inlineStr">
        <is>
          <t>UPPSALA LÄN</t>
        </is>
      </c>
      <c r="G293" t="inlineStr">
        <is>
          <t>TIERP</t>
        </is>
      </c>
      <c r="H293" t="inlineStr">
        <is>
          <t>Bergvik skog öst AB</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46842-2025</t>
        </is>
      </c>
      <c r="B294" t="inlineStr">
        <is>
          <t>avverkningsanmälan</t>
        </is>
      </c>
      <c r="C294" t="inlineStr">
        <is>
          <t>Föryngringsavverkning</t>
        </is>
      </c>
      <c r="D294" s="1" t="n">
        <v>45928</v>
      </c>
      <c r="E294" s="1" t="n">
        <v>46263</v>
      </c>
      <c r="F294" t="inlineStr">
        <is>
          <t>UPPSALA LÄN</t>
        </is>
      </c>
      <c r="G294" t="inlineStr">
        <is>
          <t>TIERP</t>
        </is>
      </c>
      <c r="H294" t="inlineStr">
        <is>
          <t>Bergvik skog väst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58661-2025</t>
        </is>
      </c>
      <c r="B295" t="inlineStr">
        <is>
          <t>avverkningsanmälan</t>
        </is>
      </c>
      <c r="C295" t="inlineStr">
        <is>
          <t>Föryngringsavverkning</t>
        </is>
      </c>
      <c r="D295" s="1" t="n">
        <v>45986</v>
      </c>
      <c r="E295" s="1" t="n">
        <v>46263</v>
      </c>
      <c r="F295" t="inlineStr">
        <is>
          <t>UPPSALA LÄN</t>
        </is>
      </c>
      <c r="G295" t="inlineStr">
        <is>
          <t>TIERP</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15193-2024</t>
        </is>
      </c>
      <c r="B296" t="inlineStr">
        <is>
          <t>avverkningsanmälan</t>
        </is>
      </c>
      <c r="C296" t="inlineStr">
        <is>
          <t>Föryngringsavverkning</t>
        </is>
      </c>
      <c r="D296" s="1" t="n">
        <v>45400</v>
      </c>
      <c r="E296" s="1" t="n">
        <v>46263</v>
      </c>
      <c r="F296" t="inlineStr">
        <is>
          <t>UPPSALA LÄN</t>
        </is>
      </c>
      <c r="G296" t="inlineStr">
        <is>
          <t>TIERP</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53090-2025</t>
        </is>
      </c>
      <c r="B297" t="inlineStr">
        <is>
          <t>avverkningsanmälan</t>
        </is>
      </c>
      <c r="C297" t="inlineStr">
        <is>
          <t>Föryngringsavverkning</t>
        </is>
      </c>
      <c r="D297" s="1" t="n">
        <v>45958</v>
      </c>
      <c r="E297" s="1" t="n">
        <v>46263</v>
      </c>
      <c r="F297" t="inlineStr">
        <is>
          <t>UPPSALA LÄN</t>
        </is>
      </c>
      <c r="G297" t="inlineStr">
        <is>
          <t>TIERP</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53784-2025</t>
        </is>
      </c>
      <c r="B298" t="inlineStr">
        <is>
          <t>avverkningsanmälan</t>
        </is>
      </c>
      <c r="C298" t="inlineStr">
        <is>
          <t>Föryngringsavverkning</t>
        </is>
      </c>
      <c r="D298" s="1" t="n">
        <v>45960</v>
      </c>
      <c r="E298" s="1" t="n">
        <v>46263</v>
      </c>
      <c r="F298" t="inlineStr">
        <is>
          <t>UPPSALA LÄN</t>
        </is>
      </c>
      <c r="G298" t="inlineStr">
        <is>
          <t>TIERP</t>
        </is>
      </c>
      <c r="H298" t="inlineStr">
        <is>
          <t>Bergvik skog öst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53798-2025</t>
        </is>
      </c>
      <c r="B299" t="inlineStr">
        <is>
          <t>avverkningsanmälan</t>
        </is>
      </c>
      <c r="C299" t="inlineStr">
        <is>
          <t>Föryngringsavverkning</t>
        </is>
      </c>
      <c r="D299" s="1" t="n">
        <v>45960</v>
      </c>
      <c r="E299" s="1" t="n">
        <v>46263</v>
      </c>
      <c r="F299" t="inlineStr">
        <is>
          <t>UPPSALA LÄN</t>
        </is>
      </c>
      <c r="G299" t="inlineStr">
        <is>
          <t>TIERP</t>
        </is>
      </c>
      <c r="H299" t="inlineStr">
        <is>
          <t>Bergvik skog öst AB</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7065-2024</t>
        </is>
      </c>
      <c r="B300" t="inlineStr">
        <is>
          <t>avverkningsanmälan</t>
        </is>
      </c>
      <c r="C300" t="inlineStr">
        <is>
          <t>Föryngringsavverkning</t>
        </is>
      </c>
      <c r="D300" s="1" t="n">
        <v>45343</v>
      </c>
      <c r="E300" s="1" t="n">
        <v>46263</v>
      </c>
      <c r="F300" t="inlineStr">
        <is>
          <t>UPPSALA LÄN</t>
        </is>
      </c>
      <c r="G300" t="inlineStr">
        <is>
          <t>TIERP</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48545-2025</t>
        </is>
      </c>
      <c r="B301" t="inlineStr">
        <is>
          <t>avverkningsanmälan</t>
        </is>
      </c>
      <c r="C301" t="inlineStr">
        <is>
          <t>Föryngringsavverkning</t>
        </is>
      </c>
      <c r="D301" s="1" t="n">
        <v>45936</v>
      </c>
      <c r="E301" s="1" t="n">
        <v>46263</v>
      </c>
      <c r="F301" t="inlineStr">
        <is>
          <t>UPPSALA LÄN</t>
        </is>
      </c>
      <c r="G301" t="inlineStr">
        <is>
          <t>TIERP</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6071-2023</t>
        </is>
      </c>
      <c r="B302" t="inlineStr">
        <is>
          <t>avverkningsanmälan</t>
        </is>
      </c>
      <c r="C302" t="inlineStr">
        <is>
          <t>Föryngringsavverkning</t>
        </is>
      </c>
      <c r="D302" s="1" t="n">
        <v>44964</v>
      </c>
      <c r="E302" s="1" t="n">
        <v>46263</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48684-2025</t>
        </is>
      </c>
      <c r="B303" t="inlineStr">
        <is>
          <t>avverkningsanmälan</t>
        </is>
      </c>
      <c r="C303" t="inlineStr">
        <is>
          <t>Föryngringsavverkning</t>
        </is>
      </c>
      <c r="D303" s="1" t="n">
        <v>45936</v>
      </c>
      <c r="E303" s="1" t="n">
        <v>46263</v>
      </c>
      <c r="F303" t="inlineStr">
        <is>
          <t>UPPSALA LÄN</t>
        </is>
      </c>
      <c r="G303" t="inlineStr">
        <is>
          <t>TIERP</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48550-2025</t>
        </is>
      </c>
      <c r="B304" t="inlineStr">
        <is>
          <t>avverkningsanmälan</t>
        </is>
      </c>
      <c r="C304" t="inlineStr">
        <is>
          <t>Föryngringsavverkning</t>
        </is>
      </c>
      <c r="D304" s="1" t="n">
        <v>45936</v>
      </c>
      <c r="E304" s="1" t="n">
        <v>46263</v>
      </c>
      <c r="F304" t="inlineStr">
        <is>
          <t>UPPSALA LÄN</t>
        </is>
      </c>
      <c r="G304" t="inlineStr">
        <is>
          <t>TIERP</t>
        </is>
      </c>
      <c r="H304" t="inlineStr">
        <is>
          <t>Bergvik skog väst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11529-2022</t>
        </is>
      </c>
      <c r="B305" t="inlineStr">
        <is>
          <t>avverkningsanmälan</t>
        </is>
      </c>
      <c r="C305" t="inlineStr">
        <is>
          <t>Föryngringsavverkning</t>
        </is>
      </c>
      <c r="D305" s="1" t="n">
        <v>44631</v>
      </c>
      <c r="E305" s="1" t="n">
        <v>46263</v>
      </c>
      <c r="F305" t="inlineStr">
        <is>
          <t>UPPSALA LÄN</t>
        </is>
      </c>
      <c r="G305" t="inlineStr">
        <is>
          <t>TIERP</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48674-2025</t>
        </is>
      </c>
      <c r="B306" t="inlineStr">
        <is>
          <t>avverkningsanmälan</t>
        </is>
      </c>
      <c r="C306" t="inlineStr">
        <is>
          <t>Föryngringsavverkning</t>
        </is>
      </c>
      <c r="D306" s="1" t="n">
        <v>45936</v>
      </c>
      <c r="E306" s="1" t="n">
        <v>46263</v>
      </c>
      <c r="F306" t="inlineStr">
        <is>
          <t>UPPSALA LÄN</t>
        </is>
      </c>
      <c r="G306" t="inlineStr">
        <is>
          <t>TIERP</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48685-2025</t>
        </is>
      </c>
      <c r="B307" t="inlineStr">
        <is>
          <t>avverkningsanmälan</t>
        </is>
      </c>
      <c r="C307" t="inlineStr">
        <is>
          <t>Föryngringsavverkning</t>
        </is>
      </c>
      <c r="D307" s="1" t="n">
        <v>45936</v>
      </c>
      <c r="E307" s="1" t="n">
        <v>46263</v>
      </c>
      <c r="F307" t="inlineStr">
        <is>
          <t>UPPSALA LÄN</t>
        </is>
      </c>
      <c r="G307" t="inlineStr">
        <is>
          <t>TIERP</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22393-2024</t>
        </is>
      </c>
      <c r="B308" t="inlineStr">
        <is>
          <t>avverkningsanmälan</t>
        </is>
      </c>
      <c r="C308" t="inlineStr">
        <is>
          <t>Föryngringsavverkning</t>
        </is>
      </c>
      <c r="D308" s="1" t="n">
        <v>45446</v>
      </c>
      <c r="E308" s="1" t="n">
        <v>46263</v>
      </c>
      <c r="F308" t="inlineStr">
        <is>
          <t>UPPSALA LÄN</t>
        </is>
      </c>
      <c r="G308" t="inlineStr">
        <is>
          <t>TIERP</t>
        </is>
      </c>
      <c r="H308" t="inlineStr">
        <is>
          <t>Bergvik skog väst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58842-2025</t>
        </is>
      </c>
      <c r="B309" t="inlineStr">
        <is>
          <t>avverkningsanmälan</t>
        </is>
      </c>
      <c r="C309" t="inlineStr">
        <is>
          <t>Föryngringsavverkning</t>
        </is>
      </c>
      <c r="D309" s="1" t="n">
        <v>45987</v>
      </c>
      <c r="E309" s="1" t="n">
        <v>46263</v>
      </c>
      <c r="F309" t="inlineStr">
        <is>
          <t>UPPSALA LÄN</t>
        </is>
      </c>
      <c r="G309" t="inlineStr">
        <is>
          <t>TIERP</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49191-2025</t>
        </is>
      </c>
      <c r="B310" t="inlineStr">
        <is>
          <t>avverkningsanmälan</t>
        </is>
      </c>
      <c r="C310" t="inlineStr">
        <is>
          <t>Föryngringsavverkning</t>
        </is>
      </c>
      <c r="D310" s="1" t="n">
        <v>45938</v>
      </c>
      <c r="E310" s="1" t="n">
        <v>46263</v>
      </c>
      <c r="F310" t="inlineStr">
        <is>
          <t>UPPSALA LÄN</t>
        </is>
      </c>
      <c r="G310" t="inlineStr">
        <is>
          <t>TIERP</t>
        </is>
      </c>
      <c r="H310" t="inlineStr">
        <is>
          <t>Bergvik skog väst AB</t>
        </is>
      </c>
      <c r="I310" t="n">
        <v>38.9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48871-2025</t>
        </is>
      </c>
      <c r="B311" t="inlineStr">
        <is>
          <t>avverkningsanmälan</t>
        </is>
      </c>
      <c r="C311" t="inlineStr">
        <is>
          <t>Föryngringsavverkning</t>
        </is>
      </c>
      <c r="D311" s="1" t="n">
        <v>45937</v>
      </c>
      <c r="E311" s="1" t="n">
        <v>46263</v>
      </c>
      <c r="F311" t="inlineStr">
        <is>
          <t>UPPSALA LÄN</t>
        </is>
      </c>
      <c r="G311" t="inlineStr">
        <is>
          <t>TIERP</t>
        </is>
      </c>
      <c r="H311" t="inlineStr">
        <is>
          <t>Bergvik skog väst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4409-2023</t>
        </is>
      </c>
      <c r="B312" t="inlineStr">
        <is>
          <t>avverkningsanmälan</t>
        </is>
      </c>
      <c r="C312" t="inlineStr">
        <is>
          <t>Föryngringsavverkning</t>
        </is>
      </c>
      <c r="D312" s="1" t="n">
        <v>44956</v>
      </c>
      <c r="E312" s="1" t="n">
        <v>46263</v>
      </c>
      <c r="F312" t="inlineStr">
        <is>
          <t>UPPSALA LÄN</t>
        </is>
      </c>
      <c r="G312" t="inlineStr">
        <is>
          <t>TIERP</t>
        </is>
      </c>
      <c r="H312" t="inlineStr">
        <is>
          <t>Bergvik skog öst AB</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59388-2025</t>
        </is>
      </c>
      <c r="B313" t="inlineStr">
        <is>
          <t>avverkningsanmälan</t>
        </is>
      </c>
      <c r="C313" t="inlineStr">
        <is>
          <t>Föryngringsavverkning</t>
        </is>
      </c>
      <c r="D313" s="1" t="n">
        <v>45989</v>
      </c>
      <c r="E313" s="1" t="n">
        <v>46263</v>
      </c>
      <c r="F313" t="inlineStr">
        <is>
          <t>UPPSALA LÄN</t>
        </is>
      </c>
      <c r="G313" t="inlineStr">
        <is>
          <t>TIERP</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59555-2025</t>
        </is>
      </c>
      <c r="B314" t="inlineStr">
        <is>
          <t>avverkningsanmälan</t>
        </is>
      </c>
      <c r="C314" t="inlineStr">
        <is>
          <t>Föryngringsavverkning</t>
        </is>
      </c>
      <c r="D314" s="1" t="n">
        <v>45991</v>
      </c>
      <c r="E314" s="1" t="n">
        <v>46263</v>
      </c>
      <c r="F314" t="inlineStr">
        <is>
          <t>UPPSALA LÄN</t>
        </is>
      </c>
      <c r="G314" t="inlineStr">
        <is>
          <t>TIERP</t>
        </is>
      </c>
      <c r="H314" t="inlineStr">
        <is>
          <t>Bergvik skog väst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52869-2025</t>
        </is>
      </c>
      <c r="B315" t="inlineStr">
        <is>
          <t>avverkningsanmälan</t>
        </is>
      </c>
      <c r="C315" t="inlineStr">
        <is>
          <t>Avverkning för annat ändamål</t>
        </is>
      </c>
      <c r="D315" s="1" t="n">
        <v>45957</v>
      </c>
      <c r="E315" s="1" t="n">
        <v>46263</v>
      </c>
      <c r="F315" t="inlineStr">
        <is>
          <t>UPPSALA LÄN</t>
        </is>
      </c>
      <c r="G315" t="inlineStr">
        <is>
          <t>TIERP</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60211-2025</t>
        </is>
      </c>
      <c r="B316" t="inlineStr">
        <is>
          <t>avverkningsanmälan</t>
        </is>
      </c>
      <c r="C316" t="inlineStr">
        <is>
          <t>Föryngringsavverkning</t>
        </is>
      </c>
      <c r="D316" s="1" t="n">
        <v>45994</v>
      </c>
      <c r="E316" s="1" t="n">
        <v>46263</v>
      </c>
      <c r="F316" t="inlineStr">
        <is>
          <t>UPPSALA LÄN</t>
        </is>
      </c>
      <c r="G316" t="inlineStr">
        <is>
          <t>TIERP</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49558-2025</t>
        </is>
      </c>
      <c r="B317" t="inlineStr">
        <is>
          <t>avverkningsanmälan</t>
        </is>
      </c>
      <c r="C317" t="inlineStr">
        <is>
          <t>Föryngringsavverkning</t>
        </is>
      </c>
      <c r="D317" s="1" t="n">
        <v>45939</v>
      </c>
      <c r="E317" s="1" t="n">
        <v>46263</v>
      </c>
      <c r="F317" t="inlineStr">
        <is>
          <t>UPPSALA LÄN</t>
        </is>
      </c>
      <c r="G317" t="inlineStr">
        <is>
          <t>TIERP</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7359-2023</t>
        </is>
      </c>
      <c r="B318" t="inlineStr">
        <is>
          <t>avverkningsanmälan</t>
        </is>
      </c>
      <c r="C318" t="inlineStr">
        <is>
          <t>Föryngringsavverkning</t>
        </is>
      </c>
      <c r="D318" s="1" t="n">
        <v>44966</v>
      </c>
      <c r="E318" s="1" t="n">
        <v>46263</v>
      </c>
      <c r="F318" t="inlineStr">
        <is>
          <t>UPPSALA LÄN</t>
        </is>
      </c>
      <c r="G318" t="inlineStr">
        <is>
          <t>TIERP</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60142-2025</t>
        </is>
      </c>
      <c r="B319" t="inlineStr">
        <is>
          <t>avverkningsanmälan</t>
        </is>
      </c>
      <c r="C319" t="inlineStr">
        <is>
          <t>Föryngringsavverkning</t>
        </is>
      </c>
      <c r="D319" s="1" t="n">
        <v>45994</v>
      </c>
      <c r="E319" s="1" t="n">
        <v>46263</v>
      </c>
      <c r="F319" t="inlineStr">
        <is>
          <t>UPPSALA LÄN</t>
        </is>
      </c>
      <c r="G319" t="inlineStr">
        <is>
          <t>TIERP</t>
        </is>
      </c>
      <c r="H319" t="inlineStr">
        <is>
          <t>Bergvik skog öst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18412-2025</t>
        </is>
      </c>
      <c r="B320" t="inlineStr">
        <is>
          <t>avverkningsanmälan</t>
        </is>
      </c>
      <c r="C320" t="inlineStr">
        <is>
          <t>Föryngringsavverkning</t>
        </is>
      </c>
      <c r="D320" s="1" t="n">
        <v>45762</v>
      </c>
      <c r="E320" s="1" t="n">
        <v>46263</v>
      </c>
      <c r="F320" t="inlineStr">
        <is>
          <t>UPPSALA LÄN</t>
        </is>
      </c>
      <c r="G320" t="inlineStr">
        <is>
          <t>TIERP</t>
        </is>
      </c>
      <c r="H320" t="inlineStr">
        <is>
          <t>Bergvik skog öst AB</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60139-2025</t>
        </is>
      </c>
      <c r="B321" t="inlineStr">
        <is>
          <t>avverkningsanmälan</t>
        </is>
      </c>
      <c r="C321" t="inlineStr">
        <is>
          <t>Föryngringsavverkning</t>
        </is>
      </c>
      <c r="D321" s="1" t="n">
        <v>45994</v>
      </c>
      <c r="E321" s="1" t="n">
        <v>46263</v>
      </c>
      <c r="F321" t="inlineStr">
        <is>
          <t>UPPSALA LÄN</t>
        </is>
      </c>
      <c r="G321" t="inlineStr">
        <is>
          <t>TIERP</t>
        </is>
      </c>
      <c r="H321" t="inlineStr">
        <is>
          <t>Bergvik skog öst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50879-2025</t>
        </is>
      </c>
      <c r="B322" t="inlineStr">
        <is>
          <t>avverkningsanmälan</t>
        </is>
      </c>
      <c r="C322" t="inlineStr">
        <is>
          <t>Föryngringsavverkning</t>
        </is>
      </c>
      <c r="D322" s="1" t="n">
        <v>45946</v>
      </c>
      <c r="E322" s="1" t="n">
        <v>46263</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61252-2025</t>
        </is>
      </c>
      <c r="B323" t="inlineStr">
        <is>
          <t>avverkningsanmälan</t>
        </is>
      </c>
      <c r="C323" t="inlineStr">
        <is>
          <t>Föryngringsavverkning</t>
        </is>
      </c>
      <c r="D323" s="1" t="n">
        <v>46000</v>
      </c>
      <c r="E323" s="1" t="n">
        <v>46263</v>
      </c>
      <c r="F323" t="inlineStr">
        <is>
          <t>UPPSALA LÄN</t>
        </is>
      </c>
      <c r="G323" t="inlineStr">
        <is>
          <t>TIERP</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44775-2024</t>
        </is>
      </c>
      <c r="B324" t="inlineStr">
        <is>
          <t>avverkningsanmälan</t>
        </is>
      </c>
      <c r="C324" t="inlineStr">
        <is>
          <t>Föryngringsavverkning</t>
        </is>
      </c>
      <c r="D324" s="1" t="n">
        <v>45574</v>
      </c>
      <c r="E324" s="1" t="n">
        <v>46263</v>
      </c>
      <c r="F324" t="inlineStr">
        <is>
          <t>UPPSALA LÄN</t>
        </is>
      </c>
      <c r="G324" t="inlineStr">
        <is>
          <t>TIERP</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54764-2022</t>
        </is>
      </c>
      <c r="B325" t="inlineStr">
        <is>
          <t>avverkningsanmälan</t>
        </is>
      </c>
      <c r="C325" t="inlineStr">
        <is>
          <t>Föryngringsavverkning</t>
        </is>
      </c>
      <c r="D325" s="1" t="n">
        <v>44883</v>
      </c>
      <c r="E325" s="1" t="n">
        <v>46263</v>
      </c>
      <c r="F325" t="inlineStr">
        <is>
          <t>UPPSALA LÄN</t>
        </is>
      </c>
      <c r="G325" t="inlineStr">
        <is>
          <t>TIERP</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60795-2025</t>
        </is>
      </c>
      <c r="B326" t="inlineStr">
        <is>
          <t>avverkningsanmälan</t>
        </is>
      </c>
      <c r="C326" t="inlineStr">
        <is>
          <t>Föryngringsavverkning</t>
        </is>
      </c>
      <c r="D326" s="1" t="n">
        <v>45999</v>
      </c>
      <c r="E326" s="1" t="n">
        <v>46263</v>
      </c>
      <c r="F326" t="inlineStr">
        <is>
          <t>UPPSALA LÄN</t>
        </is>
      </c>
      <c r="G326" t="inlineStr">
        <is>
          <t>TIERP</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2266-2023</t>
        </is>
      </c>
      <c r="B327" t="inlineStr">
        <is>
          <t>avverkningsanmälan</t>
        </is>
      </c>
      <c r="C327" t="inlineStr">
        <is>
          <t>Föryngringsavverkning</t>
        </is>
      </c>
      <c r="D327" s="1" t="n">
        <v>44942</v>
      </c>
      <c r="E327" s="1" t="n">
        <v>46263</v>
      </c>
      <c r="F327" t="inlineStr">
        <is>
          <t>UPPSALA LÄN</t>
        </is>
      </c>
      <c r="G327" t="inlineStr">
        <is>
          <t>TIERP</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60989-2023</t>
        </is>
      </c>
      <c r="B328" t="inlineStr">
        <is>
          <t>avverkningsanmälan</t>
        </is>
      </c>
      <c r="C328" t="inlineStr">
        <is>
          <t>Föryngringsavverkning</t>
        </is>
      </c>
      <c r="D328" s="1" t="n">
        <v>45259</v>
      </c>
      <c r="E328" s="1" t="n">
        <v>46263</v>
      </c>
      <c r="F328" t="inlineStr">
        <is>
          <t>UPPSALA LÄN</t>
        </is>
      </c>
      <c r="G328" t="inlineStr">
        <is>
          <t>TIERP</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61599-2025</t>
        </is>
      </c>
      <c r="B329" t="inlineStr">
        <is>
          <t>avverkningsanmälan</t>
        </is>
      </c>
      <c r="C329" t="inlineStr">
        <is>
          <t>Föryngringsavverkning</t>
        </is>
      </c>
      <c r="D329" s="1" t="n">
        <v>46002</v>
      </c>
      <c r="E329" s="1" t="n">
        <v>46263</v>
      </c>
      <c r="F329" t="inlineStr">
        <is>
          <t>UPPSALA LÄN</t>
        </is>
      </c>
      <c r="G329" t="inlineStr">
        <is>
          <t>TIERP</t>
        </is>
      </c>
      <c r="H329" t="inlineStr">
        <is>
          <t>Övriga Aktiebolag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51116-2025</t>
        </is>
      </c>
      <c r="B330" t="inlineStr">
        <is>
          <t>avverkningsanmälan</t>
        </is>
      </c>
      <c r="C330" t="inlineStr">
        <is>
          <t>Föryngringsavverkning</t>
        </is>
      </c>
      <c r="D330" s="1" t="n">
        <v>45947</v>
      </c>
      <c r="E330" s="1" t="n">
        <v>46263</v>
      </c>
      <c r="F330" t="inlineStr">
        <is>
          <t>UPPSALA LÄN</t>
        </is>
      </c>
      <c r="G330" t="inlineStr">
        <is>
          <t>TIERP</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61671-2025</t>
        </is>
      </c>
      <c r="B331" t="inlineStr">
        <is>
          <t>avverkningsanmälan</t>
        </is>
      </c>
      <c r="C331" t="inlineStr">
        <is>
          <t>Föryngringsavverkning</t>
        </is>
      </c>
      <c r="D331" s="1" t="n">
        <v>46002</v>
      </c>
      <c r="E331" s="1" t="n">
        <v>46263</v>
      </c>
      <c r="F331" t="inlineStr">
        <is>
          <t>UPPSALA LÄN</t>
        </is>
      </c>
      <c r="G331" t="inlineStr">
        <is>
          <t>TIERP</t>
        </is>
      </c>
      <c r="H331" t="inlineStr">
        <is>
          <t>Bergvik skog öst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53991-2025</t>
        </is>
      </c>
      <c r="B332" t="inlineStr">
        <is>
          <t>avverkningsanmälan</t>
        </is>
      </c>
      <c r="C332" t="inlineStr">
        <is>
          <t>Föryngringsavverkning</t>
        </is>
      </c>
      <c r="D332" s="1" t="n">
        <v>45961</v>
      </c>
      <c r="E332" s="1" t="n">
        <v>46263</v>
      </c>
      <c r="F332" t="inlineStr">
        <is>
          <t>UPPSALA LÄN</t>
        </is>
      </c>
      <c r="G332" t="inlineStr">
        <is>
          <t>TIERP</t>
        </is>
      </c>
      <c r="H332" t="inlineStr">
        <is>
          <t>Bergvik skog öst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54006-2025</t>
        </is>
      </c>
      <c r="B333" t="inlineStr">
        <is>
          <t>avverkningsanmälan</t>
        </is>
      </c>
      <c r="C333" t="inlineStr">
        <is>
          <t>Föryngringsavverkning</t>
        </is>
      </c>
      <c r="D333" s="1" t="n">
        <v>45961</v>
      </c>
      <c r="E333" s="1" t="n">
        <v>46263</v>
      </c>
      <c r="F333" t="inlineStr">
        <is>
          <t>UPPSALA LÄN</t>
        </is>
      </c>
      <c r="G333" t="inlineStr">
        <is>
          <t>TIERP</t>
        </is>
      </c>
      <c r="H333" t="inlineStr">
        <is>
          <t>Bergvik skog öst AB</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61672-2025</t>
        </is>
      </c>
      <c r="B334" t="inlineStr">
        <is>
          <t>avverkningsanmälan</t>
        </is>
      </c>
      <c r="C334" t="inlineStr">
        <is>
          <t>Föryngringsavverkning</t>
        </is>
      </c>
      <c r="D334" s="1" t="n">
        <v>46002</v>
      </c>
      <c r="E334" s="1" t="n">
        <v>46263</v>
      </c>
      <c r="F334" t="inlineStr">
        <is>
          <t>UPPSALA LÄN</t>
        </is>
      </c>
      <c r="G334" t="inlineStr">
        <is>
          <t>TIERP</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61674-2025</t>
        </is>
      </c>
      <c r="B335" t="inlineStr">
        <is>
          <t>avverkningsanmälan</t>
        </is>
      </c>
      <c r="C335" t="inlineStr">
        <is>
          <t>Föryngringsavverkning</t>
        </is>
      </c>
      <c r="D335" s="1" t="n">
        <v>46002</v>
      </c>
      <c r="E335" s="1" t="n">
        <v>46263</v>
      </c>
      <c r="F335" t="inlineStr">
        <is>
          <t>UPPSALA LÄN</t>
        </is>
      </c>
      <c r="G335" t="inlineStr">
        <is>
          <t>TIERP</t>
        </is>
      </c>
      <c r="H335" t="inlineStr">
        <is>
          <t>Bergvik skog öst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20846-2024</t>
        </is>
      </c>
      <c r="B336" t="inlineStr">
        <is>
          <t>avverkningsanmälan</t>
        </is>
      </c>
      <c r="C336" t="inlineStr">
        <is>
          <t>Föryngringsavverkning</t>
        </is>
      </c>
      <c r="D336" s="1" t="n">
        <v>45439</v>
      </c>
      <c r="E336" s="1" t="n">
        <v>46263</v>
      </c>
      <c r="F336" t="inlineStr">
        <is>
          <t>UPPSALA LÄN</t>
        </is>
      </c>
      <c r="G336" t="inlineStr">
        <is>
          <t>TIERP</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2899-2023</t>
        </is>
      </c>
      <c r="B337" t="inlineStr">
        <is>
          <t>avverkningsanmälan</t>
        </is>
      </c>
      <c r="C337" t="inlineStr">
        <is>
          <t>Föryngringsavverkning</t>
        </is>
      </c>
      <c r="D337" s="1" t="n">
        <v>44945</v>
      </c>
      <c r="E337" s="1" t="n">
        <v>46263</v>
      </c>
      <c r="F337" t="inlineStr">
        <is>
          <t>UPPSALA LÄN</t>
        </is>
      </c>
      <c r="G337" t="inlineStr">
        <is>
          <t>TIERP</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55711-2023</t>
        </is>
      </c>
      <c r="B338" t="inlineStr">
        <is>
          <t>avverkningsanmälan</t>
        </is>
      </c>
      <c r="C338" t="inlineStr">
        <is>
          <t>Föryngringsavverkning</t>
        </is>
      </c>
      <c r="D338" s="1" t="n">
        <v>45239</v>
      </c>
      <c r="E338" s="1" t="n">
        <v>46263</v>
      </c>
      <c r="F338" t="inlineStr">
        <is>
          <t>UPPSALA LÄN</t>
        </is>
      </c>
      <c r="G338" t="inlineStr">
        <is>
          <t>TIERP</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22663-2022</t>
        </is>
      </c>
      <c r="B339" t="inlineStr">
        <is>
          <t>avverkningsanmälan</t>
        </is>
      </c>
      <c r="C339" t="inlineStr">
        <is>
          <t>Föryngringsavverkning</t>
        </is>
      </c>
      <c r="D339" s="1" t="n">
        <v>44713</v>
      </c>
      <c r="E339" s="1" t="n">
        <v>46263</v>
      </c>
      <c r="F339" t="inlineStr">
        <is>
          <t>UPPSALA LÄN</t>
        </is>
      </c>
      <c r="G339" t="inlineStr">
        <is>
          <t>TIERP</t>
        </is>
      </c>
      <c r="H339" t="inlineStr">
        <is>
          <t>Bergvik skog väst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58252-2024</t>
        </is>
      </c>
      <c r="B340" t="inlineStr">
        <is>
          <t>avverkningsanmälan</t>
        </is>
      </c>
      <c r="C340" t="inlineStr">
        <is>
          <t>Föryngringsavverkning</t>
        </is>
      </c>
      <c r="D340" s="1" t="n">
        <v>45632</v>
      </c>
      <c r="E340" s="1" t="n">
        <v>46263</v>
      </c>
      <c r="F340" t="inlineStr">
        <is>
          <t>UPPSALA LÄN</t>
        </is>
      </c>
      <c r="G340" t="inlineStr">
        <is>
          <t>TIERP</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21032-2022</t>
        </is>
      </c>
      <c r="B341" t="inlineStr">
        <is>
          <t>avverkningsanmälan</t>
        </is>
      </c>
      <c r="C341" t="inlineStr">
        <is>
          <t>Föryngringsavverkning</t>
        </is>
      </c>
      <c r="D341" s="1" t="n">
        <v>44704</v>
      </c>
      <c r="E341" s="1" t="n">
        <v>46263</v>
      </c>
      <c r="F341" t="inlineStr">
        <is>
          <t>UPPSALA LÄN</t>
        </is>
      </c>
      <c r="G341" t="inlineStr">
        <is>
          <t>TIERP</t>
        </is>
      </c>
      <c r="H341" t="inlineStr">
        <is>
          <t>Bergvik skog öst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18781-2022</t>
        </is>
      </c>
      <c r="B342" t="inlineStr">
        <is>
          <t>avverkningsanmälan</t>
        </is>
      </c>
      <c r="C342" t="inlineStr">
        <is>
          <t>Föryngringsavverkning</t>
        </is>
      </c>
      <c r="D342" s="1" t="n">
        <v>44689</v>
      </c>
      <c r="E342" s="1" t="n">
        <v>46263</v>
      </c>
      <c r="F342" t="inlineStr">
        <is>
          <t>UPPSALA LÄN</t>
        </is>
      </c>
      <c r="G342" t="inlineStr">
        <is>
          <t>TIERP</t>
        </is>
      </c>
      <c r="H342" t="inlineStr">
        <is>
          <t>Kyrkan</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41389-2024</t>
        </is>
      </c>
      <c r="B343" t="inlineStr">
        <is>
          <t>avverkningsanmälan</t>
        </is>
      </c>
      <c r="C343" t="inlineStr">
        <is>
          <t>Föryngringsavverkning</t>
        </is>
      </c>
      <c r="D343" s="1" t="n">
        <v>45560</v>
      </c>
      <c r="E343" s="1" t="n">
        <v>46263</v>
      </c>
      <c r="F343" t="inlineStr">
        <is>
          <t>UPPSALA LÄN</t>
        </is>
      </c>
      <c r="G343" t="inlineStr">
        <is>
          <t>TIERP</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45915-2024</t>
        </is>
      </c>
      <c r="B344" t="inlineStr">
        <is>
          <t>avverkningsanmälan</t>
        </is>
      </c>
      <c r="C344" t="inlineStr">
        <is>
          <t>Föryngringsavverkning</t>
        </is>
      </c>
      <c r="D344" s="1" t="n">
        <v>45580</v>
      </c>
      <c r="E344" s="1" t="n">
        <v>46263</v>
      </c>
      <c r="F344" t="inlineStr">
        <is>
          <t>UPPSALA LÄN</t>
        </is>
      </c>
      <c r="G344" t="inlineStr">
        <is>
          <t>TIERP</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21017-2022</t>
        </is>
      </c>
      <c r="B345" t="inlineStr">
        <is>
          <t>avverkningsanmälan</t>
        </is>
      </c>
      <c r="C345" t="inlineStr">
        <is>
          <t>Föryngringsavverkning</t>
        </is>
      </c>
      <c r="D345" s="1" t="n">
        <v>44704</v>
      </c>
      <c r="E345" s="1" t="n">
        <v>46263</v>
      </c>
      <c r="F345" t="inlineStr">
        <is>
          <t>UPPSALA LÄN</t>
        </is>
      </c>
      <c r="G345" t="inlineStr">
        <is>
          <t>TIERP</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21034-2022</t>
        </is>
      </c>
      <c r="B346" t="inlineStr">
        <is>
          <t>avverkningsanmälan</t>
        </is>
      </c>
      <c r="C346" t="inlineStr">
        <is>
          <t>Föryngringsavverkning</t>
        </is>
      </c>
      <c r="D346" s="1" t="n">
        <v>44704</v>
      </c>
      <c r="E346" s="1" t="n">
        <v>46263</v>
      </c>
      <c r="F346" t="inlineStr">
        <is>
          <t>UPPSALA LÄN</t>
        </is>
      </c>
      <c r="G346" t="inlineStr">
        <is>
          <t>TIERP</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20911-2022</t>
        </is>
      </c>
      <c r="B347" t="inlineStr">
        <is>
          <t>avverkningsanmälan</t>
        </is>
      </c>
      <c r="C347" t="inlineStr">
        <is>
          <t>Föryngringsavverkning</t>
        </is>
      </c>
      <c r="D347" s="1" t="n">
        <v>44701</v>
      </c>
      <c r="E347" s="1" t="n">
        <v>46263</v>
      </c>
      <c r="F347" t="inlineStr">
        <is>
          <t>UPPSALA LÄN</t>
        </is>
      </c>
      <c r="G347" t="inlineStr">
        <is>
          <t>TIERP</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35012-2025</t>
        </is>
      </c>
      <c r="B348" t="inlineStr">
        <is>
          <t>avverkningsanmälan</t>
        </is>
      </c>
      <c r="C348" t="inlineStr">
        <is>
          <t>Föryngringsavverkning</t>
        </is>
      </c>
      <c r="D348" s="1" t="n">
        <v>45851</v>
      </c>
      <c r="E348" s="1" t="n">
        <v>46263</v>
      </c>
      <c r="F348" t="inlineStr">
        <is>
          <t>UPPSALA LÄN</t>
        </is>
      </c>
      <c r="G348" t="inlineStr">
        <is>
          <t>TIERP</t>
        </is>
      </c>
      <c r="H348" t="inlineStr">
        <is>
          <t>Bergvik skog väst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35013-2025</t>
        </is>
      </c>
      <c r="B349" t="inlineStr">
        <is>
          <t>avverkningsanmälan</t>
        </is>
      </c>
      <c r="C349" t="inlineStr">
        <is>
          <t>Föryngringsavverkning</t>
        </is>
      </c>
      <c r="D349" s="1" t="n">
        <v>45851</v>
      </c>
      <c r="E349" s="1" t="n">
        <v>46263</v>
      </c>
      <c r="F349" t="inlineStr">
        <is>
          <t>UPPSALA LÄN</t>
        </is>
      </c>
      <c r="G349" t="inlineStr">
        <is>
          <t>TIERP</t>
        </is>
      </c>
      <c r="H349" t="inlineStr">
        <is>
          <t>Bergvik skog väst AB</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61928-2025</t>
        </is>
      </c>
      <c r="B350" t="inlineStr">
        <is>
          <t>avverkningsanmälan</t>
        </is>
      </c>
      <c r="C350" t="inlineStr">
        <is>
          <t>Föryngringsavverkning</t>
        </is>
      </c>
      <c r="D350" s="1" t="n">
        <v>46003</v>
      </c>
      <c r="E350" s="1" t="n">
        <v>46263</v>
      </c>
      <c r="F350" t="inlineStr">
        <is>
          <t>UPPSALA LÄN</t>
        </is>
      </c>
      <c r="G350" t="inlineStr">
        <is>
          <t>TIERP</t>
        </is>
      </c>
      <c r="H350" t="inlineStr">
        <is>
          <t>Övriga Aktiebolag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35011-2025</t>
        </is>
      </c>
      <c r="B351" t="inlineStr">
        <is>
          <t>avverkningsanmälan</t>
        </is>
      </c>
      <c r="C351" t="inlineStr">
        <is>
          <t>Föryngringsavverkning</t>
        </is>
      </c>
      <c r="D351" s="1" t="n">
        <v>45851</v>
      </c>
      <c r="E351" s="1" t="n">
        <v>46263</v>
      </c>
      <c r="F351" t="inlineStr">
        <is>
          <t>UPPSALA LÄN</t>
        </is>
      </c>
      <c r="G351" t="inlineStr">
        <is>
          <t>TIERP</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35108-2025</t>
        </is>
      </c>
      <c r="B352" t="inlineStr">
        <is>
          <t>avverkningsanmälan</t>
        </is>
      </c>
      <c r="C352" t="inlineStr">
        <is>
          <t>Föryngringsavverkning</t>
        </is>
      </c>
      <c r="D352" s="1" t="n">
        <v>45852</v>
      </c>
      <c r="E352" s="1" t="n">
        <v>46263</v>
      </c>
      <c r="F352" t="inlineStr">
        <is>
          <t>UPPSALA LÄN</t>
        </is>
      </c>
      <c r="G352" t="inlineStr">
        <is>
          <t>TIERP</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27269-2025</t>
        </is>
      </c>
      <c r="B353" t="inlineStr">
        <is>
          <t>avverkningsanmälan</t>
        </is>
      </c>
      <c r="C353" t="inlineStr">
        <is>
          <t>Föryngringsavverkning</t>
        </is>
      </c>
      <c r="D353" s="1" t="n">
        <v>45812</v>
      </c>
      <c r="E353" s="1" t="n">
        <v>46263</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14086-2023</t>
        </is>
      </c>
      <c r="B354" t="inlineStr">
        <is>
          <t>avverkningsanmälan</t>
        </is>
      </c>
      <c r="C354" t="inlineStr">
        <is>
          <t>Föryngringsavverkning</t>
        </is>
      </c>
      <c r="D354" s="1" t="n">
        <v>45009</v>
      </c>
      <c r="E354" s="1" t="n">
        <v>46263</v>
      </c>
      <c r="F354" t="inlineStr">
        <is>
          <t>UPPSALA LÄN</t>
        </is>
      </c>
      <c r="G354" t="inlineStr">
        <is>
          <t>TIERP</t>
        </is>
      </c>
      <c r="H354" t="inlineStr">
        <is>
          <t>Bergvik skog väst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5289-2023</t>
        </is>
      </c>
      <c r="B355" t="inlineStr">
        <is>
          <t>avverkningsanmälan</t>
        </is>
      </c>
      <c r="C355" t="inlineStr">
        <is>
          <t>Föryngringsavverkning</t>
        </is>
      </c>
      <c r="D355" s="1" t="n">
        <v>44959</v>
      </c>
      <c r="E355" s="1" t="n">
        <v>46263</v>
      </c>
      <c r="F355" t="inlineStr">
        <is>
          <t>UPPSALA LÄN</t>
        </is>
      </c>
      <c r="G355" t="inlineStr">
        <is>
          <t>TIERP</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44774-2024</t>
        </is>
      </c>
      <c r="B356" t="inlineStr">
        <is>
          <t>avverkningsanmälan</t>
        </is>
      </c>
      <c r="C356" t="inlineStr">
        <is>
          <t>Föryngringsavverkning</t>
        </is>
      </c>
      <c r="D356" s="1" t="n">
        <v>45574</v>
      </c>
      <c r="E356" s="1" t="n">
        <v>46263</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22135-2025</t>
        </is>
      </c>
      <c r="B357" t="inlineStr">
        <is>
          <t>avverkningsanmälan</t>
        </is>
      </c>
      <c r="C357" t="inlineStr">
        <is>
          <t>Föryngringsavverkning</t>
        </is>
      </c>
      <c r="D357" s="1" t="n">
        <v>45785</v>
      </c>
      <c r="E357" s="1" t="n">
        <v>46263</v>
      </c>
      <c r="F357" t="inlineStr">
        <is>
          <t>UPPSALA LÄN</t>
        </is>
      </c>
      <c r="G357" t="inlineStr">
        <is>
          <t>TIERP</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36195-2025</t>
        </is>
      </c>
      <c r="B358" t="inlineStr">
        <is>
          <t>avverkningsanmälan</t>
        </is>
      </c>
      <c r="C358" t="inlineStr">
        <is>
          <t>Föryngringsavverkning</t>
        </is>
      </c>
      <c r="D358" s="1" t="n">
        <v>45867</v>
      </c>
      <c r="E358" s="1" t="n">
        <v>46263</v>
      </c>
      <c r="F358" t="inlineStr">
        <is>
          <t>UPPSALA LÄN</t>
        </is>
      </c>
      <c r="G358" t="inlineStr">
        <is>
          <t>TIERP</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36423-2025</t>
        </is>
      </c>
      <c r="B359" t="inlineStr">
        <is>
          <t>avverkningsanmälan</t>
        </is>
      </c>
      <c r="C359" t="inlineStr">
        <is>
          <t>Föryngringsavverkning</t>
        </is>
      </c>
      <c r="D359" s="1" t="n">
        <v>45868</v>
      </c>
      <c r="E359" s="1" t="n">
        <v>46263</v>
      </c>
      <c r="F359" t="inlineStr">
        <is>
          <t>UPPSALA LÄN</t>
        </is>
      </c>
      <c r="G359" t="inlineStr">
        <is>
          <t>TIERP</t>
        </is>
      </c>
      <c r="H359" t="inlineStr">
        <is>
          <t>Bergvik skog väst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35122-2025</t>
        </is>
      </c>
      <c r="B360" t="inlineStr">
        <is>
          <t>avverkningsanmälan</t>
        </is>
      </c>
      <c r="C360" t="inlineStr">
        <is>
          <t>Föryngringsavverkning</t>
        </is>
      </c>
      <c r="D360" s="1" t="n">
        <v>45852</v>
      </c>
      <c r="E360" s="1" t="n">
        <v>46263</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23468-2025</t>
        </is>
      </c>
      <c r="B361" t="inlineStr">
        <is>
          <t>avverkningsanmälan</t>
        </is>
      </c>
      <c r="C361" t="inlineStr">
        <is>
          <t>Föryngringsavverkning</t>
        </is>
      </c>
      <c r="D361" s="1" t="n">
        <v>45792</v>
      </c>
      <c r="E361" s="1" t="n">
        <v>46263</v>
      </c>
      <c r="F361" t="inlineStr">
        <is>
          <t>UPPSALA LÄN</t>
        </is>
      </c>
      <c r="G361" t="inlineStr">
        <is>
          <t>TIERP</t>
        </is>
      </c>
      <c r="H361" t="inlineStr">
        <is>
          <t>Bergvik skog väst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34838-2024</t>
        </is>
      </c>
      <c r="B362" t="inlineStr">
        <is>
          <t>avverkningsanmälan</t>
        </is>
      </c>
      <c r="C362" t="inlineStr">
        <is>
          <t>Avverkning för annat ändamål</t>
        </is>
      </c>
      <c r="D362" s="1" t="n">
        <v>45526</v>
      </c>
      <c r="E362" s="1" t="n">
        <v>46263</v>
      </c>
      <c r="F362" t="inlineStr">
        <is>
          <t>UPPSALA LÄN</t>
        </is>
      </c>
      <c r="G362" t="inlineStr">
        <is>
          <t>TIERP</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62484-2025</t>
        </is>
      </c>
      <c r="B363" t="inlineStr">
        <is>
          <t>avverkningsanmälan</t>
        </is>
      </c>
      <c r="C363" t="inlineStr">
        <is>
          <t>Föryngringsavverkning</t>
        </is>
      </c>
      <c r="D363" s="1" t="n">
        <v>46007</v>
      </c>
      <c r="E363" s="1" t="n">
        <v>46263</v>
      </c>
      <c r="F363" t="inlineStr">
        <is>
          <t>UPPSALA LÄN</t>
        </is>
      </c>
      <c r="G363" t="inlineStr">
        <is>
          <t>TIERP</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23154-2023</t>
        </is>
      </c>
      <c r="B364" t="inlineStr">
        <is>
          <t>avverkningsanmälan</t>
        </is>
      </c>
      <c r="C364" t="inlineStr">
        <is>
          <t>Föryngringsavverkning</t>
        </is>
      </c>
      <c r="D364" s="1" t="n">
        <v>45075</v>
      </c>
      <c r="E364" s="1" t="n">
        <v>46263</v>
      </c>
      <c r="F364" t="inlineStr">
        <is>
          <t>UPPSALA LÄN</t>
        </is>
      </c>
      <c r="G364" t="inlineStr">
        <is>
          <t>TIERP</t>
        </is>
      </c>
      <c r="H364" t="inlineStr">
        <is>
          <t>Kyrkan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59244-2024</t>
        </is>
      </c>
      <c r="B365" t="inlineStr">
        <is>
          <t>avverkningsanmälan</t>
        </is>
      </c>
      <c r="C365" t="inlineStr">
        <is>
          <t>Föryngringsavverkning</t>
        </is>
      </c>
      <c r="D365" s="1" t="n">
        <v>45637</v>
      </c>
      <c r="E365" s="1" t="n">
        <v>46263</v>
      </c>
      <c r="F365" t="inlineStr">
        <is>
          <t>UPPSALA LÄN</t>
        </is>
      </c>
      <c r="G365" t="inlineStr">
        <is>
          <t>TIERP</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59267-2024</t>
        </is>
      </c>
      <c r="B366" t="inlineStr">
        <is>
          <t>avverkningsanmälan</t>
        </is>
      </c>
      <c r="C366" t="inlineStr">
        <is>
          <t>Föryngringsavverkning</t>
        </is>
      </c>
      <c r="D366" s="1" t="n">
        <v>45637</v>
      </c>
      <c r="E366" s="1" t="n">
        <v>46263</v>
      </c>
      <c r="F366" t="inlineStr">
        <is>
          <t>UPPSALA LÄN</t>
        </is>
      </c>
      <c r="G366" t="inlineStr">
        <is>
          <t>TIERP</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19840-2022</t>
        </is>
      </c>
      <c r="B367" t="inlineStr">
        <is>
          <t>avverkningsanmälan</t>
        </is>
      </c>
      <c r="C367" t="inlineStr">
        <is>
          <t>Föryngringsavverkning</t>
        </is>
      </c>
      <c r="D367" s="1" t="n">
        <v>44696</v>
      </c>
      <c r="E367" s="1" t="n">
        <v>46263</v>
      </c>
      <c r="F367" t="inlineStr">
        <is>
          <t>UPPSALA LÄN</t>
        </is>
      </c>
      <c r="G367" t="inlineStr">
        <is>
          <t>TIERP</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33307-2023</t>
        </is>
      </c>
      <c r="B368" t="inlineStr">
        <is>
          <t>avverkningsanmälan</t>
        </is>
      </c>
      <c r="C368" t="inlineStr">
        <is>
          <t>Föryngringsavverkning</t>
        </is>
      </c>
      <c r="D368" s="1" t="n">
        <v>45127</v>
      </c>
      <c r="E368" s="1" t="n">
        <v>46263</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46263</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16631-2023</t>
        </is>
      </c>
      <c r="B370" t="inlineStr">
        <is>
          <t>avverkningsanmälan</t>
        </is>
      </c>
      <c r="C370" t="inlineStr">
        <is>
          <t>Avverkning för annat ändamål</t>
        </is>
      </c>
      <c r="D370" s="1" t="n">
        <v>45030</v>
      </c>
      <c r="E370" s="1" t="n">
        <v>46263</v>
      </c>
      <c r="F370" t="inlineStr">
        <is>
          <t>UPPSALA LÄN</t>
        </is>
      </c>
      <c r="G370" t="inlineStr">
        <is>
          <t>TIERP</t>
        </is>
      </c>
      <c r="H370" t="inlineStr">
        <is>
          <t>Bergvik skog väst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26380-2023</t>
        </is>
      </c>
      <c r="B371" t="inlineStr">
        <is>
          <t>avverkningsanmälan</t>
        </is>
      </c>
      <c r="C371" t="inlineStr">
        <is>
          <t>Avverkning för att bevara och utveckla /försöksver</t>
        </is>
      </c>
      <c r="D371" s="1" t="n">
        <v>45092</v>
      </c>
      <c r="E371" s="1" t="n">
        <v>46263</v>
      </c>
      <c r="F371" t="inlineStr">
        <is>
          <t>UPPSALA LÄN</t>
        </is>
      </c>
      <c r="G371" t="inlineStr">
        <is>
          <t>TIERP</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46263</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62855-2025</t>
        </is>
      </c>
      <c r="B373" t="inlineStr">
        <is>
          <t>avverkningsanmälan</t>
        </is>
      </c>
      <c r="C373" t="inlineStr">
        <is>
          <t>Föryngringsavverkning</t>
        </is>
      </c>
      <c r="D373" s="1" t="n">
        <v>46008</v>
      </c>
      <c r="E373" s="1" t="n">
        <v>46263</v>
      </c>
      <c r="F373" t="inlineStr">
        <is>
          <t>UPPSALA LÄN</t>
        </is>
      </c>
      <c r="G373" t="inlineStr">
        <is>
          <t>TIERP</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63263-2025</t>
        </is>
      </c>
      <c r="B374" t="inlineStr">
        <is>
          <t>avverkningsanmälan</t>
        </is>
      </c>
      <c r="C374" t="inlineStr">
        <is>
          <t>Föryngringsavverkning</t>
        </is>
      </c>
      <c r="D374" s="1" t="n">
        <v>46010</v>
      </c>
      <c r="E374" s="1" t="n">
        <v>46263</v>
      </c>
      <c r="F374" t="inlineStr">
        <is>
          <t>UPPSALA LÄN</t>
        </is>
      </c>
      <c r="G374" t="inlineStr">
        <is>
          <t>TIERP</t>
        </is>
      </c>
      <c r="H374" t="inlineStr">
        <is>
          <t>Bergvik skog öst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62006-2024</t>
        </is>
      </c>
      <c r="B375" t="inlineStr">
        <is>
          <t>avverkningsanmälan</t>
        </is>
      </c>
      <c r="C375" t="inlineStr">
        <is>
          <t>Föryngringsavverkning</t>
        </is>
      </c>
      <c r="D375" s="1" t="n">
        <v>45655</v>
      </c>
      <c r="E375" s="1" t="n">
        <v>46263</v>
      </c>
      <c r="F375" t="inlineStr">
        <is>
          <t>UPPSALA LÄN</t>
        </is>
      </c>
      <c r="G375" t="inlineStr">
        <is>
          <t>TIERP</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63258-2025</t>
        </is>
      </c>
      <c r="B376" t="inlineStr">
        <is>
          <t>avverkningsanmälan</t>
        </is>
      </c>
      <c r="C376" t="inlineStr">
        <is>
          <t>Föryngringsavverkning</t>
        </is>
      </c>
      <c r="D376" s="1" t="n">
        <v>46010</v>
      </c>
      <c r="E376" s="1" t="n">
        <v>46263</v>
      </c>
      <c r="F376" t="inlineStr">
        <is>
          <t>UPPSALA LÄN</t>
        </is>
      </c>
      <c r="G376" t="inlineStr">
        <is>
          <t>TIERP</t>
        </is>
      </c>
      <c r="H376" t="inlineStr">
        <is>
          <t>Bergvik skog öst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437-2023</t>
        </is>
      </c>
      <c r="B377" t="inlineStr">
        <is>
          <t>avverkningsanmälan</t>
        </is>
      </c>
      <c r="C377" t="inlineStr">
        <is>
          <t>Föryngringsavverkning</t>
        </is>
      </c>
      <c r="D377" s="1" t="n">
        <v>44924</v>
      </c>
      <c r="E377" s="1" t="n">
        <v>46263</v>
      </c>
      <c r="F377" t="inlineStr">
        <is>
          <t>UPPSALA LÄN</t>
        </is>
      </c>
      <c r="G377" t="inlineStr">
        <is>
          <t>TIERP</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63259-2025</t>
        </is>
      </c>
      <c r="B378" t="inlineStr">
        <is>
          <t>avverkningsanmälan</t>
        </is>
      </c>
      <c r="C378" t="inlineStr">
        <is>
          <t>Föryngringsavverkning</t>
        </is>
      </c>
      <c r="D378" s="1" t="n">
        <v>46010</v>
      </c>
      <c r="E378" s="1" t="n">
        <v>46263</v>
      </c>
      <c r="F378" t="inlineStr">
        <is>
          <t>UPPSALA LÄN</t>
        </is>
      </c>
      <c r="G378" t="inlineStr">
        <is>
          <t>TIERP</t>
        </is>
      </c>
      <c r="H378" t="inlineStr">
        <is>
          <t>Bergvik skog öst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63262-2025</t>
        </is>
      </c>
      <c r="B379" t="inlineStr">
        <is>
          <t>avverkningsanmälan</t>
        </is>
      </c>
      <c r="C379" t="inlineStr">
        <is>
          <t>Föryngringsavverkning</t>
        </is>
      </c>
      <c r="D379" s="1" t="n">
        <v>46010</v>
      </c>
      <c r="E379" s="1" t="n">
        <v>46263</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9238-2023</t>
        </is>
      </c>
      <c r="B380" t="inlineStr">
        <is>
          <t>avverkningsanmälan</t>
        </is>
      </c>
      <c r="C380" t="inlineStr">
        <is>
          <t>Föryngringsavverkning</t>
        </is>
      </c>
      <c r="D380" s="1" t="n">
        <v>44980</v>
      </c>
      <c r="E380" s="1" t="n">
        <v>46263</v>
      </c>
      <c r="F380" t="inlineStr">
        <is>
          <t>UPPSALA LÄN</t>
        </is>
      </c>
      <c r="G380" t="inlineStr">
        <is>
          <t>TIERP</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63066-2025</t>
        </is>
      </c>
      <c r="B381" t="inlineStr">
        <is>
          <t>avverkningsanmälan</t>
        </is>
      </c>
      <c r="C381" t="inlineStr">
        <is>
          <t>Föryngringsavverkning</t>
        </is>
      </c>
      <c r="D381" s="1" t="n">
        <v>46009</v>
      </c>
      <c r="E381" s="1" t="n">
        <v>46263</v>
      </c>
      <c r="F381" t="inlineStr">
        <is>
          <t>UPPSALA LÄN</t>
        </is>
      </c>
      <c r="G381" t="inlineStr">
        <is>
          <t>TIERP</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62872-2025</t>
        </is>
      </c>
      <c r="B382" t="inlineStr">
        <is>
          <t>avverkningsanmälan</t>
        </is>
      </c>
      <c r="C382" t="inlineStr">
        <is>
          <t>Föryngringsavverkning</t>
        </is>
      </c>
      <c r="D382" s="1" t="n">
        <v>46008</v>
      </c>
      <c r="E382" s="1" t="n">
        <v>46263</v>
      </c>
      <c r="F382" t="inlineStr">
        <is>
          <t>UPPSALA LÄN</t>
        </is>
      </c>
      <c r="G382" t="inlineStr">
        <is>
          <t>TIERP</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63331-2025</t>
        </is>
      </c>
      <c r="B383" t="inlineStr">
        <is>
          <t>avverkningsanmälan</t>
        </is>
      </c>
      <c r="C383" t="inlineStr">
        <is>
          <t>Föryngringsavverkning</t>
        </is>
      </c>
      <c r="D383" s="1" t="n">
        <v>46010</v>
      </c>
      <c r="E383" s="1" t="n">
        <v>46263</v>
      </c>
      <c r="F383" t="inlineStr">
        <is>
          <t>UPPSALA LÄN</t>
        </is>
      </c>
      <c r="G383" t="inlineStr">
        <is>
          <t>TIERP</t>
        </is>
      </c>
      <c r="H383" t="inlineStr">
        <is>
          <t>Bergvik skog öst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62874-2025</t>
        </is>
      </c>
      <c r="B384" t="inlineStr">
        <is>
          <t>avverkningsanmälan</t>
        </is>
      </c>
      <c r="C384" t="inlineStr">
        <is>
          <t>Föryngringsavverkning</t>
        </is>
      </c>
      <c r="D384" s="1" t="n">
        <v>46008</v>
      </c>
      <c r="E384" s="1" t="n">
        <v>46263</v>
      </c>
      <c r="F384" t="inlineStr">
        <is>
          <t>UPPSALA LÄN</t>
        </is>
      </c>
      <c r="G384" t="inlineStr">
        <is>
          <t>TIERP</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59589-2022</t>
        </is>
      </c>
      <c r="B385" t="inlineStr">
        <is>
          <t>avverkningsanmälan</t>
        </is>
      </c>
      <c r="C385" t="inlineStr">
        <is>
          <t>Föryngringsavverkning</t>
        </is>
      </c>
      <c r="D385" s="1" t="n">
        <v>44907</v>
      </c>
      <c r="E385" s="1" t="n">
        <v>46263</v>
      </c>
      <c r="F385" t="inlineStr">
        <is>
          <t>UPPSALA LÄN</t>
        </is>
      </c>
      <c r="G385" t="inlineStr">
        <is>
          <t>TIERP</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63631-2025</t>
        </is>
      </c>
      <c r="B386" t="inlineStr">
        <is>
          <t>avverkningsanmälan</t>
        </is>
      </c>
      <c r="C386" t="inlineStr">
        <is>
          <t>Föryngringsavverkning</t>
        </is>
      </c>
      <c r="D386" s="1" t="n">
        <v>46014</v>
      </c>
      <c r="E386" s="1" t="n">
        <v>46263</v>
      </c>
      <c r="F386" t="inlineStr">
        <is>
          <t>UPPSALA LÄN</t>
        </is>
      </c>
      <c r="G386" t="inlineStr">
        <is>
          <t>TIERP</t>
        </is>
      </c>
      <c r="H386" t="inlineStr">
        <is>
          <t>Övriga Aktiebolag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63747-2025</t>
        </is>
      </c>
      <c r="B387" t="inlineStr">
        <is>
          <t>avverkningsanmälan</t>
        </is>
      </c>
      <c r="C387" t="inlineStr">
        <is>
          <t>Föryngringsavverkning</t>
        </is>
      </c>
      <c r="D387" s="1" t="n">
        <v>46017</v>
      </c>
      <c r="E387" s="1" t="n">
        <v>46263</v>
      </c>
      <c r="F387" t="inlineStr">
        <is>
          <t>UPPSALA LÄN</t>
        </is>
      </c>
      <c r="G387" t="inlineStr">
        <is>
          <t>TIERP</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18423-2025</t>
        </is>
      </c>
      <c r="B388" t="inlineStr">
        <is>
          <t>avverkningsanmälan</t>
        </is>
      </c>
      <c r="C388" t="inlineStr">
        <is>
          <t>Föryngringsavverkning</t>
        </is>
      </c>
      <c r="D388" s="1" t="n">
        <v>45762</v>
      </c>
      <c r="E388" s="1" t="n">
        <v>46263</v>
      </c>
      <c r="F388" t="inlineStr">
        <is>
          <t>UPPSALA LÄN</t>
        </is>
      </c>
      <c r="G388" t="inlineStr">
        <is>
          <t>TIERP</t>
        </is>
      </c>
      <c r="H388" t="inlineStr">
        <is>
          <t>Bergvik skog öst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21782-2025</t>
        </is>
      </c>
      <c r="B389" t="inlineStr">
        <is>
          <t>avverkningsanmälan</t>
        </is>
      </c>
      <c r="C389" t="inlineStr">
        <is>
          <t>Föryngringsavverkning</t>
        </is>
      </c>
      <c r="D389" s="1" t="n">
        <v>45783</v>
      </c>
      <c r="E389" s="1" t="n">
        <v>46263</v>
      </c>
      <c r="F389" t="inlineStr">
        <is>
          <t>UPPSALA LÄN</t>
        </is>
      </c>
      <c r="G389" t="inlineStr">
        <is>
          <t>TIERP</t>
        </is>
      </c>
      <c r="H389" t="inlineStr">
        <is>
          <t>Bergvik skog öst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43378-2025</t>
        </is>
      </c>
      <c r="B390" t="inlineStr">
        <is>
          <t>avverkningsanmälan</t>
        </is>
      </c>
      <c r="C390" t="inlineStr">
        <is>
          <t>Föryngringsavverkning</t>
        </is>
      </c>
      <c r="D390" s="1" t="n">
        <v>45911</v>
      </c>
      <c r="E390" s="1" t="n">
        <v>46263</v>
      </c>
      <c r="F390" t="inlineStr">
        <is>
          <t>UPPSALA LÄN</t>
        </is>
      </c>
      <c r="G390" t="inlineStr">
        <is>
          <t>TIERP</t>
        </is>
      </c>
      <c r="H390" t="inlineStr">
        <is>
          <t>Bergvik skog väst AB</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51712-2025</t>
        </is>
      </c>
      <c r="B391" t="inlineStr">
        <is>
          <t>avverkningsanmälan</t>
        </is>
      </c>
      <c r="C391" t="inlineStr">
        <is>
          <t>Föryngringsavverkning</t>
        </is>
      </c>
      <c r="D391" s="1" t="n">
        <v>45951</v>
      </c>
      <c r="E391" s="1" t="n">
        <v>46263</v>
      </c>
      <c r="F391" t="inlineStr">
        <is>
          <t>UPPSALA LÄN</t>
        </is>
      </c>
      <c r="G391" t="inlineStr">
        <is>
          <t>TIERP</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43260-2025</t>
        </is>
      </c>
      <c r="B392" t="inlineStr">
        <is>
          <t>avverkningsanmälan</t>
        </is>
      </c>
      <c r="C392" t="inlineStr">
        <is>
          <t>Föryngringsavverkning</t>
        </is>
      </c>
      <c r="D392" s="1" t="n">
        <v>45910</v>
      </c>
      <c r="E392" s="1" t="n">
        <v>46263</v>
      </c>
      <c r="F392" t="inlineStr">
        <is>
          <t>UPPSALA LÄN</t>
        </is>
      </c>
      <c r="G392" t="inlineStr">
        <is>
          <t>TIERP</t>
        </is>
      </c>
      <c r="H392" t="inlineStr">
        <is>
          <t>Bergvik skog väst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63883-2025</t>
        </is>
      </c>
      <c r="B393" t="inlineStr">
        <is>
          <t>avverkningsanmälan</t>
        </is>
      </c>
      <c r="C393" t="inlineStr">
        <is>
          <t>Föryngringsavverkning</t>
        </is>
      </c>
      <c r="D393" s="1" t="n">
        <v>46020</v>
      </c>
      <c r="E393" s="1" t="n">
        <v>46263</v>
      </c>
      <c r="F393" t="inlineStr">
        <is>
          <t>UPPSALA LÄN</t>
        </is>
      </c>
      <c r="G393" t="inlineStr">
        <is>
          <t>TIERP</t>
        </is>
      </c>
      <c r="H393" t="inlineStr">
        <is>
          <t>Bergvik skog öst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39790-2025</t>
        </is>
      </c>
      <c r="B394" t="inlineStr">
        <is>
          <t>avverkningsanmälan</t>
        </is>
      </c>
      <c r="C394" t="inlineStr">
        <is>
          <t>Föryngringsavverkning</t>
        </is>
      </c>
      <c r="D394" s="1" t="n">
        <v>45891</v>
      </c>
      <c r="E394" s="1" t="n">
        <v>46263</v>
      </c>
      <c r="F394" t="inlineStr">
        <is>
          <t>UPPSALA LÄN</t>
        </is>
      </c>
      <c r="G394" t="inlineStr">
        <is>
          <t>TIERP</t>
        </is>
      </c>
      <c r="H394" t="inlineStr">
        <is>
          <t>Bergvik skog väst AB</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40864-2023</t>
        </is>
      </c>
      <c r="B395" t="inlineStr">
        <is>
          <t>avverkningsanmälan</t>
        </is>
      </c>
      <c r="C395" t="inlineStr">
        <is>
          <t>Föryngringsavverkning</t>
        </is>
      </c>
      <c r="D395" s="1" t="n">
        <v>45173</v>
      </c>
      <c r="E395" s="1" t="n">
        <v>46263</v>
      </c>
      <c r="F395" t="inlineStr">
        <is>
          <t>UPPSALA LÄN</t>
        </is>
      </c>
      <c r="G395" t="inlineStr">
        <is>
          <t>TIERP</t>
        </is>
      </c>
      <c r="H395" t="inlineStr">
        <is>
          <t>Bergvik skog väst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25363-2022</t>
        </is>
      </c>
      <c r="B396" t="inlineStr">
        <is>
          <t>avverkningsanmälan</t>
        </is>
      </c>
      <c r="C396" t="inlineStr">
        <is>
          <t>Föryngringsavverkning</t>
        </is>
      </c>
      <c r="D396" s="1" t="n">
        <v>44732</v>
      </c>
      <c r="E396" s="1" t="n">
        <v>46263</v>
      </c>
      <c r="F396" t="inlineStr">
        <is>
          <t>UPPSALA LÄN</t>
        </is>
      </c>
      <c r="G396" t="inlineStr">
        <is>
          <t>TIERP</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19172-2023</t>
        </is>
      </c>
      <c r="B397" t="inlineStr">
        <is>
          <t>avverkningsanmälan</t>
        </is>
      </c>
      <c r="C397" t="inlineStr">
        <is>
          <t>Avverkning för annat ändamål</t>
        </is>
      </c>
      <c r="D397" s="1" t="n">
        <v>45046</v>
      </c>
      <c r="E397" s="1" t="n">
        <v>46263</v>
      </c>
      <c r="F397" t="inlineStr">
        <is>
          <t>UPPSALA LÄN</t>
        </is>
      </c>
      <c r="G397" t="inlineStr">
        <is>
          <t>TIERP</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54737-2023</t>
        </is>
      </c>
      <c r="B398" t="inlineStr">
        <is>
          <t>avverkningsanmälan</t>
        </is>
      </c>
      <c r="C398" t="inlineStr">
        <is>
          <t>Föryngringsavverkning</t>
        </is>
      </c>
      <c r="D398" s="1" t="n">
        <v>45229</v>
      </c>
      <c r="E398" s="1" t="n">
        <v>46263</v>
      </c>
      <c r="F398" t="inlineStr">
        <is>
          <t>UPPSALA LÄN</t>
        </is>
      </c>
      <c r="G398" t="inlineStr">
        <is>
          <t>TIERP</t>
        </is>
      </c>
      <c r="H398" t="inlineStr">
        <is>
          <t>Bergvik skog väst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60151-2022</t>
        </is>
      </c>
      <c r="B399" t="inlineStr">
        <is>
          <t>avverkningsanmälan</t>
        </is>
      </c>
      <c r="C399" t="inlineStr">
        <is>
          <t>Föryngringsavverkning</t>
        </is>
      </c>
      <c r="D399" s="1" t="n">
        <v>44909</v>
      </c>
      <c r="E399" s="1" t="n">
        <v>46263</v>
      </c>
      <c r="F399" t="inlineStr">
        <is>
          <t>UPPSALA LÄN</t>
        </is>
      </c>
      <c r="G399" t="inlineStr">
        <is>
          <t>TIERP</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380-2026</t>
        </is>
      </c>
      <c r="B400" t="inlineStr">
        <is>
          <t>avverkningsanmälan</t>
        </is>
      </c>
      <c r="C400" t="inlineStr">
        <is>
          <t>Föryngringsavverkning</t>
        </is>
      </c>
      <c r="D400" s="1" t="n">
        <v>46027</v>
      </c>
      <c r="E400" s="1" t="n">
        <v>46263</v>
      </c>
      <c r="F400" t="inlineStr">
        <is>
          <t>UPPSALA LÄN</t>
        </is>
      </c>
      <c r="G400" t="inlineStr">
        <is>
          <t>TIERP</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34082-2023</t>
        </is>
      </c>
      <c r="B401" t="inlineStr">
        <is>
          <t>avverkningsanmälan</t>
        </is>
      </c>
      <c r="C401" t="inlineStr">
        <is>
          <t>Föryngringsavverkning</t>
        </is>
      </c>
      <c r="D401" s="1" t="n">
        <v>45135</v>
      </c>
      <c r="E401" s="1" t="n">
        <v>46263</v>
      </c>
      <c r="F401" t="inlineStr">
        <is>
          <t>UPPSALA LÄN</t>
        </is>
      </c>
      <c r="G401" t="inlineStr">
        <is>
          <t>TIERP</t>
        </is>
      </c>
      <c r="H401" t="inlineStr">
        <is>
          <t>Bergvik skog öst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61615-2022</t>
        </is>
      </c>
      <c r="B402" t="inlineStr">
        <is>
          <t>avverkningsanmälan</t>
        </is>
      </c>
      <c r="C402" t="inlineStr">
        <is>
          <t>Föryngringsavverkning</t>
        </is>
      </c>
      <c r="D402" s="1" t="n">
        <v>44916</v>
      </c>
      <c r="E402" s="1" t="n">
        <v>46263</v>
      </c>
      <c r="F402" t="inlineStr">
        <is>
          <t>UPPSALA LÄN</t>
        </is>
      </c>
      <c r="G402" t="inlineStr">
        <is>
          <t>TIERP</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26161-2022</t>
        </is>
      </c>
      <c r="B403" t="inlineStr">
        <is>
          <t>avverkningsanmälan</t>
        </is>
      </c>
      <c r="C403" t="inlineStr">
        <is>
          <t>Föryngringsavverkning</t>
        </is>
      </c>
      <c r="D403" s="1" t="n">
        <v>44735</v>
      </c>
      <c r="E403" s="1" t="n">
        <v>46263</v>
      </c>
      <c r="F403" t="inlineStr">
        <is>
          <t>UPPSALA LÄN</t>
        </is>
      </c>
      <c r="G403" t="inlineStr">
        <is>
          <t>TIERP</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55818-2023</t>
        </is>
      </c>
      <c r="B404" t="inlineStr">
        <is>
          <t>avverkningsanmälan</t>
        </is>
      </c>
      <c r="C404" t="inlineStr">
        <is>
          <t>Föryngringsavverkning</t>
        </is>
      </c>
      <c r="D404" s="1" t="n">
        <v>45239</v>
      </c>
      <c r="E404" s="1" t="n">
        <v>46263</v>
      </c>
      <c r="F404" t="inlineStr">
        <is>
          <t>UPPSALA LÄN</t>
        </is>
      </c>
      <c r="G404" t="inlineStr">
        <is>
          <t>TIERP</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9893-2022</t>
        </is>
      </c>
      <c r="B405" t="inlineStr">
        <is>
          <t>avverkningsanmälan</t>
        </is>
      </c>
      <c r="C405" t="inlineStr">
        <is>
          <t>Föryngringsavverkning</t>
        </is>
      </c>
      <c r="D405" s="1" t="n">
        <v>44620</v>
      </c>
      <c r="E405" s="1" t="n">
        <v>46263</v>
      </c>
      <c r="F405" t="inlineStr">
        <is>
          <t>UPPSALA LÄN</t>
        </is>
      </c>
      <c r="G405" t="inlineStr">
        <is>
          <t>TIERP</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888-2026</t>
        </is>
      </c>
      <c r="B406" t="inlineStr">
        <is>
          <t>avverkningsanmälan</t>
        </is>
      </c>
      <c r="C406" t="inlineStr">
        <is>
          <t>Föryngringsavverkning</t>
        </is>
      </c>
      <c r="D406" s="1" t="n">
        <v>46030</v>
      </c>
      <c r="E406" s="1" t="n">
        <v>46263</v>
      </c>
      <c r="F406" t="inlineStr">
        <is>
          <t>UPPSALA LÄN</t>
        </is>
      </c>
      <c r="G406" t="inlineStr">
        <is>
          <t>TIERP</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2364-2026</t>
        </is>
      </c>
      <c r="B407" t="inlineStr">
        <is>
          <t>avverkningsanmälan</t>
        </is>
      </c>
      <c r="C407" t="inlineStr">
        <is>
          <t>Föryngringsavverkning</t>
        </is>
      </c>
      <c r="D407" s="1" t="n">
        <v>46034</v>
      </c>
      <c r="E407" s="1" t="n">
        <v>46263</v>
      </c>
      <c r="F407" t="inlineStr">
        <is>
          <t>UPPSALA LÄN</t>
        </is>
      </c>
      <c r="G407" t="inlineStr">
        <is>
          <t>TIERP</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2366-2026</t>
        </is>
      </c>
      <c r="B408" t="inlineStr">
        <is>
          <t>avverkningsanmälan</t>
        </is>
      </c>
      <c r="C408" t="inlineStr">
        <is>
          <t>Föryngringsavverkning</t>
        </is>
      </c>
      <c r="D408" s="1" t="n">
        <v>46034</v>
      </c>
      <c r="E408" s="1" t="n">
        <v>46263</v>
      </c>
      <c r="F408" t="inlineStr">
        <is>
          <t>UPPSALA LÄN</t>
        </is>
      </c>
      <c r="G408" t="inlineStr">
        <is>
          <t>TIERP</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2406-2026</t>
        </is>
      </c>
      <c r="B409" t="inlineStr">
        <is>
          <t>avverkningsanmälan</t>
        </is>
      </c>
      <c r="C409" t="inlineStr">
        <is>
          <t>Föryngringsavverkning</t>
        </is>
      </c>
      <c r="D409" s="1" t="n">
        <v>46036</v>
      </c>
      <c r="E409" s="1" t="n">
        <v>46263</v>
      </c>
      <c r="F409" t="inlineStr">
        <is>
          <t>UPPSALA LÄN</t>
        </is>
      </c>
      <c r="G409" t="inlineStr">
        <is>
          <t>TIERP</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45146-2021</t>
        </is>
      </c>
      <c r="B410" t="inlineStr">
        <is>
          <t>avverkningsanmälan</t>
        </is>
      </c>
      <c r="C410" t="inlineStr">
        <is>
          <t>Föryngringsavverkning</t>
        </is>
      </c>
      <c r="D410" s="1" t="n">
        <v>44439</v>
      </c>
      <c r="E410" s="1" t="n">
        <v>46263</v>
      </c>
      <c r="F410" t="inlineStr">
        <is>
          <t>UPPSALA LÄN</t>
        </is>
      </c>
      <c r="G410" t="inlineStr">
        <is>
          <t>TIERP</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3438-2026</t>
        </is>
      </c>
      <c r="B411" t="inlineStr">
        <is>
          <t>avverkningsanmälan</t>
        </is>
      </c>
      <c r="C411" t="inlineStr">
        <is>
          <t>Föryngringsavverkning</t>
        </is>
      </c>
      <c r="D411" s="1" t="n">
        <v>46042</v>
      </c>
      <c r="E411" s="1" t="n">
        <v>46263</v>
      </c>
      <c r="F411" t="inlineStr">
        <is>
          <t>UPPSALA LÄN</t>
        </is>
      </c>
      <c r="G411" t="inlineStr">
        <is>
          <t>TIERP</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3443-2026</t>
        </is>
      </c>
      <c r="B412" t="inlineStr">
        <is>
          <t>avverkningsanmälan</t>
        </is>
      </c>
      <c r="C412" t="inlineStr">
        <is>
          <t>Föryngringsavverkning</t>
        </is>
      </c>
      <c r="D412" s="1" t="n">
        <v>46042</v>
      </c>
      <c r="E412" s="1" t="n">
        <v>46263</v>
      </c>
      <c r="F412" t="inlineStr">
        <is>
          <t>UPPSALA LÄN</t>
        </is>
      </c>
      <c r="G412" t="inlineStr">
        <is>
          <t>TIERP</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3433-2026</t>
        </is>
      </c>
      <c r="B413" t="inlineStr">
        <is>
          <t>avverkningsanmälan</t>
        </is>
      </c>
      <c r="C413" t="inlineStr">
        <is>
          <t>Föryngringsavverkning</t>
        </is>
      </c>
      <c r="D413" s="1" t="n">
        <v>46042</v>
      </c>
      <c r="E413" s="1" t="n">
        <v>46263</v>
      </c>
      <c r="F413" t="inlineStr">
        <is>
          <t>UPPSALA LÄN</t>
        </is>
      </c>
      <c r="G413" t="inlineStr">
        <is>
          <t>TIERP</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3865-2026</t>
        </is>
      </c>
      <c r="B414" t="inlineStr">
        <is>
          <t>avverkningsanmälan</t>
        </is>
      </c>
      <c r="C414" t="inlineStr">
        <is>
          <t>Föryngringsavverkning</t>
        </is>
      </c>
      <c r="D414" s="1" t="n">
        <v>46043</v>
      </c>
      <c r="E414" s="1" t="n">
        <v>46263</v>
      </c>
      <c r="F414" t="inlineStr">
        <is>
          <t>UPPSALA LÄN</t>
        </is>
      </c>
      <c r="G414" t="inlineStr">
        <is>
          <t>TIERP</t>
        </is>
      </c>
      <c r="H414" t="inlineStr">
        <is>
          <t>Bergvik skog väst AB</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57142-2023</t>
        </is>
      </c>
      <c r="B415" t="inlineStr">
        <is>
          <t>avverkningsanmälan</t>
        </is>
      </c>
      <c r="C415" t="inlineStr">
        <is>
          <t>Föryngringsavverkning</t>
        </is>
      </c>
      <c r="D415" s="1" t="n">
        <v>45245</v>
      </c>
      <c r="E415" s="1" t="n">
        <v>46263</v>
      </c>
      <c r="F415" t="inlineStr">
        <is>
          <t>UPPSALA LÄN</t>
        </is>
      </c>
      <c r="G415" t="inlineStr">
        <is>
          <t>TIERP</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37476-2024</t>
        </is>
      </c>
      <c r="B416" t="inlineStr">
        <is>
          <t>avverkningsanmälan</t>
        </is>
      </c>
      <c r="C416" t="inlineStr">
        <is>
          <t>Föryngringsavverkning</t>
        </is>
      </c>
      <c r="D416" s="1" t="n">
        <v>45541</v>
      </c>
      <c r="E416" s="1" t="n">
        <v>46263</v>
      </c>
      <c r="F416" t="inlineStr">
        <is>
          <t>UPPSALA LÄN</t>
        </is>
      </c>
      <c r="G416" t="inlineStr">
        <is>
          <t>TIERP</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38298-2023</t>
        </is>
      </c>
      <c r="B417" t="inlineStr">
        <is>
          <t>avverkningsanmälan</t>
        </is>
      </c>
      <c r="C417" t="inlineStr">
        <is>
          <t>Föryngringsavverkning</t>
        </is>
      </c>
      <c r="D417" s="1" t="n">
        <v>45161</v>
      </c>
      <c r="E417" s="1" t="n">
        <v>46263</v>
      </c>
      <c r="F417" t="inlineStr">
        <is>
          <t>UPPSALA LÄN</t>
        </is>
      </c>
      <c r="G417" t="inlineStr">
        <is>
          <t>TIERP</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52388-2022</t>
        </is>
      </c>
      <c r="B418" t="inlineStr">
        <is>
          <t>avverkningsanmälan</t>
        </is>
      </c>
      <c r="C418" t="inlineStr">
        <is>
          <t>Föryngringsavverkning</t>
        </is>
      </c>
      <c r="D418" s="1" t="n">
        <v>44874</v>
      </c>
      <c r="E418" s="1" t="n">
        <v>46263</v>
      </c>
      <c r="F418" t="inlineStr">
        <is>
          <t>UPPSALA LÄN</t>
        </is>
      </c>
      <c r="G418" t="inlineStr">
        <is>
          <t>TIERP</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4716-2026</t>
        </is>
      </c>
      <c r="B419" t="inlineStr">
        <is>
          <t>avverkningsanmälan</t>
        </is>
      </c>
      <c r="C419" t="inlineStr">
        <is>
          <t>Föryngringsavverkning</t>
        </is>
      </c>
      <c r="D419" s="1" t="n">
        <v>46048</v>
      </c>
      <c r="E419" s="1" t="n">
        <v>46263</v>
      </c>
      <c r="F419" t="inlineStr">
        <is>
          <t>UPPSALA LÄN</t>
        </is>
      </c>
      <c r="G419" t="inlineStr">
        <is>
          <t>TIERP</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4706-2026</t>
        </is>
      </c>
      <c r="B420" t="inlineStr">
        <is>
          <t>avverkningsanmälan</t>
        </is>
      </c>
      <c r="C420" t="inlineStr">
        <is>
          <t>Föryngringsavverkning</t>
        </is>
      </c>
      <c r="D420" s="1" t="n">
        <v>46048</v>
      </c>
      <c r="E420" s="1" t="n">
        <v>46263</v>
      </c>
      <c r="F420" t="inlineStr">
        <is>
          <t>UPPSALA LÄN</t>
        </is>
      </c>
      <c r="G420" t="inlineStr">
        <is>
          <t>TIERP</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61827-2024</t>
        </is>
      </c>
      <c r="B421" t="inlineStr">
        <is>
          <t>avverkningsanmälan</t>
        </is>
      </c>
      <c r="C421" t="inlineStr">
        <is>
          <t>Föryngringsavverkning</t>
        </is>
      </c>
      <c r="D421" s="1" t="n">
        <v>45649</v>
      </c>
      <c r="E421" s="1" t="n">
        <v>46263</v>
      </c>
      <c r="F421" t="inlineStr">
        <is>
          <t>UPPSALA LÄN</t>
        </is>
      </c>
      <c r="G421" t="inlineStr">
        <is>
          <t>TIERP</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5794-2026</t>
        </is>
      </c>
      <c r="B422" t="inlineStr">
        <is>
          <t>avverkningsanmälan</t>
        </is>
      </c>
      <c r="C422" t="inlineStr">
        <is>
          <t>Föryngringsavverkning</t>
        </is>
      </c>
      <c r="D422" s="1" t="n">
        <v>46051</v>
      </c>
      <c r="E422" s="1" t="n">
        <v>46263</v>
      </c>
      <c r="F422" t="inlineStr">
        <is>
          <t>UPPSALA LÄN</t>
        </is>
      </c>
      <c r="G422" t="inlineStr">
        <is>
          <t>TIERP</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46263</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5797-2026</t>
        </is>
      </c>
      <c r="B424" t="inlineStr">
        <is>
          <t>avverkningsanmälan</t>
        </is>
      </c>
      <c r="C424" t="inlineStr">
        <is>
          <t>Föryngringsavverkning</t>
        </is>
      </c>
      <c r="D424" s="1" t="n">
        <v>46051</v>
      </c>
      <c r="E424" s="1" t="n">
        <v>46263</v>
      </c>
      <c r="F424" t="inlineStr">
        <is>
          <t>UPPSALA LÄN</t>
        </is>
      </c>
      <c r="G424" t="inlineStr">
        <is>
          <t>TIERP</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46263</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46263</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46263</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46263</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5662-2026</t>
        </is>
      </c>
      <c r="B429" t="inlineStr">
        <is>
          <t>avverkningsanmälan</t>
        </is>
      </c>
      <c r="C429" t="inlineStr">
        <is>
          <t>Föryngringsavverkning</t>
        </is>
      </c>
      <c r="D429" s="1" t="n">
        <v>46051</v>
      </c>
      <c r="E429" s="1" t="n">
        <v>46263</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6707-2026</t>
        </is>
      </c>
      <c r="B430" t="inlineStr">
        <is>
          <t>avverkningsanmälan</t>
        </is>
      </c>
      <c r="C430" t="inlineStr">
        <is>
          <t>Föryngringsavverkning</t>
        </is>
      </c>
      <c r="D430" s="1" t="n">
        <v>46053</v>
      </c>
      <c r="E430" s="1" t="n">
        <v>46263</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6410-2026</t>
        </is>
      </c>
      <c r="B431" t="inlineStr">
        <is>
          <t>avverkningsanmälan</t>
        </is>
      </c>
      <c r="C431" t="inlineStr">
        <is>
          <t>Föryngringsavverkning</t>
        </is>
      </c>
      <c r="D431" s="1" t="n">
        <v>46055</v>
      </c>
      <c r="E431" s="1" t="n">
        <v>46263</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6404-2026</t>
        </is>
      </c>
      <c r="B432" t="inlineStr">
        <is>
          <t>avverkningsanmälan</t>
        </is>
      </c>
      <c r="C432" t="inlineStr">
        <is>
          <t>Föryngringsavverkning</t>
        </is>
      </c>
      <c r="D432" s="1" t="n">
        <v>46055</v>
      </c>
      <c r="E432" s="1" t="n">
        <v>46263</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6696-2026</t>
        </is>
      </c>
      <c r="B433" t="inlineStr">
        <is>
          <t>avverkningsanmälan</t>
        </is>
      </c>
      <c r="C433" t="inlineStr">
        <is>
          <t>Föryngringsavverkning</t>
        </is>
      </c>
      <c r="D433" s="1" t="n">
        <v>46053</v>
      </c>
      <c r="E433" s="1" t="n">
        <v>46263</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6407-2026</t>
        </is>
      </c>
      <c r="B434" t="inlineStr">
        <is>
          <t>avverkningsanmälan</t>
        </is>
      </c>
      <c r="C434" t="inlineStr">
        <is>
          <t>Föryngringsavverkning</t>
        </is>
      </c>
      <c r="D434" s="1" t="n">
        <v>46055</v>
      </c>
      <c r="E434" s="1" t="n">
        <v>46263</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6709-2026</t>
        </is>
      </c>
      <c r="B435" t="inlineStr">
        <is>
          <t>avverkningsanmälan</t>
        </is>
      </c>
      <c r="C435" t="inlineStr">
        <is>
          <t>Föryngringsavverkning</t>
        </is>
      </c>
      <c r="D435" s="1" t="n">
        <v>46053</v>
      </c>
      <c r="E435" s="1" t="n">
        <v>46263</v>
      </c>
      <c r="F435" t="inlineStr">
        <is>
          <t>UPPSALA LÄN</t>
        </is>
      </c>
      <c r="G435" t="inlineStr">
        <is>
          <t>TIERP</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18110-2025</t>
        </is>
      </c>
      <c r="B436" t="inlineStr">
        <is>
          <t>avverkningsanmälan</t>
        </is>
      </c>
      <c r="C436" t="inlineStr">
        <is>
          <t>Föryngringsavverkning</t>
        </is>
      </c>
      <c r="D436" s="1" t="n">
        <v>45761</v>
      </c>
      <c r="E436" s="1" t="n">
        <v>46263</v>
      </c>
      <c r="F436" t="inlineStr">
        <is>
          <t>UPPSALA LÄN</t>
        </is>
      </c>
      <c r="G436" t="inlineStr">
        <is>
          <t>TIERP</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7370-2023</t>
        </is>
      </c>
      <c r="B437" t="inlineStr">
        <is>
          <t>avverkningsanmälan</t>
        </is>
      </c>
      <c r="C437" t="inlineStr">
        <is>
          <t>Föryngringsavverkning</t>
        </is>
      </c>
      <c r="D437" s="1" t="n">
        <v>44971</v>
      </c>
      <c r="E437" s="1" t="n">
        <v>46263</v>
      </c>
      <c r="F437" t="inlineStr">
        <is>
          <t>UPPSALA LÄN</t>
        </is>
      </c>
      <c r="G437" t="inlineStr">
        <is>
          <t>TIERP</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25408-2023</t>
        </is>
      </c>
      <c r="B438" t="inlineStr">
        <is>
          <t>avverkningsanmälan</t>
        </is>
      </c>
      <c r="C438" t="inlineStr">
        <is>
          <t>Föryngringsavverkning</t>
        </is>
      </c>
      <c r="D438" s="1" t="n">
        <v>45080</v>
      </c>
      <c r="E438" s="1" t="n">
        <v>46263</v>
      </c>
      <c r="F438" t="inlineStr">
        <is>
          <t>UPPSALA LÄN</t>
        </is>
      </c>
      <c r="G438" t="inlineStr">
        <is>
          <t>TIERP</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6364-2023</t>
        </is>
      </c>
      <c r="B439" t="inlineStr">
        <is>
          <t>avverkningsanmälan</t>
        </is>
      </c>
      <c r="C439" t="inlineStr">
        <is>
          <t>Föryngringsavverkning</t>
        </is>
      </c>
      <c r="D439" s="1" t="n">
        <v>44965</v>
      </c>
      <c r="E439" s="1" t="n">
        <v>46263</v>
      </c>
      <c r="F439" t="inlineStr">
        <is>
          <t>UPPSALA LÄN</t>
        </is>
      </c>
      <c r="G439" t="inlineStr">
        <is>
          <t>TIERP</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59961-2023</t>
        </is>
      </c>
      <c r="B440" t="inlineStr">
        <is>
          <t>avverkningsanmälan</t>
        </is>
      </c>
      <c r="C440" t="inlineStr">
        <is>
          <t>Föryngringsavverkning</t>
        </is>
      </c>
      <c r="D440" s="1" t="n">
        <v>45257</v>
      </c>
      <c r="E440" s="1" t="n">
        <v>46263</v>
      </c>
      <c r="F440" t="inlineStr">
        <is>
          <t>UPPSALA LÄN</t>
        </is>
      </c>
      <c r="G440" t="inlineStr">
        <is>
          <t>TIERP</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59350-2021</t>
        </is>
      </c>
      <c r="B441" t="inlineStr">
        <is>
          <t>avverkningsanmälan</t>
        </is>
      </c>
      <c r="C441" t="inlineStr">
        <is>
          <t>Föryngringsavverkning</t>
        </is>
      </c>
      <c r="D441" s="1" t="n">
        <v>44491</v>
      </c>
      <c r="E441" s="1" t="n">
        <v>46263</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6075-2023</t>
        </is>
      </c>
      <c r="B442" t="inlineStr">
        <is>
          <t>avverkningsanmälan</t>
        </is>
      </c>
      <c r="C442" t="inlineStr">
        <is>
          <t>Föryngringsavverkning</t>
        </is>
      </c>
      <c r="D442" s="1" t="n">
        <v>44964</v>
      </c>
      <c r="E442" s="1" t="n">
        <v>46263</v>
      </c>
      <c r="F442" t="inlineStr">
        <is>
          <t>UPPSALA LÄN</t>
        </is>
      </c>
      <c r="G442" t="inlineStr">
        <is>
          <t>TIERP</t>
        </is>
      </c>
      <c r="H442" t="inlineStr">
        <is>
          <t>Bergvik skog öst AB</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32665-2023</t>
        </is>
      </c>
      <c r="B443" t="inlineStr">
        <is>
          <t>avverkningsanmälan</t>
        </is>
      </c>
      <c r="C443" t="inlineStr">
        <is>
          <t>Föryngringsavverkning</t>
        </is>
      </c>
      <c r="D443" s="1" t="n">
        <v>45121</v>
      </c>
      <c r="E443" s="1" t="n">
        <v>46263</v>
      </c>
      <c r="F443" t="inlineStr">
        <is>
          <t>UPPSALA LÄN</t>
        </is>
      </c>
      <c r="G443" t="inlineStr">
        <is>
          <t>TIERP</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4531-2023</t>
        </is>
      </c>
      <c r="B444" t="inlineStr">
        <is>
          <t>avverkningsanmälan</t>
        </is>
      </c>
      <c r="C444" t="inlineStr">
        <is>
          <t>Föryngringsavverkning</t>
        </is>
      </c>
      <c r="D444" s="1" t="n">
        <v>44956</v>
      </c>
      <c r="E444" s="1" t="n">
        <v>46263</v>
      </c>
      <c r="F444" t="inlineStr">
        <is>
          <t>UPPSALA LÄN</t>
        </is>
      </c>
      <c r="G444" t="inlineStr">
        <is>
          <t>TIERP</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7352-2023</t>
        </is>
      </c>
      <c r="B445" t="inlineStr">
        <is>
          <t>avverkningsanmälan</t>
        </is>
      </c>
      <c r="C445" t="inlineStr">
        <is>
          <t>Föryngringsavverkning</t>
        </is>
      </c>
      <c r="D445" s="1" t="n">
        <v>44966</v>
      </c>
      <c r="E445" s="1" t="n">
        <v>46263</v>
      </c>
      <c r="F445" t="inlineStr">
        <is>
          <t>UPPSALA LÄN</t>
        </is>
      </c>
      <c r="G445" t="inlineStr">
        <is>
          <t>TIERP</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6288-2023</t>
        </is>
      </c>
      <c r="B446" t="inlineStr">
        <is>
          <t>avverkningsanmälan</t>
        </is>
      </c>
      <c r="C446" t="inlineStr">
        <is>
          <t>Föryngringsavverkning</t>
        </is>
      </c>
      <c r="D446" s="1" t="n">
        <v>44965</v>
      </c>
      <c r="E446" s="1" t="n">
        <v>46263</v>
      </c>
      <c r="F446" t="inlineStr">
        <is>
          <t>UPPSALA LÄN</t>
        </is>
      </c>
      <c r="G446" t="inlineStr">
        <is>
          <t>TIERP</t>
        </is>
      </c>
      <c r="H446" t="inlineStr">
        <is>
          <t>Bergvik skog öst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58772-2024</t>
        </is>
      </c>
      <c r="B447" t="inlineStr">
        <is>
          <t>avverkningsanmälan</t>
        </is>
      </c>
      <c r="C447" t="inlineStr">
        <is>
          <t>Föryngringsavverkning</t>
        </is>
      </c>
      <c r="D447" s="1" t="n">
        <v>45635</v>
      </c>
      <c r="E447" s="1" t="n">
        <v>46263</v>
      </c>
      <c r="F447" t="inlineStr">
        <is>
          <t>UPPSALA LÄN</t>
        </is>
      </c>
      <c r="G447" t="inlineStr">
        <is>
          <t>TIERP</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46512-2024</t>
        </is>
      </c>
      <c r="B448" t="inlineStr">
        <is>
          <t>avverkningsanmälan</t>
        </is>
      </c>
      <c r="C448" t="inlineStr">
        <is>
          <t>Föryngringsavverkning</t>
        </is>
      </c>
      <c r="D448" s="1" t="n">
        <v>45582</v>
      </c>
      <c r="E448" s="1" t="n">
        <v>46263</v>
      </c>
      <c r="F448" t="inlineStr">
        <is>
          <t>UPPSALA LÄN</t>
        </is>
      </c>
      <c r="G448" t="inlineStr">
        <is>
          <t>TIERP</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59658-2024</t>
        </is>
      </c>
      <c r="B449" t="inlineStr">
        <is>
          <t>avverkningsanmälan</t>
        </is>
      </c>
      <c r="C449" t="inlineStr">
        <is>
          <t>Föryngringsavverkning</t>
        </is>
      </c>
      <c r="D449" s="1" t="n">
        <v>45639</v>
      </c>
      <c r="E449" s="1" t="n">
        <v>46263</v>
      </c>
      <c r="F449" t="inlineStr">
        <is>
          <t>UPPSALA LÄN</t>
        </is>
      </c>
      <c r="G449" t="inlineStr">
        <is>
          <t>TIERP</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41223-2023</t>
        </is>
      </c>
      <c r="B450" t="inlineStr">
        <is>
          <t>avverkningsanmälan</t>
        </is>
      </c>
      <c r="C450" t="inlineStr">
        <is>
          <t>Föryngringsavverkning</t>
        </is>
      </c>
      <c r="D450" s="1" t="n">
        <v>45174</v>
      </c>
      <c r="E450" s="1" t="n">
        <v>46263</v>
      </c>
      <c r="F450" t="inlineStr">
        <is>
          <t>UPPSALA LÄN</t>
        </is>
      </c>
      <c r="G450" t="inlineStr">
        <is>
          <t>TIERP</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10207-2026</t>
        </is>
      </c>
      <c r="B451" t="inlineStr">
        <is>
          <t>avverkningsanmälan</t>
        </is>
      </c>
      <c r="C451" t="inlineStr">
        <is>
          <t>Föryngringsavverkning</t>
        </is>
      </c>
      <c r="D451" s="1" t="n">
        <v>46076</v>
      </c>
      <c r="E451" s="1" t="n">
        <v>46263</v>
      </c>
      <c r="F451" t="inlineStr">
        <is>
          <t>UPPSALA LÄN</t>
        </is>
      </c>
      <c r="G451" t="inlineStr">
        <is>
          <t>TIERP</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15055-2024</t>
        </is>
      </c>
      <c r="B452" t="inlineStr">
        <is>
          <t>avverkningsanmälan</t>
        </is>
      </c>
      <c r="C452" t="inlineStr">
        <is>
          <t>Föryngringsavverkning</t>
        </is>
      </c>
      <c r="D452" s="1" t="n">
        <v>45399</v>
      </c>
      <c r="E452" s="1" t="n">
        <v>46263</v>
      </c>
      <c r="F452" t="inlineStr">
        <is>
          <t>UPPSALA LÄN</t>
        </is>
      </c>
      <c r="G452" t="inlineStr">
        <is>
          <t>TIERP</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10211-2026</t>
        </is>
      </c>
      <c r="B453" t="inlineStr">
        <is>
          <t>avverkningsanmälan</t>
        </is>
      </c>
      <c r="C453" t="inlineStr">
        <is>
          <t>Föryngringsavverkning</t>
        </is>
      </c>
      <c r="D453" s="1" t="n">
        <v>46076</v>
      </c>
      <c r="E453" s="1" t="n">
        <v>46263</v>
      </c>
      <c r="F453" t="inlineStr">
        <is>
          <t>UPPSALA LÄN</t>
        </is>
      </c>
      <c r="G453" t="inlineStr">
        <is>
          <t>TIERP</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13687-2024</t>
        </is>
      </c>
      <c r="B454" t="inlineStr">
        <is>
          <t>avverkningsanmälan</t>
        </is>
      </c>
      <c r="C454" t="inlineStr">
        <is>
          <t>Föryngringsavverkning</t>
        </is>
      </c>
      <c r="D454" s="1" t="n">
        <v>45390</v>
      </c>
      <c r="E454" s="1" t="n">
        <v>46263</v>
      </c>
      <c r="F454" t="inlineStr">
        <is>
          <t>UPPSALA LÄN</t>
        </is>
      </c>
      <c r="G454" t="inlineStr">
        <is>
          <t>TIERP</t>
        </is>
      </c>
      <c r="H454" t="inlineStr">
        <is>
          <t>Bergvik skog väst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10945-2026</t>
        </is>
      </c>
      <c r="B455" t="inlineStr">
        <is>
          <t>avverkningsanmälan</t>
        </is>
      </c>
      <c r="C455" t="inlineStr">
        <is>
          <t>Föryngringsavverkning</t>
        </is>
      </c>
      <c r="D455" s="1" t="n">
        <v>46079</v>
      </c>
      <c r="E455" s="1" t="n">
        <v>46263</v>
      </c>
      <c r="F455" t="inlineStr">
        <is>
          <t>UPPSALA LÄN</t>
        </is>
      </c>
      <c r="G455" t="inlineStr">
        <is>
          <t>TIERP</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4139-2026</t>
        </is>
      </c>
      <c r="B456" t="inlineStr">
        <is>
          <t>avverkningsanmälan</t>
        </is>
      </c>
      <c r="C456" t="inlineStr">
        <is>
          <t>Föryngringsavverkning</t>
        </is>
      </c>
      <c r="D456" s="1" t="n">
        <v>46044</v>
      </c>
      <c r="E456" s="1" t="n">
        <v>46263</v>
      </c>
      <c r="F456" t="inlineStr">
        <is>
          <t>UPPSALA LÄN</t>
        </is>
      </c>
      <c r="G456" t="inlineStr">
        <is>
          <t>TIERP</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11774-2026</t>
        </is>
      </c>
      <c r="B457" t="inlineStr">
        <is>
          <t>avverkningsanmälan</t>
        </is>
      </c>
      <c r="C457" t="inlineStr">
        <is>
          <t>Föryngringsavverkning</t>
        </is>
      </c>
      <c r="D457" s="1" t="n">
        <v>46084</v>
      </c>
      <c r="E457" s="1" t="n">
        <v>46263</v>
      </c>
      <c r="F457" t="inlineStr">
        <is>
          <t>UPPSALA LÄN</t>
        </is>
      </c>
      <c r="G457" t="inlineStr">
        <is>
          <t>TIERP</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9195-2026</t>
        </is>
      </c>
      <c r="B458" t="inlineStr">
        <is>
          <t>avverkningsanmälan</t>
        </is>
      </c>
      <c r="C458" t="inlineStr">
        <is>
          <t>Föryngringsavverkning</t>
        </is>
      </c>
      <c r="D458" s="1" t="n">
        <v>46070</v>
      </c>
      <c r="E458" s="1" t="n">
        <v>46263</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44762-2023</t>
        </is>
      </c>
      <c r="B459" t="inlineStr">
        <is>
          <t>avverkningsanmälan</t>
        </is>
      </c>
      <c r="C459" t="inlineStr">
        <is>
          <t>Föryngringsavverkning</t>
        </is>
      </c>
      <c r="D459" s="1" t="n">
        <v>45190</v>
      </c>
      <c r="E459" s="1" t="n">
        <v>46263</v>
      </c>
      <c r="F459" t="inlineStr">
        <is>
          <t>UPPSALA LÄN</t>
        </is>
      </c>
      <c r="G459" t="inlineStr">
        <is>
          <t>TIERP</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11775-2026</t>
        </is>
      </c>
      <c r="B460" t="inlineStr">
        <is>
          <t>avverkningsanmälan</t>
        </is>
      </c>
      <c r="C460" t="inlineStr">
        <is>
          <t>Föryngringsavverkning</t>
        </is>
      </c>
      <c r="D460" s="1" t="n">
        <v>46084</v>
      </c>
      <c r="E460" s="1" t="n">
        <v>46263</v>
      </c>
      <c r="F460" t="inlineStr">
        <is>
          <t>UPPSALA LÄN</t>
        </is>
      </c>
      <c r="G460" t="inlineStr">
        <is>
          <t>TIERP</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6417-2026</t>
        </is>
      </c>
      <c r="B461" t="inlineStr">
        <is>
          <t>avverkningsanmälan</t>
        </is>
      </c>
      <c r="C461" t="inlineStr">
        <is>
          <t>Föryngringsavverkning</t>
        </is>
      </c>
      <c r="D461" s="1" t="n">
        <v>46055</v>
      </c>
      <c r="E461" s="1" t="n">
        <v>46263</v>
      </c>
      <c r="F461" t="inlineStr">
        <is>
          <t>UPPSALA LÄN</t>
        </is>
      </c>
      <c r="G461" t="inlineStr">
        <is>
          <t>TIERP</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55688-2024</t>
        </is>
      </c>
      <c r="B462" t="inlineStr">
        <is>
          <t>avverkningsanmälan</t>
        </is>
      </c>
      <c r="C462" t="inlineStr">
        <is>
          <t>Föryngringsavverkning</t>
        </is>
      </c>
      <c r="D462" s="1" t="n">
        <v>45622</v>
      </c>
      <c r="E462" s="1" t="n">
        <v>46263</v>
      </c>
      <c r="F462" t="inlineStr">
        <is>
          <t>UPPSALA LÄN</t>
        </is>
      </c>
      <c r="G462" t="inlineStr">
        <is>
          <t>TIERP</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14483-2024</t>
        </is>
      </c>
      <c r="B463" t="inlineStr">
        <is>
          <t>avverkningsanmälan</t>
        </is>
      </c>
      <c r="C463" t="inlineStr">
        <is>
          <t>Föryngringsavverkning</t>
        </is>
      </c>
      <c r="D463" s="1" t="n">
        <v>45394</v>
      </c>
      <c r="E463" s="1" t="n">
        <v>46263</v>
      </c>
      <c r="F463" t="inlineStr">
        <is>
          <t>UPPSALA LÄN</t>
        </is>
      </c>
      <c r="G463" t="inlineStr">
        <is>
          <t>TIERP</t>
        </is>
      </c>
      <c r="H463" t="inlineStr">
        <is>
          <t>Bergvik skog väst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58264-2024</t>
        </is>
      </c>
      <c r="B464" t="inlineStr">
        <is>
          <t>avverkningsanmälan</t>
        </is>
      </c>
      <c r="C464" t="inlineStr">
        <is>
          <t>Föryngringsavverkning</t>
        </is>
      </c>
      <c r="D464" s="1" t="n">
        <v>45632</v>
      </c>
      <c r="E464" s="1" t="n">
        <v>46263</v>
      </c>
      <c r="F464" t="inlineStr">
        <is>
          <t>UPPSALA LÄN</t>
        </is>
      </c>
      <c r="G464" t="inlineStr">
        <is>
          <t>TIERP</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28912-2023</t>
        </is>
      </c>
      <c r="B465" t="inlineStr">
        <is>
          <t>avverkningsanmälan</t>
        </is>
      </c>
      <c r="C465" t="inlineStr">
        <is>
          <t>Föryngringsavverkning</t>
        </is>
      </c>
      <c r="D465" s="1" t="n">
        <v>45104</v>
      </c>
      <c r="E465" s="1" t="n">
        <v>46263</v>
      </c>
      <c r="F465" t="inlineStr">
        <is>
          <t>UPPSALA LÄN</t>
        </is>
      </c>
      <c r="G465" t="inlineStr">
        <is>
          <t>TIERP</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40624-2023</t>
        </is>
      </c>
      <c r="B466" t="inlineStr">
        <is>
          <t>avverkningsanmälan</t>
        </is>
      </c>
      <c r="C466" t="inlineStr">
        <is>
          <t>Avverkning för att bevara och utveckla /försöksver</t>
        </is>
      </c>
      <c r="D466" s="1" t="n">
        <v>45170</v>
      </c>
      <c r="E466" s="1" t="n">
        <v>46263</v>
      </c>
      <c r="F466" t="inlineStr">
        <is>
          <t>UPPSALA LÄN</t>
        </is>
      </c>
      <c r="G466" t="inlineStr">
        <is>
          <t>TIERP</t>
        </is>
      </c>
      <c r="H466" t="inlineStr">
        <is>
          <t>Bergvik skog väst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12612-2026</t>
        </is>
      </c>
      <c r="B467" t="inlineStr">
        <is>
          <t>avverkningsanmälan</t>
        </is>
      </c>
      <c r="C467" t="inlineStr">
        <is>
          <t>Föryngringsavverkning</t>
        </is>
      </c>
      <c r="D467" s="1" t="n">
        <v>46091</v>
      </c>
      <c r="E467" s="1" t="n">
        <v>46263</v>
      </c>
      <c r="F467" t="inlineStr">
        <is>
          <t>UPPSALA LÄN</t>
        </is>
      </c>
      <c r="G467" t="inlineStr">
        <is>
          <t>TIERP</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11568-2025</t>
        </is>
      </c>
      <c r="B468" t="inlineStr">
        <is>
          <t>avverkningsanmälan</t>
        </is>
      </c>
      <c r="C468" t="inlineStr">
        <is>
          <t>Föryngringsavverkning</t>
        </is>
      </c>
      <c r="D468" s="1" t="n">
        <v>45727</v>
      </c>
      <c r="E468" s="1" t="n">
        <v>46263</v>
      </c>
      <c r="F468" t="inlineStr">
        <is>
          <t>UPPSALA LÄN</t>
        </is>
      </c>
      <c r="G468" t="inlineStr">
        <is>
          <t>TIERP</t>
        </is>
      </c>
      <c r="H468" t="inlineStr">
        <is>
          <t>Bergvik skog öst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7068-2022</t>
        </is>
      </c>
      <c r="B469" t="inlineStr">
        <is>
          <t>avverkningsanmälan</t>
        </is>
      </c>
      <c r="C469" t="inlineStr">
        <is>
          <t>Föryngringsavverkning</t>
        </is>
      </c>
      <c r="D469" s="1" t="n">
        <v>44603</v>
      </c>
      <c r="E469" s="1" t="n">
        <v>46263</v>
      </c>
      <c r="F469" t="inlineStr">
        <is>
          <t>UPPSALA LÄN</t>
        </is>
      </c>
      <c r="G469" t="inlineStr">
        <is>
          <t>TIERP</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44430-2023</t>
        </is>
      </c>
      <c r="B470" t="inlineStr">
        <is>
          <t>avverkningsanmälan</t>
        </is>
      </c>
      <c r="C470" t="inlineStr">
        <is>
          <t>Föryngringsavverkning</t>
        </is>
      </c>
      <c r="D470" s="1" t="n">
        <v>45189</v>
      </c>
      <c r="E470" s="1" t="n">
        <v>46263</v>
      </c>
      <c r="F470" t="inlineStr">
        <is>
          <t>UPPSALA LÄN</t>
        </is>
      </c>
      <c r="G470" t="inlineStr">
        <is>
          <t>TIERP</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13984-2026</t>
        </is>
      </c>
      <c r="B471" t="inlineStr">
        <is>
          <t>avverkningsanmälan</t>
        </is>
      </c>
      <c r="C471" t="inlineStr">
        <is>
          <t>Föryngringsavverkning</t>
        </is>
      </c>
      <c r="D471" s="1" t="n">
        <v>46098</v>
      </c>
      <c r="E471" s="1" t="n">
        <v>46263</v>
      </c>
      <c r="F471" t="inlineStr">
        <is>
          <t>UPPSALA LÄN</t>
        </is>
      </c>
      <c r="G471" t="inlineStr">
        <is>
          <t>TIERP</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13986-2026</t>
        </is>
      </c>
      <c r="B472" t="inlineStr">
        <is>
          <t>avverkningsanmälan</t>
        </is>
      </c>
      <c r="C472" t="inlineStr">
        <is>
          <t>Föryngringsavverkning</t>
        </is>
      </c>
      <c r="D472" s="1" t="n">
        <v>46098</v>
      </c>
      <c r="E472" s="1" t="n">
        <v>46263</v>
      </c>
      <c r="F472" t="inlineStr">
        <is>
          <t>UPPSALA LÄN</t>
        </is>
      </c>
      <c r="G472" t="inlineStr">
        <is>
          <t>TIERP</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14542-2026</t>
        </is>
      </c>
      <c r="B473" t="inlineStr">
        <is>
          <t>avverkningsanmälan</t>
        </is>
      </c>
      <c r="C473" t="inlineStr">
        <is>
          <t>Föryngringsavverkning</t>
        </is>
      </c>
      <c r="D473" s="1" t="n">
        <v>46100</v>
      </c>
      <c r="E473" s="1" t="n">
        <v>46263</v>
      </c>
      <c r="F473" t="inlineStr">
        <is>
          <t>UPPSALA LÄN</t>
        </is>
      </c>
      <c r="G473" t="inlineStr">
        <is>
          <t>TIERP</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14544-2026</t>
        </is>
      </c>
      <c r="B474" t="inlineStr">
        <is>
          <t>avverkningsanmälan</t>
        </is>
      </c>
      <c r="C474" t="inlineStr">
        <is>
          <t>Föryngringsavverkning</t>
        </is>
      </c>
      <c r="D474" s="1" t="n">
        <v>46100</v>
      </c>
      <c r="E474" s="1" t="n">
        <v>46263</v>
      </c>
      <c r="F474" t="inlineStr">
        <is>
          <t>UPPSALA LÄN</t>
        </is>
      </c>
      <c r="G474" t="inlineStr">
        <is>
          <t>TIERP</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14943-2026</t>
        </is>
      </c>
      <c r="B475" t="inlineStr">
        <is>
          <t>avverkningsanmälan</t>
        </is>
      </c>
      <c r="C475" t="inlineStr">
        <is>
          <t>Föryngringsavverkning</t>
        </is>
      </c>
      <c r="D475" s="1" t="n">
        <v>46104</v>
      </c>
      <c r="E475" s="1" t="n">
        <v>46263</v>
      </c>
      <c r="F475" t="inlineStr">
        <is>
          <t>UPPSALA LÄN</t>
        </is>
      </c>
      <c r="G475" t="inlineStr">
        <is>
          <t>TIERP</t>
        </is>
      </c>
      <c r="H475" t="inlineStr">
        <is>
          <t>Bergvik skog öst AB</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16020-2026</t>
        </is>
      </c>
      <c r="B476" t="inlineStr">
        <is>
          <t>avverkningsanmälan</t>
        </is>
      </c>
      <c r="C476" t="inlineStr">
        <is>
          <t>Föryngringsavverkning</t>
        </is>
      </c>
      <c r="D476" s="1" t="n">
        <v>46108</v>
      </c>
      <c r="E476" s="1" t="n">
        <v>46263</v>
      </c>
      <c r="F476" t="inlineStr">
        <is>
          <t>UPPSALA LÄN</t>
        </is>
      </c>
      <c r="G476" t="inlineStr">
        <is>
          <t>TIERP</t>
        </is>
      </c>
      <c r="H476" t="inlineStr">
        <is>
          <t>Bergvik skog öst AB</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15966-2026</t>
        </is>
      </c>
      <c r="B477" t="inlineStr">
        <is>
          <t>avverkningsanmälan</t>
        </is>
      </c>
      <c r="C477" t="inlineStr">
        <is>
          <t>Föryngringsavverkning</t>
        </is>
      </c>
      <c r="D477" s="1" t="n">
        <v>46108</v>
      </c>
      <c r="E477" s="1" t="n">
        <v>46263</v>
      </c>
      <c r="F477" t="inlineStr">
        <is>
          <t>UPPSALA LÄN</t>
        </is>
      </c>
      <c r="G477" t="inlineStr">
        <is>
          <t>TIERP</t>
        </is>
      </c>
      <c r="H477" t="inlineStr">
        <is>
          <t>Bergvik skog öst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12449-2022</t>
        </is>
      </c>
      <c r="B478" t="inlineStr">
        <is>
          <t>avverkningsanmälan</t>
        </is>
      </c>
      <c r="C478" t="inlineStr">
        <is>
          <t>Föryngringsavverkning</t>
        </is>
      </c>
      <c r="D478" s="1" t="n">
        <v>44638</v>
      </c>
      <c r="E478" s="1" t="n">
        <v>46263</v>
      </c>
      <c r="F478" t="inlineStr">
        <is>
          <t>UPPSALA LÄN</t>
        </is>
      </c>
      <c r="G478" t="inlineStr">
        <is>
          <t>TIERP</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20750-2023</t>
        </is>
      </c>
      <c r="B479" t="inlineStr">
        <is>
          <t>avverkningsanmälan</t>
        </is>
      </c>
      <c r="C479" t="inlineStr">
        <is>
          <t>Föryngringsavverkning</t>
        </is>
      </c>
      <c r="D479" s="1" t="n">
        <v>45058</v>
      </c>
      <c r="E479" s="1" t="n">
        <v>46263</v>
      </c>
      <c r="F479" t="inlineStr">
        <is>
          <t>UPPSALA LÄN</t>
        </is>
      </c>
      <c r="G479" t="inlineStr">
        <is>
          <t>TIERP</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15959-2026</t>
        </is>
      </c>
      <c r="B480" t="inlineStr">
        <is>
          <t>avverkningsanmälan</t>
        </is>
      </c>
      <c r="C480" t="inlineStr">
        <is>
          <t>Föryngringsavverkning</t>
        </is>
      </c>
      <c r="D480" s="1" t="n">
        <v>46108</v>
      </c>
      <c r="E480" s="1" t="n">
        <v>46263</v>
      </c>
      <c r="F480" t="inlineStr">
        <is>
          <t>UPPSALA LÄN</t>
        </is>
      </c>
      <c r="G480" t="inlineStr">
        <is>
          <t>TIERP</t>
        </is>
      </c>
      <c r="H480" t="inlineStr">
        <is>
          <t>Bergvik skog öst AB</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16217-2026</t>
        </is>
      </c>
      <c r="B481" t="inlineStr">
        <is>
          <t>avverkningsanmälan</t>
        </is>
      </c>
      <c r="C481" t="inlineStr">
        <is>
          <t>Föryngringsavverkning</t>
        </is>
      </c>
      <c r="D481" s="1" t="n">
        <v>46111</v>
      </c>
      <c r="E481" s="1" t="n">
        <v>46263</v>
      </c>
      <c r="F481" t="inlineStr">
        <is>
          <t>UPPSALA LÄN</t>
        </is>
      </c>
      <c r="G481" t="inlineStr">
        <is>
          <t>TIERP</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52380-2023</t>
        </is>
      </c>
      <c r="B482" t="inlineStr">
        <is>
          <t>avverkningsanmälan</t>
        </is>
      </c>
      <c r="C482" t="inlineStr">
        <is>
          <t>Föryngringsavverkning</t>
        </is>
      </c>
      <c r="D482" s="1" t="n">
        <v>45224</v>
      </c>
      <c r="E482" s="1" t="n">
        <v>46263</v>
      </c>
      <c r="F482" t="inlineStr">
        <is>
          <t>UPPSALA LÄN</t>
        </is>
      </c>
      <c r="G482" t="inlineStr">
        <is>
          <t>TIERP</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51756-2023</t>
        </is>
      </c>
      <c r="B483" t="inlineStr">
        <is>
          <t>avverkningsanmälan</t>
        </is>
      </c>
      <c r="C483" t="inlineStr">
        <is>
          <t>Föryngringsavverkning</t>
        </is>
      </c>
      <c r="D483" s="1" t="n">
        <v>45222</v>
      </c>
      <c r="E483" s="1" t="n">
        <v>46263</v>
      </c>
      <c r="F483" t="inlineStr">
        <is>
          <t>UPPSALA LÄN</t>
        </is>
      </c>
      <c r="G483" t="inlineStr">
        <is>
          <t>TIERP</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22901-2023</t>
        </is>
      </c>
      <c r="B484" t="inlineStr">
        <is>
          <t>avverkningsanmälan</t>
        </is>
      </c>
      <c r="C484" t="inlineStr">
        <is>
          <t>Avverkning för annat ändamål</t>
        </is>
      </c>
      <c r="D484" s="1" t="n">
        <v>45072</v>
      </c>
      <c r="E484" s="1" t="n">
        <v>46263</v>
      </c>
      <c r="F484" t="inlineStr">
        <is>
          <t>UPPSALA LÄN</t>
        </is>
      </c>
      <c r="G484" t="inlineStr">
        <is>
          <t>TIERP</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5170-2022</t>
        </is>
      </c>
      <c r="B485" t="inlineStr">
        <is>
          <t>avverkningsanmälan</t>
        </is>
      </c>
      <c r="C485" t="inlineStr">
        <is>
          <t>Föryngringsavverkning</t>
        </is>
      </c>
      <c r="D485" s="1" t="n">
        <v>44594</v>
      </c>
      <c r="E485" s="1" t="n">
        <v>46263</v>
      </c>
      <c r="F485" t="inlineStr">
        <is>
          <t>UPPSALA LÄN</t>
        </is>
      </c>
      <c r="G485" t="inlineStr">
        <is>
          <t>TIERP</t>
        </is>
      </c>
      <c r="H485" t="inlineStr">
        <is>
          <t>Bergvik skog öst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6254-2022</t>
        </is>
      </c>
      <c r="B486" t="inlineStr">
        <is>
          <t>avverkningsanmälan</t>
        </is>
      </c>
      <c r="C486" t="inlineStr">
        <is>
          <t>Föryngringsavverkning</t>
        </is>
      </c>
      <c r="D486" s="1" t="n">
        <v>44600</v>
      </c>
      <c r="E486" s="1" t="n">
        <v>46263</v>
      </c>
      <c r="F486" t="inlineStr">
        <is>
          <t>UPPSALA LÄN</t>
        </is>
      </c>
      <c r="G486" t="inlineStr">
        <is>
          <t>TIERP</t>
        </is>
      </c>
      <c r="H486" t="inlineStr">
        <is>
          <t>Bergvik skog öst AB</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17354-2026</t>
        </is>
      </c>
      <c r="B487" t="inlineStr">
        <is>
          <t>avverkningsanmälan</t>
        </is>
      </c>
      <c r="C487" t="inlineStr">
        <is>
          <t>Föryngringsavverkning</t>
        </is>
      </c>
      <c r="D487" s="1" t="n">
        <v>46119</v>
      </c>
      <c r="E487" s="1" t="n">
        <v>46263</v>
      </c>
      <c r="F487" t="inlineStr">
        <is>
          <t>UPPSALA LÄN</t>
        </is>
      </c>
      <c r="G487" t="inlineStr">
        <is>
          <t>TIERP</t>
        </is>
      </c>
      <c r="H487" t="inlineStr">
        <is>
          <t>Bergvik skog öst AB</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18559-2026</t>
        </is>
      </c>
      <c r="B488" t="inlineStr">
        <is>
          <t>avverkningsanmälan</t>
        </is>
      </c>
      <c r="C488" t="inlineStr">
        <is>
          <t>Föryngringsavverkning</t>
        </is>
      </c>
      <c r="D488" s="1" t="n">
        <v>46127</v>
      </c>
      <c r="E488" s="1" t="n">
        <v>46263</v>
      </c>
      <c r="F488" t="inlineStr">
        <is>
          <t>UPPSALA LÄN</t>
        </is>
      </c>
      <c r="G488" t="inlineStr">
        <is>
          <t>TIERP</t>
        </is>
      </c>
      <c r="H488" t="inlineStr">
        <is>
          <t>Bergvik skog öst AB</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18386-2026</t>
        </is>
      </c>
      <c r="B489" t="inlineStr">
        <is>
          <t>avverkningsanmälan</t>
        </is>
      </c>
      <c r="C489" t="inlineStr">
        <is>
          <t>Föryngringsavverkning</t>
        </is>
      </c>
      <c r="D489" s="1" t="n">
        <v>46126</v>
      </c>
      <c r="E489" s="1" t="n">
        <v>46263</v>
      </c>
      <c r="F489" t="inlineStr">
        <is>
          <t>UPPSALA LÄN</t>
        </is>
      </c>
      <c r="G489" t="inlineStr">
        <is>
          <t>TIERP</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18534-2026</t>
        </is>
      </c>
      <c r="B490" t="inlineStr">
        <is>
          <t>avverkningsanmälan</t>
        </is>
      </c>
      <c r="C490" t="inlineStr">
        <is>
          <t>Föryngringsavverkning</t>
        </is>
      </c>
      <c r="D490" s="1" t="n">
        <v>46127</v>
      </c>
      <c r="E490" s="1" t="n">
        <v>46263</v>
      </c>
      <c r="F490" t="inlineStr">
        <is>
          <t>UPPSALA LÄN</t>
        </is>
      </c>
      <c r="G490" t="inlineStr">
        <is>
          <t>TIERP</t>
        </is>
      </c>
      <c r="H490" t="inlineStr">
        <is>
          <t>Bergvik skog öst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18547-2026</t>
        </is>
      </c>
      <c r="B491" t="inlineStr">
        <is>
          <t>avverkningsanmälan</t>
        </is>
      </c>
      <c r="C491" t="inlineStr">
        <is>
          <t>Föryngringsavverkning</t>
        </is>
      </c>
      <c r="D491" s="1" t="n">
        <v>46127</v>
      </c>
      <c r="E491" s="1" t="n">
        <v>46263</v>
      </c>
      <c r="F491" t="inlineStr">
        <is>
          <t>UPPSALA LÄN</t>
        </is>
      </c>
      <c r="G491" t="inlineStr">
        <is>
          <t>TIERP</t>
        </is>
      </c>
      <c r="H491" t="inlineStr">
        <is>
          <t>Bergvik skog öst AB</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18498-2026</t>
        </is>
      </c>
      <c r="B492" t="inlineStr">
        <is>
          <t>avverkningsanmälan</t>
        </is>
      </c>
      <c r="C492" t="inlineStr">
        <is>
          <t>Föryngringsavverkning</t>
        </is>
      </c>
      <c r="D492" s="1" t="n">
        <v>46127</v>
      </c>
      <c r="E492" s="1" t="n">
        <v>46263</v>
      </c>
      <c r="F492" t="inlineStr">
        <is>
          <t>UPPSALA LÄN</t>
        </is>
      </c>
      <c r="G492" t="inlineStr">
        <is>
          <t>TIERP</t>
        </is>
      </c>
      <c r="H492" t="inlineStr">
        <is>
          <t>Bergvik skog öst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2676-2024</t>
        </is>
      </c>
      <c r="B493" t="inlineStr">
        <is>
          <t>avverkningsanmälan</t>
        </is>
      </c>
      <c r="C493" t="inlineStr">
        <is>
          <t>Föryngringsavverkning</t>
        </is>
      </c>
      <c r="D493" s="1" t="n">
        <v>45314</v>
      </c>
      <c r="E493" s="1" t="n">
        <v>46263</v>
      </c>
      <c r="F493" t="inlineStr">
        <is>
          <t>UPPSALA LÄN</t>
        </is>
      </c>
      <c r="G493" t="inlineStr">
        <is>
          <t>TIERP</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18130-2022</t>
        </is>
      </c>
      <c r="B494" t="inlineStr">
        <is>
          <t>avverkningsanmälan</t>
        </is>
      </c>
      <c r="C494" t="inlineStr">
        <is>
          <t>Föryngringsavverkning</t>
        </is>
      </c>
      <c r="D494" s="1" t="n">
        <v>44684</v>
      </c>
      <c r="E494" s="1" t="n">
        <v>46263</v>
      </c>
      <c r="F494" t="inlineStr">
        <is>
          <t>UPPSALA LÄN</t>
        </is>
      </c>
      <c r="G494" t="inlineStr">
        <is>
          <t>TIERP</t>
        </is>
      </c>
      <c r="I494" t="n">
        <v>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18165-2026</t>
        </is>
      </c>
      <c r="B495" t="inlineStr">
        <is>
          <t>avverkningsanmälan</t>
        </is>
      </c>
      <c r="C495" t="inlineStr">
        <is>
          <t>Föryngringsavverkning</t>
        </is>
      </c>
      <c r="D495" s="1" t="n">
        <v>46125</v>
      </c>
      <c r="E495" s="1" t="n">
        <v>46263</v>
      </c>
      <c r="F495" t="inlineStr">
        <is>
          <t>UPPSALA LÄN</t>
        </is>
      </c>
      <c r="G495" t="inlineStr">
        <is>
          <t>TIERP</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16253-2022</t>
        </is>
      </c>
      <c r="B496" t="inlineStr">
        <is>
          <t>avverkningsanmälan</t>
        </is>
      </c>
      <c r="C496" t="inlineStr">
        <is>
          <t>Föryngringsavverkning</t>
        </is>
      </c>
      <c r="D496" s="1" t="n">
        <v>44670</v>
      </c>
      <c r="E496" s="1" t="n">
        <v>46263</v>
      </c>
      <c r="F496" t="inlineStr">
        <is>
          <t>UPPSALA LÄN</t>
        </is>
      </c>
      <c r="G496" t="inlineStr">
        <is>
          <t>TIERP</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19665-2026</t>
        </is>
      </c>
      <c r="B497" t="inlineStr">
        <is>
          <t>avverkningsanmälan</t>
        </is>
      </c>
      <c r="C497" t="inlineStr">
        <is>
          <t>Föryngringsavverkning</t>
        </is>
      </c>
      <c r="D497" s="1" t="n">
        <v>46134</v>
      </c>
      <c r="E497" s="1" t="n">
        <v>46263</v>
      </c>
      <c r="F497" t="inlineStr">
        <is>
          <t>UPPSALA LÄN</t>
        </is>
      </c>
      <c r="G497" t="inlineStr">
        <is>
          <t>TIERP</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19696-2026</t>
        </is>
      </c>
      <c r="B498" t="inlineStr">
        <is>
          <t>avverkningsanmälan</t>
        </is>
      </c>
      <c r="C498" t="inlineStr">
        <is>
          <t>Föryngringsavverkning</t>
        </is>
      </c>
      <c r="D498" s="1" t="n">
        <v>46134</v>
      </c>
      <c r="E498" s="1" t="n">
        <v>46263</v>
      </c>
      <c r="F498" t="inlineStr">
        <is>
          <t>UPPSALA LÄN</t>
        </is>
      </c>
      <c r="G498" t="inlineStr">
        <is>
          <t>TIERP</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19697-2026</t>
        </is>
      </c>
      <c r="B499" t="inlineStr">
        <is>
          <t>avverkningsanmälan</t>
        </is>
      </c>
      <c r="C499" t="inlineStr">
        <is>
          <t>Föryngringsavverkning</t>
        </is>
      </c>
      <c r="D499" s="1" t="n">
        <v>46134</v>
      </c>
      <c r="E499" s="1" t="n">
        <v>46263</v>
      </c>
      <c r="F499" t="inlineStr">
        <is>
          <t>UPPSALA LÄN</t>
        </is>
      </c>
      <c r="G499" t="inlineStr">
        <is>
          <t>TIERP</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19698-2026</t>
        </is>
      </c>
      <c r="B500" t="inlineStr">
        <is>
          <t>avverkningsanmälan</t>
        </is>
      </c>
      <c r="C500" t="inlineStr">
        <is>
          <t>Föryngringsavverkning</t>
        </is>
      </c>
      <c r="D500" s="1" t="n">
        <v>46134</v>
      </c>
      <c r="E500" s="1" t="n">
        <v>46263</v>
      </c>
      <c r="F500" t="inlineStr">
        <is>
          <t>UPPSALA LÄN</t>
        </is>
      </c>
      <c r="G500" t="inlineStr">
        <is>
          <t>TIERP</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19678-2026</t>
        </is>
      </c>
      <c r="B501" t="inlineStr">
        <is>
          <t>avverkningsanmälan</t>
        </is>
      </c>
      <c r="C501" t="inlineStr">
        <is>
          <t>Föryngringsavverkning</t>
        </is>
      </c>
      <c r="D501" s="1" t="n">
        <v>46134</v>
      </c>
      <c r="E501" s="1" t="n">
        <v>46263</v>
      </c>
      <c r="F501" t="inlineStr">
        <is>
          <t>UPPSALA LÄN</t>
        </is>
      </c>
      <c r="G501" t="inlineStr">
        <is>
          <t>TIERP</t>
        </is>
      </c>
      <c r="H501" t="inlineStr">
        <is>
          <t>Bergvik skog öst AB</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19699-2026</t>
        </is>
      </c>
      <c r="B502" t="inlineStr">
        <is>
          <t>avverkningsanmälan</t>
        </is>
      </c>
      <c r="C502" t="inlineStr">
        <is>
          <t>Föryngringsavverkning</t>
        </is>
      </c>
      <c r="D502" s="1" t="n">
        <v>46134</v>
      </c>
      <c r="E502" s="1" t="n">
        <v>46263</v>
      </c>
      <c r="F502" t="inlineStr">
        <is>
          <t>UPPSALA LÄN</t>
        </is>
      </c>
      <c r="G502" t="inlineStr">
        <is>
          <t>TIERP</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14116-2024</t>
        </is>
      </c>
      <c r="B503" t="inlineStr">
        <is>
          <t>avverkningsanmälan</t>
        </is>
      </c>
      <c r="C503" t="inlineStr">
        <is>
          <t>Föryngringsavverkning</t>
        </is>
      </c>
      <c r="D503" s="1" t="n">
        <v>45392</v>
      </c>
      <c r="E503" s="1" t="n">
        <v>46263</v>
      </c>
      <c r="F503" t="inlineStr">
        <is>
          <t>UPPSALA LÄN</t>
        </is>
      </c>
      <c r="G503" t="inlineStr">
        <is>
          <t>TIERP</t>
        </is>
      </c>
      <c r="H503" t="inlineStr">
        <is>
          <t>Bergvik skog öst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26556-2025</t>
        </is>
      </c>
      <c r="B504" t="inlineStr">
        <is>
          <t>avverkningsanmälan</t>
        </is>
      </c>
      <c r="C504" t="inlineStr">
        <is>
          <t>Föryngringsavverkning</t>
        </is>
      </c>
      <c r="D504" s="1" t="n">
        <v>45807</v>
      </c>
      <c r="E504" s="1" t="n">
        <v>46263</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14516-2025</t>
        </is>
      </c>
      <c r="B505" t="inlineStr">
        <is>
          <t>avverkningsanmälan</t>
        </is>
      </c>
      <c r="C505" t="inlineStr">
        <is>
          <t>Föryngringsavverkning</t>
        </is>
      </c>
      <c r="D505" s="1" t="n">
        <v>45741</v>
      </c>
      <c r="E505" s="1" t="n">
        <v>46263</v>
      </c>
      <c r="F505" t="inlineStr">
        <is>
          <t>UPPSALA LÄN</t>
        </is>
      </c>
      <c r="G505" t="inlineStr">
        <is>
          <t>TIERP</t>
        </is>
      </c>
      <c r="H505" t="inlineStr">
        <is>
          <t>Bergvik skog väst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29282-2025</t>
        </is>
      </c>
      <c r="B506" t="inlineStr">
        <is>
          <t>avverkningsanmälan</t>
        </is>
      </c>
      <c r="C506" t="inlineStr">
        <is>
          <t>Föryngringsavverkning</t>
        </is>
      </c>
      <c r="D506" s="1" t="n">
        <v>45824</v>
      </c>
      <c r="E506" s="1" t="n">
        <v>46263</v>
      </c>
      <c r="F506" t="inlineStr">
        <is>
          <t>UPPSALA LÄN</t>
        </is>
      </c>
      <c r="G506" t="inlineStr">
        <is>
          <t>TIERP</t>
        </is>
      </c>
      <c r="H506" t="inlineStr">
        <is>
          <t>Bergvik skog väst AB</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39928-2023</t>
        </is>
      </c>
      <c r="B507" t="inlineStr">
        <is>
          <t>avverkningsanmälan</t>
        </is>
      </c>
      <c r="C507" t="inlineStr">
        <is>
          <t>Föryngringsavverkning</t>
        </is>
      </c>
      <c r="D507" s="1" t="n">
        <v>45167</v>
      </c>
      <c r="E507" s="1" t="n">
        <v>46263</v>
      </c>
      <c r="F507" t="inlineStr">
        <is>
          <t>UPPSALA LÄN</t>
        </is>
      </c>
      <c r="G507" t="inlineStr">
        <is>
          <t>TIERP</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39802-2022</t>
        </is>
      </c>
      <c r="B508" t="inlineStr">
        <is>
          <t>avverkningsanmälan</t>
        </is>
      </c>
      <c r="C508" t="inlineStr">
        <is>
          <t>Föryngringsavverkning</t>
        </is>
      </c>
      <c r="D508" s="1" t="n">
        <v>44819</v>
      </c>
      <c r="E508" s="1" t="n">
        <v>46263</v>
      </c>
      <c r="F508" t="inlineStr">
        <is>
          <t>UPPSALA LÄN</t>
        </is>
      </c>
      <c r="G508" t="inlineStr">
        <is>
          <t>TIERP</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25476-2022</t>
        </is>
      </c>
      <c r="B509" t="inlineStr">
        <is>
          <t>avverkningsanmälan</t>
        </is>
      </c>
      <c r="C509" t="inlineStr">
        <is>
          <t>Föryngringsavverkning</t>
        </is>
      </c>
      <c r="D509" s="1" t="n">
        <v>44732</v>
      </c>
      <c r="E509" s="1" t="n">
        <v>46263</v>
      </c>
      <c r="F509" t="inlineStr">
        <is>
          <t>UPPSALA LÄN</t>
        </is>
      </c>
      <c r="G509" t="inlineStr">
        <is>
          <t>TIERP</t>
        </is>
      </c>
      <c r="H509" t="inlineStr">
        <is>
          <t>Bergvik skog öst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34455-2025</t>
        </is>
      </c>
      <c r="B510" t="inlineStr">
        <is>
          <t>avverkningsanmälan</t>
        </is>
      </c>
      <c r="C510" t="inlineStr">
        <is>
          <t>Föryngringsavverkning</t>
        </is>
      </c>
      <c r="D510" s="1" t="n">
        <v>45847</v>
      </c>
      <c r="E510" s="1" t="n">
        <v>46263</v>
      </c>
      <c r="F510" t="inlineStr">
        <is>
          <t>UPPSALA LÄN</t>
        </is>
      </c>
      <c r="G510" t="inlineStr">
        <is>
          <t>TIERP</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19523-2025</t>
        </is>
      </c>
      <c r="B511" t="inlineStr">
        <is>
          <t>avverkningsanmälan</t>
        </is>
      </c>
      <c r="C511" t="inlineStr">
        <is>
          <t>Föryngringsavverkning</t>
        </is>
      </c>
      <c r="D511" s="1" t="n">
        <v>45770</v>
      </c>
      <c r="E511" s="1" t="n">
        <v>46263</v>
      </c>
      <c r="F511" t="inlineStr">
        <is>
          <t>UPPSALA LÄN</t>
        </is>
      </c>
      <c r="G511" t="inlineStr">
        <is>
          <t>TIERP</t>
        </is>
      </c>
      <c r="H511" t="inlineStr">
        <is>
          <t>Bergvik skog öst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56946-2023</t>
        </is>
      </c>
      <c r="B512" t="inlineStr">
        <is>
          <t>avverkningsanmälan</t>
        </is>
      </c>
      <c r="C512" t="inlineStr">
        <is>
          <t>Föryngringsavverkning</t>
        </is>
      </c>
      <c r="D512" s="1" t="n">
        <v>45244</v>
      </c>
      <c r="E512" s="1" t="n">
        <v>46263</v>
      </c>
      <c r="F512" t="inlineStr">
        <is>
          <t>UPPSALA LÄN</t>
        </is>
      </c>
      <c r="G512" t="inlineStr">
        <is>
          <t>TIERP</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48735-2023</t>
        </is>
      </c>
      <c r="B513" t="inlineStr">
        <is>
          <t>avverkningsanmälan</t>
        </is>
      </c>
      <c r="C513" t="inlineStr">
        <is>
          <t>Föryngringsavverkning</t>
        </is>
      </c>
      <c r="D513" s="1" t="n">
        <v>45203</v>
      </c>
      <c r="E513" s="1" t="n">
        <v>46263</v>
      </c>
      <c r="F513" t="inlineStr">
        <is>
          <t>UPPSALA LÄN</t>
        </is>
      </c>
      <c r="G513" t="inlineStr">
        <is>
          <t>TIERP</t>
        </is>
      </c>
      <c r="H513" t="inlineStr">
        <is>
          <t>Bergvik skog väst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15655-2025</t>
        </is>
      </c>
      <c r="B514" t="inlineStr">
        <is>
          <t>avverkningsanmälan</t>
        </is>
      </c>
      <c r="C514" t="inlineStr">
        <is>
          <t>Föryngringsavverkning</t>
        </is>
      </c>
      <c r="D514" s="1" t="n">
        <v>45748</v>
      </c>
      <c r="E514" s="1" t="n">
        <v>46263</v>
      </c>
      <c r="F514" t="inlineStr">
        <is>
          <t>UPPSALA LÄN</t>
        </is>
      </c>
      <c r="G514" t="inlineStr">
        <is>
          <t>TIERP</t>
        </is>
      </c>
      <c r="H514" t="inlineStr">
        <is>
          <t>Kyrkan</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43605-2023</t>
        </is>
      </c>
      <c r="B515" t="inlineStr">
        <is>
          <t>avverkningsanmälan</t>
        </is>
      </c>
      <c r="C515" t="inlineStr">
        <is>
          <t>Föryngringsavverkning</t>
        </is>
      </c>
      <c r="D515" s="1" t="n">
        <v>45181</v>
      </c>
      <c r="E515" s="1" t="n">
        <v>46263</v>
      </c>
      <c r="F515" t="inlineStr">
        <is>
          <t>UPPSALA LÄN</t>
        </is>
      </c>
      <c r="G515" t="inlineStr">
        <is>
          <t>TIERP</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36561-2022</t>
        </is>
      </c>
      <c r="B516" t="inlineStr">
        <is>
          <t>avverkningsanmälan</t>
        </is>
      </c>
      <c r="C516" t="inlineStr">
        <is>
          <t>Föryngringsavverkning</t>
        </is>
      </c>
      <c r="D516" s="1" t="n">
        <v>44804</v>
      </c>
      <c r="E516" s="1" t="n">
        <v>46263</v>
      </c>
      <c r="F516" t="inlineStr">
        <is>
          <t>UPPSALA LÄN</t>
        </is>
      </c>
      <c r="G516" t="inlineStr">
        <is>
          <t>TIERP</t>
        </is>
      </c>
      <c r="I516" t="n">
        <v>0.3</v>
      </c>
      <c r="J516" t="n">
        <v>0</v>
      </c>
      <c r="K516" t="n">
        <v>0</v>
      </c>
      <c r="L516" t="n">
        <v>0</v>
      </c>
      <c r="M516" t="n">
        <v>0</v>
      </c>
      <c r="N516" t="n">
        <v>0</v>
      </c>
      <c r="O516" t="n">
        <v>0</v>
      </c>
      <c r="P516" t="n">
        <v>0</v>
      </c>
      <c r="Q516" t="n">
        <v>0</v>
      </c>
      <c r="R516" t="n">
        <v>0</v>
      </c>
      <c r="S516" t="n">
        <v>0</v>
      </c>
      <c r="T516" t="n">
        <v>0</v>
      </c>
      <c r="U516" t="n">
        <v>0</v>
      </c>
      <c r="V516" s="2" t="inlineStr"/>
      <c r="X516">
        <f>HYPERLINK("https://klasma.github.io/Logging_0360/kartor/A 36561-2022 karta.png", "A 36561-2022")</f>
        <v/>
      </c>
      <c r="Y516">
        <f>HYPERLINK("https://klasma.github.io/Logging_0360/kartor_geotiff/A 36561-2022 georefererad karta.tif", "A 36561-2022")</f>
        <v/>
      </c>
      <c r="AA516">
        <f>HYPERLINK("https://klasma.github.io/Logging_0360/klagomål/A 36561-2022 FSC-klagomål.docx", "A 36561-2022")</f>
        <v/>
      </c>
      <c r="AB516">
        <f>HYPERLINK("https://klasma.github.io/Logging_0360/klagomålsmail/A 36561-2022 FSC-klagomål mail.docx", "A 36561-2022")</f>
        <v/>
      </c>
      <c r="AC516">
        <f>HYPERLINK("https://klasma.github.io/Logging_0360/tillsyn/A 36561-2022 tillsynsbegäran.docx", "A 36561-2022")</f>
        <v/>
      </c>
      <c r="AD516">
        <f>HYPERLINK("https://klasma.github.io/Logging_0360/tillsynsmail/A 36561-2022 tillsynsbegäran mail.docx", "A 36561-2022")</f>
        <v/>
      </c>
    </row>
    <row r="517" ht="15" customHeight="1">
      <c r="A517" t="inlineStr">
        <is>
          <t>A 26656-2022</t>
        </is>
      </c>
      <c r="B517" t="inlineStr">
        <is>
          <t>avverkningsanmälan</t>
        </is>
      </c>
      <c r="C517" t="inlineStr">
        <is>
          <t>Föryngringsavverkning</t>
        </is>
      </c>
      <c r="D517" s="1" t="n">
        <v>44739</v>
      </c>
      <c r="E517" s="1" t="n">
        <v>46263</v>
      </c>
      <c r="F517" t="inlineStr">
        <is>
          <t>UPPSALA LÄN</t>
        </is>
      </c>
      <c r="G517" t="inlineStr">
        <is>
          <t>TIERP</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27382-2025</t>
        </is>
      </c>
      <c r="B518" t="inlineStr">
        <is>
          <t>avverkningsanmälan</t>
        </is>
      </c>
      <c r="C518" t="inlineStr">
        <is>
          <t>Föryngringsavverkning</t>
        </is>
      </c>
      <c r="D518" s="1" t="n">
        <v>45812</v>
      </c>
      <c r="E518" s="1" t="n">
        <v>46263</v>
      </c>
      <c r="F518" t="inlineStr">
        <is>
          <t>UPPSALA LÄN</t>
        </is>
      </c>
      <c r="G518" t="inlineStr">
        <is>
          <t>TIERP</t>
        </is>
      </c>
      <c r="H518" t="inlineStr">
        <is>
          <t>Bergvik skog väst AB</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10550-2024</t>
        </is>
      </c>
      <c r="B519" t="inlineStr">
        <is>
          <t>avverkningsanmälan</t>
        </is>
      </c>
      <c r="C519" t="inlineStr">
        <is>
          <t>Föryngringsavverkning</t>
        </is>
      </c>
      <c r="D519" s="1" t="n">
        <v>45366</v>
      </c>
      <c r="E519" s="1" t="n">
        <v>46263</v>
      </c>
      <c r="F519" t="inlineStr">
        <is>
          <t>UPPSALA LÄN</t>
        </is>
      </c>
      <c r="G519" t="inlineStr">
        <is>
          <t>TIERP</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51331-2025</t>
        </is>
      </c>
      <c r="B520" t="inlineStr">
        <is>
          <t>avverkningsanmälan</t>
        </is>
      </c>
      <c r="C520" t="inlineStr">
        <is>
          <t>Föryngringsavverkning</t>
        </is>
      </c>
      <c r="D520" s="1" t="n">
        <v>45950</v>
      </c>
      <c r="E520" s="1" t="n">
        <v>46263</v>
      </c>
      <c r="F520" t="inlineStr">
        <is>
          <t>UPPSALA LÄN</t>
        </is>
      </c>
      <c r="G520" t="inlineStr">
        <is>
          <t>TIERP</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3503-2024</t>
        </is>
      </c>
      <c r="B521" t="inlineStr">
        <is>
          <t>avverkningsanmälan</t>
        </is>
      </c>
      <c r="C521" t="inlineStr">
        <is>
          <t>Föryngringsavverkning</t>
        </is>
      </c>
      <c r="D521" s="1" t="n">
        <v>45320</v>
      </c>
      <c r="E521" s="1" t="n">
        <v>46263</v>
      </c>
      <c r="F521" t="inlineStr">
        <is>
          <t>UPPSALA LÄN</t>
        </is>
      </c>
      <c r="G521" t="inlineStr">
        <is>
          <t>TIERP</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26040-2025</t>
        </is>
      </c>
      <c r="B522" t="inlineStr">
        <is>
          <t>avverkningsanmälan</t>
        </is>
      </c>
      <c r="C522" t="inlineStr">
        <is>
          <t>Föryngringsavverkning</t>
        </is>
      </c>
      <c r="D522" s="1" t="n">
        <v>45804</v>
      </c>
      <c r="E522" s="1" t="n">
        <v>46263</v>
      </c>
      <c r="F522" t="inlineStr">
        <is>
          <t>UPPSALA LÄN</t>
        </is>
      </c>
      <c r="G522" t="inlineStr">
        <is>
          <t>TIERP</t>
        </is>
      </c>
      <c r="H522" t="inlineStr">
        <is>
          <t>Bergvik skog öst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59575-2025</t>
        </is>
      </c>
      <c r="B523" t="inlineStr">
        <is>
          <t>avverkningsanmälan</t>
        </is>
      </c>
      <c r="C523" t="inlineStr">
        <is>
          <t>Föryngringsavverkning</t>
        </is>
      </c>
      <c r="D523" s="1" t="n">
        <v>45992</v>
      </c>
      <c r="E523" s="1" t="n">
        <v>46263</v>
      </c>
      <c r="F523" t="inlineStr">
        <is>
          <t>UPPSALA LÄN</t>
        </is>
      </c>
      <c r="G523" t="inlineStr">
        <is>
          <t>TIERP</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35112-2025</t>
        </is>
      </c>
      <c r="B524" t="inlineStr">
        <is>
          <t>avverkningsanmälan</t>
        </is>
      </c>
      <c r="C524" t="inlineStr">
        <is>
          <t>Föryngringsavverkning</t>
        </is>
      </c>
      <c r="D524" s="1" t="n">
        <v>45852</v>
      </c>
      <c r="E524" s="1" t="n">
        <v>46263</v>
      </c>
      <c r="F524" t="inlineStr">
        <is>
          <t>UPPSALA LÄN</t>
        </is>
      </c>
      <c r="G524" t="inlineStr">
        <is>
          <t>TIERP</t>
        </is>
      </c>
      <c r="H524" t="inlineStr">
        <is>
          <t>Bergvik skog väst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48523-2025</t>
        </is>
      </c>
      <c r="B525" t="inlineStr">
        <is>
          <t>avverkningsanmälan</t>
        </is>
      </c>
      <c r="C525" t="inlineStr">
        <is>
          <t>Föryngringsavverkning</t>
        </is>
      </c>
      <c r="D525" s="1" t="n">
        <v>45936</v>
      </c>
      <c r="E525" s="1" t="n">
        <v>46263</v>
      </c>
      <c r="F525" t="inlineStr">
        <is>
          <t>UPPSALA LÄN</t>
        </is>
      </c>
      <c r="G525" t="inlineStr">
        <is>
          <t>TIERP</t>
        </is>
      </c>
      <c r="H525" t="inlineStr">
        <is>
          <t>Bergvik skog väst AB</t>
        </is>
      </c>
      <c r="I525" t="n">
        <v>16.4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20296-2026</t>
        </is>
      </c>
      <c r="B526" t="inlineStr">
        <is>
          <t>avverkningsanmälan</t>
        </is>
      </c>
      <c r="C526" t="inlineStr">
        <is>
          <t>Föryngringsavverkning</t>
        </is>
      </c>
      <c r="D526" s="1" t="n">
        <v>46139</v>
      </c>
      <c r="E526" s="1" t="n">
        <v>46263</v>
      </c>
      <c r="F526" t="inlineStr">
        <is>
          <t>UPPSALA LÄN</t>
        </is>
      </c>
      <c r="G526" t="inlineStr">
        <is>
          <t>TIERP</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32190-2022</t>
        </is>
      </c>
      <c r="B527" t="inlineStr">
        <is>
          <t>avverkningsanmälan</t>
        </is>
      </c>
      <c r="C527" t="inlineStr">
        <is>
          <t>Föryngringsavverkning</t>
        </is>
      </c>
      <c r="D527" s="1" t="n">
        <v>44781</v>
      </c>
      <c r="E527" s="1" t="n">
        <v>46263</v>
      </c>
      <c r="F527" t="inlineStr">
        <is>
          <t>UPPSALA LÄN</t>
        </is>
      </c>
      <c r="G527" t="inlineStr">
        <is>
          <t>TIERP</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63649-2023</t>
        </is>
      </c>
      <c r="B528" t="inlineStr">
        <is>
          <t>avverkningsanmälan</t>
        </is>
      </c>
      <c r="C528" t="inlineStr">
        <is>
          <t>Föryngringsavverkning</t>
        </is>
      </c>
      <c r="D528" s="1" t="n">
        <v>45275</v>
      </c>
      <c r="E528" s="1" t="n">
        <v>46263</v>
      </c>
      <c r="F528" t="inlineStr">
        <is>
          <t>UPPSALA LÄN</t>
        </is>
      </c>
      <c r="G528" t="inlineStr">
        <is>
          <t>TIERP</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13509-2025</t>
        </is>
      </c>
      <c r="B529" t="inlineStr">
        <is>
          <t>avverkningsanmälan</t>
        </is>
      </c>
      <c r="C529" t="inlineStr">
        <is>
          <t>Avverkning för annat ändamål</t>
        </is>
      </c>
      <c r="D529" s="1" t="n">
        <v>45736</v>
      </c>
      <c r="E529" s="1" t="n">
        <v>46263</v>
      </c>
      <c r="F529" t="inlineStr">
        <is>
          <t>UPPSALA LÄN</t>
        </is>
      </c>
      <c r="G529" t="inlineStr">
        <is>
          <t>TIERP</t>
        </is>
      </c>
      <c r="H529" t="inlineStr">
        <is>
          <t>Bergvik skog väst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44505-2023</t>
        </is>
      </c>
      <c r="B530" t="inlineStr">
        <is>
          <t>avverkningsanmälan</t>
        </is>
      </c>
      <c r="C530" t="inlineStr">
        <is>
          <t>Föryngringsavverkning</t>
        </is>
      </c>
      <c r="D530" s="1" t="n">
        <v>45184</v>
      </c>
      <c r="E530" s="1" t="n">
        <v>46263</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36420-2025</t>
        </is>
      </c>
      <c r="B531" t="inlineStr">
        <is>
          <t>avverkningsanmälan</t>
        </is>
      </c>
      <c r="C531" t="inlineStr">
        <is>
          <t>Föryngringsavverkning</t>
        </is>
      </c>
      <c r="D531" s="1" t="n">
        <v>45868</v>
      </c>
      <c r="E531" s="1" t="n">
        <v>46263</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35105-2025</t>
        </is>
      </c>
      <c r="B532" t="inlineStr">
        <is>
          <t>avverkningsanmälan</t>
        </is>
      </c>
      <c r="C532" t="inlineStr">
        <is>
          <t>Föryngringsavverkning</t>
        </is>
      </c>
      <c r="D532" s="1" t="n">
        <v>45852</v>
      </c>
      <c r="E532" s="1" t="n">
        <v>46263</v>
      </c>
      <c r="F532" t="inlineStr">
        <is>
          <t>UPPSALA LÄN</t>
        </is>
      </c>
      <c r="G532" t="inlineStr">
        <is>
          <t>TIERP</t>
        </is>
      </c>
      <c r="H532" t="inlineStr">
        <is>
          <t>Bergvik skog väst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13214-2025</t>
        </is>
      </c>
      <c r="B533" t="inlineStr">
        <is>
          <t>avverkningsanmälan</t>
        </is>
      </c>
      <c r="C533" t="inlineStr">
        <is>
          <t>Föryngringsavverkning</t>
        </is>
      </c>
      <c r="D533" s="1" t="n">
        <v>45735</v>
      </c>
      <c r="E533" s="1" t="n">
        <v>46263</v>
      </c>
      <c r="F533" t="inlineStr">
        <is>
          <t>UPPSALA LÄN</t>
        </is>
      </c>
      <c r="G533" t="inlineStr">
        <is>
          <t>TIERP</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408-2024</t>
        </is>
      </c>
      <c r="B534" t="inlineStr">
        <is>
          <t>avverkningsanmälan</t>
        </is>
      </c>
      <c r="C534" t="inlineStr">
        <is>
          <t>Föryngringsavverkning</t>
        </is>
      </c>
      <c r="D534" s="1" t="n">
        <v>45296</v>
      </c>
      <c r="E534" s="1" t="n">
        <v>46263</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59597-2024</t>
        </is>
      </c>
      <c r="B535" t="inlineStr">
        <is>
          <t>avverkningsanmälan</t>
        </is>
      </c>
      <c r="C535" t="inlineStr">
        <is>
          <t>Föryngringsavverkning</t>
        </is>
      </c>
      <c r="D535" s="1" t="n">
        <v>45638</v>
      </c>
      <c r="E535" s="1" t="n">
        <v>46263</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13356-2024</t>
        </is>
      </c>
      <c r="B536" t="inlineStr">
        <is>
          <t>avverkningsanmälan</t>
        </is>
      </c>
      <c r="C536" t="inlineStr">
        <is>
          <t>Föryngringsavverkning</t>
        </is>
      </c>
      <c r="D536" s="1" t="n">
        <v>45387</v>
      </c>
      <c r="E536" s="1" t="n">
        <v>46263</v>
      </c>
      <c r="F536" t="inlineStr">
        <is>
          <t>UPPSALA LÄN</t>
        </is>
      </c>
      <c r="G536" t="inlineStr">
        <is>
          <t>TIERP</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31549-2025</t>
        </is>
      </c>
      <c r="B537" t="inlineStr">
        <is>
          <t>avverkningsanmälan</t>
        </is>
      </c>
      <c r="C537" t="inlineStr">
        <is>
          <t>Föryngringsavverkning</t>
        </is>
      </c>
      <c r="D537" s="1" t="n">
        <v>45833</v>
      </c>
      <c r="E537" s="1" t="n">
        <v>46263</v>
      </c>
      <c r="F537" t="inlineStr">
        <is>
          <t>UPPSALA LÄN</t>
        </is>
      </c>
      <c r="G537" t="inlineStr">
        <is>
          <t>TIERP</t>
        </is>
      </c>
      <c r="H537" t="inlineStr">
        <is>
          <t>Bergvik skog öst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49946-2022</t>
        </is>
      </c>
      <c r="B538" t="inlineStr">
        <is>
          <t>avverkningsanmälan</t>
        </is>
      </c>
      <c r="C538" t="inlineStr">
        <is>
          <t>Föryngringsavverkning</t>
        </is>
      </c>
      <c r="D538" s="1" t="n">
        <v>44865</v>
      </c>
      <c r="E538" s="1" t="n">
        <v>46263</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26771-2024</t>
        </is>
      </c>
      <c r="B539" t="inlineStr">
        <is>
          <t>avverkningsanmälan</t>
        </is>
      </c>
      <c r="C539" t="inlineStr">
        <is>
          <t>Föryngringsavverkning</t>
        </is>
      </c>
      <c r="D539" s="1" t="n">
        <v>45470</v>
      </c>
      <c r="E539" s="1" t="n">
        <v>46263</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48486-2022</t>
        </is>
      </c>
      <c r="B540" t="inlineStr">
        <is>
          <t>avverkningsanmälan</t>
        </is>
      </c>
      <c r="C540" t="inlineStr">
        <is>
          <t>Föryngringsavverkning</t>
        </is>
      </c>
      <c r="D540" s="1" t="n">
        <v>44858</v>
      </c>
      <c r="E540" s="1" t="n">
        <v>46263</v>
      </c>
      <c r="F540" t="inlineStr">
        <is>
          <t>UPPSALA LÄN</t>
        </is>
      </c>
      <c r="G540" t="inlineStr">
        <is>
          <t>TIERP</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401-2026</t>
        </is>
      </c>
      <c r="B541" t="inlineStr">
        <is>
          <t>avverkningsanmälan</t>
        </is>
      </c>
      <c r="C541" t="inlineStr">
        <is>
          <t>Föryngringsavverkning</t>
        </is>
      </c>
      <c r="D541" s="1" t="n">
        <v>46028</v>
      </c>
      <c r="E541" s="1" t="n">
        <v>46263</v>
      </c>
      <c r="F541" t="inlineStr">
        <is>
          <t>UPPSALA LÄN</t>
        </is>
      </c>
      <c r="G541" t="inlineStr">
        <is>
          <t>TIERP</t>
        </is>
      </c>
      <c r="H541" t="inlineStr">
        <is>
          <t>Bergvik skog öst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49061-2021</t>
        </is>
      </c>
      <c r="B542" t="inlineStr">
        <is>
          <t>avverkningsanmälan</t>
        </is>
      </c>
      <c r="C542" t="inlineStr">
        <is>
          <t>Föryngringsavverkning</t>
        </is>
      </c>
      <c r="D542" s="1" t="n">
        <v>44453</v>
      </c>
      <c r="E542" s="1" t="n">
        <v>46263</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59731-2022</t>
        </is>
      </c>
      <c r="B543" t="inlineStr">
        <is>
          <t>avverkningsanmälan</t>
        </is>
      </c>
      <c r="C543" t="inlineStr">
        <is>
          <t>Avverkning för annat ändamål</t>
        </is>
      </c>
      <c r="D543" s="1" t="n">
        <v>44908</v>
      </c>
      <c r="E543" s="1" t="n">
        <v>46263</v>
      </c>
      <c r="F543" t="inlineStr">
        <is>
          <t>UPPSALA LÄN</t>
        </is>
      </c>
      <c r="G543" t="inlineStr">
        <is>
          <t>TIERP</t>
        </is>
      </c>
      <c r="H543" t="inlineStr">
        <is>
          <t>Kyrkan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7591-2023</t>
        </is>
      </c>
      <c r="B544" t="inlineStr">
        <is>
          <t>avverkningsanmälan</t>
        </is>
      </c>
      <c r="C544" t="inlineStr">
        <is>
          <t>Föryngringsavverkning</t>
        </is>
      </c>
      <c r="D544" s="1" t="n">
        <v>44972</v>
      </c>
      <c r="E544" s="1" t="n">
        <v>46263</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16851-2025</t>
        </is>
      </c>
      <c r="B545" t="inlineStr">
        <is>
          <t>avverkningsanmälan</t>
        </is>
      </c>
      <c r="C545" t="inlineStr">
        <is>
          <t>Föryngringsavverkning</t>
        </is>
      </c>
      <c r="D545" s="1" t="n">
        <v>45754</v>
      </c>
      <c r="E545" s="1" t="n">
        <v>46263</v>
      </c>
      <c r="F545" t="inlineStr">
        <is>
          <t>UPPSALA LÄN</t>
        </is>
      </c>
      <c r="G545" t="inlineStr">
        <is>
          <t>TIERP</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4055-2026</t>
        </is>
      </c>
      <c r="B546" t="inlineStr">
        <is>
          <t>avverkningsanmälan</t>
        </is>
      </c>
      <c r="C546" t="inlineStr">
        <is>
          <t>Föryngringsavverkning</t>
        </is>
      </c>
      <c r="D546" s="1" t="n">
        <v>46044</v>
      </c>
      <c r="E546" s="1" t="n">
        <v>46263</v>
      </c>
      <c r="F546" t="inlineStr">
        <is>
          <t>UPPSALA LÄN</t>
        </is>
      </c>
      <c r="G546" t="inlineStr">
        <is>
          <t>TIERP</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534-2026</t>
        </is>
      </c>
      <c r="B547" t="inlineStr">
        <is>
          <t>avverkningsanmälan</t>
        </is>
      </c>
      <c r="C547" t="inlineStr">
        <is>
          <t>Föryngringsavverkning</t>
        </is>
      </c>
      <c r="D547" s="1" t="n">
        <v>46029</v>
      </c>
      <c r="E547" s="1" t="n">
        <v>46263</v>
      </c>
      <c r="F547" t="inlineStr">
        <is>
          <t>UPPSALA LÄN</t>
        </is>
      </c>
      <c r="G547" t="inlineStr">
        <is>
          <t>TIERP</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31103-2022</t>
        </is>
      </c>
      <c r="B548" t="inlineStr">
        <is>
          <t>avverkningsanmälan</t>
        </is>
      </c>
      <c r="C548" t="inlineStr">
        <is>
          <t>Föryngringsavverkning</t>
        </is>
      </c>
      <c r="D548" s="1" t="n">
        <v>44769</v>
      </c>
      <c r="E548" s="1" t="n">
        <v>46263</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5918-2022</t>
        </is>
      </c>
      <c r="B549" t="inlineStr">
        <is>
          <t>avverkningsanmälan</t>
        </is>
      </c>
      <c r="C549" t="inlineStr">
        <is>
          <t>Föryngringsavverkning</t>
        </is>
      </c>
      <c r="D549" s="1" t="n">
        <v>44597</v>
      </c>
      <c r="E549" s="1" t="n">
        <v>46263</v>
      </c>
      <c r="F549" t="inlineStr">
        <is>
          <t>UPPSALA LÄN</t>
        </is>
      </c>
      <c r="G549" t="inlineStr">
        <is>
          <t>TIERP</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58969-2025</t>
        </is>
      </c>
      <c r="B550" t="inlineStr">
        <is>
          <t>avverkningsanmälan</t>
        </is>
      </c>
      <c r="C550" t="inlineStr">
        <is>
          <t>Föryngringsavverkning</t>
        </is>
      </c>
      <c r="D550" s="1" t="n">
        <v>45987</v>
      </c>
      <c r="E550" s="1" t="n">
        <v>46263</v>
      </c>
      <c r="F550" t="inlineStr">
        <is>
          <t>UPPSALA LÄN</t>
        </is>
      </c>
      <c r="G550" t="inlineStr">
        <is>
          <t>TIERP</t>
        </is>
      </c>
      <c r="H550" t="inlineStr">
        <is>
          <t>Bergvik skog öst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22636-2024</t>
        </is>
      </c>
      <c r="B551" t="inlineStr">
        <is>
          <t>avverkningsanmälan</t>
        </is>
      </c>
      <c r="C551" t="inlineStr">
        <is>
          <t>Föryngringsavverkning</t>
        </is>
      </c>
      <c r="D551" s="1" t="n">
        <v>45447</v>
      </c>
      <c r="E551" s="1" t="n">
        <v>46263</v>
      </c>
      <c r="F551" t="inlineStr">
        <is>
          <t>UPPSALA LÄN</t>
        </is>
      </c>
      <c r="G551" t="inlineStr">
        <is>
          <t>TIERP</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60154-2022</t>
        </is>
      </c>
      <c r="B552" t="inlineStr">
        <is>
          <t>avverkningsanmälan</t>
        </is>
      </c>
      <c r="C552" t="inlineStr">
        <is>
          <t>Föryngringsavverkning</t>
        </is>
      </c>
      <c r="D552" s="1" t="n">
        <v>44909</v>
      </c>
      <c r="E552" s="1" t="n">
        <v>46263</v>
      </c>
      <c r="F552" t="inlineStr">
        <is>
          <t>UPPSALA LÄN</t>
        </is>
      </c>
      <c r="G552" t="inlineStr">
        <is>
          <t>TIERP</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64128-2023</t>
        </is>
      </c>
      <c r="B553" t="inlineStr">
        <is>
          <t>avverkningsanmälan</t>
        </is>
      </c>
      <c r="C553" t="inlineStr">
        <is>
          <t>Föryngringsavverkning</t>
        </is>
      </c>
      <c r="D553" s="1" t="n">
        <v>45279</v>
      </c>
      <c r="E553" s="1" t="n">
        <v>46263</v>
      </c>
      <c r="F553" t="inlineStr">
        <is>
          <t>UPPSALA LÄN</t>
        </is>
      </c>
      <c r="G553" t="inlineStr">
        <is>
          <t>TIERP</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45848-2024</t>
        </is>
      </c>
      <c r="B554" t="inlineStr">
        <is>
          <t>avverkningsanmälan</t>
        </is>
      </c>
      <c r="C554" t="inlineStr">
        <is>
          <t>Föryngringsavverkning</t>
        </is>
      </c>
      <c r="D554" s="1" t="n">
        <v>45580</v>
      </c>
      <c r="E554" s="1" t="n">
        <v>46263</v>
      </c>
      <c r="F554" t="inlineStr">
        <is>
          <t>UPPSALA LÄN</t>
        </is>
      </c>
      <c r="G554" t="inlineStr">
        <is>
          <t>TIERP</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7127-2024</t>
        </is>
      </c>
      <c r="B555" t="inlineStr">
        <is>
          <t>avverkningsanmälan</t>
        </is>
      </c>
      <c r="C555" t="inlineStr">
        <is>
          <t>Föryngringsavverkning</t>
        </is>
      </c>
      <c r="D555" s="1" t="n">
        <v>45344</v>
      </c>
      <c r="E555" s="1" t="n">
        <v>46263</v>
      </c>
      <c r="F555" t="inlineStr">
        <is>
          <t>UPPSALA LÄN</t>
        </is>
      </c>
      <c r="G555" t="inlineStr">
        <is>
          <t>TIERP</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15574-2024</t>
        </is>
      </c>
      <c r="B556" t="inlineStr">
        <is>
          <t>avverkningsanmälan</t>
        </is>
      </c>
      <c r="C556" t="inlineStr">
        <is>
          <t>Föryngringsavverkning</t>
        </is>
      </c>
      <c r="D556" s="1" t="n">
        <v>45401</v>
      </c>
      <c r="E556" s="1" t="n">
        <v>46263</v>
      </c>
      <c r="F556" t="inlineStr">
        <is>
          <t>UPPSALA LÄN</t>
        </is>
      </c>
      <c r="G556" t="inlineStr">
        <is>
          <t>TIERP</t>
        </is>
      </c>
      <c r="H556" t="inlineStr">
        <is>
          <t>Bergvik skog väst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46976-2021</t>
        </is>
      </c>
      <c r="B557" t="inlineStr">
        <is>
          <t>avverkningsanmälan</t>
        </is>
      </c>
      <c r="C557" t="inlineStr">
        <is>
          <t>Föryngringsavverkning</t>
        </is>
      </c>
      <c r="D557" s="1" t="n">
        <v>44446</v>
      </c>
      <c r="E557" s="1" t="n">
        <v>46263</v>
      </c>
      <c r="F557" t="inlineStr">
        <is>
          <t>UPPSALA LÄN</t>
        </is>
      </c>
      <c r="G557" t="inlineStr">
        <is>
          <t>TIERP</t>
        </is>
      </c>
      <c r="H557" t="inlineStr">
        <is>
          <t>Bergvik skog väst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22759-2024</t>
        </is>
      </c>
      <c r="B558" t="inlineStr">
        <is>
          <t>avverkningsanmälan</t>
        </is>
      </c>
      <c r="C558" t="inlineStr">
        <is>
          <t>Föryngringsavverkning</t>
        </is>
      </c>
      <c r="D558" s="1" t="n">
        <v>45448</v>
      </c>
      <c r="E558" s="1" t="n">
        <v>46263</v>
      </c>
      <c r="F558" t="inlineStr">
        <is>
          <t>UPPSALA LÄN</t>
        </is>
      </c>
      <c r="G558" t="inlineStr">
        <is>
          <t>TIERP</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15851-2023</t>
        </is>
      </c>
      <c r="B559" t="inlineStr">
        <is>
          <t>avverkningsanmälan</t>
        </is>
      </c>
      <c r="C559" t="inlineStr">
        <is>
          <t>Föryngringsavverkning</t>
        </is>
      </c>
      <c r="D559" s="1" t="n">
        <v>45022</v>
      </c>
      <c r="E559" s="1" t="n">
        <v>46263</v>
      </c>
      <c r="F559" t="inlineStr">
        <is>
          <t>UPPSALA LÄN</t>
        </is>
      </c>
      <c r="G559" t="inlineStr">
        <is>
          <t>TIERP</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48970-2021</t>
        </is>
      </c>
      <c r="B560" t="inlineStr">
        <is>
          <t>avverkningsanmälan</t>
        </is>
      </c>
      <c r="C560" t="inlineStr">
        <is>
          <t>Föryngringsavverkning</t>
        </is>
      </c>
      <c r="D560" s="1" t="n">
        <v>44453</v>
      </c>
      <c r="E560" s="1" t="n">
        <v>46263</v>
      </c>
      <c r="F560" t="inlineStr">
        <is>
          <t>UPPSALA LÄN</t>
        </is>
      </c>
      <c r="G560" t="inlineStr">
        <is>
          <t>TIERP</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46681-2022</t>
        </is>
      </c>
      <c r="B561" t="inlineStr">
        <is>
          <t>avverkningsanmälan</t>
        </is>
      </c>
      <c r="C561" t="inlineStr">
        <is>
          <t>Föryngringsavverkning</t>
        </is>
      </c>
      <c r="D561" s="1" t="n">
        <v>44843</v>
      </c>
      <c r="E561" s="1" t="n">
        <v>46263</v>
      </c>
      <c r="F561" t="inlineStr">
        <is>
          <t>UPPSALA LÄN</t>
        </is>
      </c>
      <c r="G561" t="inlineStr">
        <is>
          <t>TIERP</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16494-2025</t>
        </is>
      </c>
      <c r="B562" t="inlineStr">
        <is>
          <t>avverkningsanmälan</t>
        </is>
      </c>
      <c r="C562" t="inlineStr">
        <is>
          <t>Föryngringsavverkning</t>
        </is>
      </c>
      <c r="D562" s="1" t="n">
        <v>45751</v>
      </c>
      <c r="E562" s="1" t="n">
        <v>46263</v>
      </c>
      <c r="F562" t="inlineStr">
        <is>
          <t>UPPSALA LÄN</t>
        </is>
      </c>
      <c r="G562" t="inlineStr">
        <is>
          <t>TIERP</t>
        </is>
      </c>
      <c r="H562" t="inlineStr">
        <is>
          <t>Bergvik skog väst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20021-2025</t>
        </is>
      </c>
      <c r="B563" t="inlineStr">
        <is>
          <t>avverkningsanmälan</t>
        </is>
      </c>
      <c r="C563" t="inlineStr">
        <is>
          <t>Avverkning för annat ändamål</t>
        </is>
      </c>
      <c r="D563" s="1" t="n">
        <v>45772</v>
      </c>
      <c r="E563" s="1" t="n">
        <v>46263</v>
      </c>
      <c r="F563" t="inlineStr">
        <is>
          <t>UPPSALA LÄN</t>
        </is>
      </c>
      <c r="G563" t="inlineStr">
        <is>
          <t>TIERP</t>
        </is>
      </c>
      <c r="H563" t="inlineStr">
        <is>
          <t>Kyrkan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28346-2022</t>
        </is>
      </c>
      <c r="B564" t="inlineStr">
        <is>
          <t>avverkningsanmälan</t>
        </is>
      </c>
      <c r="C564" t="inlineStr">
        <is>
          <t>Föryngringsavverkning</t>
        </is>
      </c>
      <c r="D564" s="1" t="n">
        <v>44747</v>
      </c>
      <c r="E564" s="1" t="n">
        <v>46263</v>
      </c>
      <c r="F564" t="inlineStr">
        <is>
          <t>UPPSALA LÄN</t>
        </is>
      </c>
      <c r="G564" t="inlineStr">
        <is>
          <t>TIERP</t>
        </is>
      </c>
      <c r="H564" t="inlineStr">
        <is>
          <t>Bergvik skog väst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55423-2022</t>
        </is>
      </c>
      <c r="B565" t="inlineStr">
        <is>
          <t>avverkningsanmälan</t>
        </is>
      </c>
      <c r="C565" t="inlineStr">
        <is>
          <t>Föryngringsavverkning</t>
        </is>
      </c>
      <c r="D565" s="1" t="n">
        <v>44887</v>
      </c>
      <c r="E565" s="1" t="n">
        <v>46263</v>
      </c>
      <c r="F565" t="inlineStr">
        <is>
          <t>UPPSALA LÄN</t>
        </is>
      </c>
      <c r="G565" t="inlineStr">
        <is>
          <t>TIERP</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46275-2022</t>
        </is>
      </c>
      <c r="B566" t="inlineStr">
        <is>
          <t>avverkningsanmälan</t>
        </is>
      </c>
      <c r="C566" t="inlineStr">
        <is>
          <t>Föryngringsavverkning</t>
        </is>
      </c>
      <c r="D566" s="1" t="n">
        <v>44847</v>
      </c>
      <c r="E566" s="1" t="n">
        <v>46263</v>
      </c>
      <c r="F566" t="inlineStr">
        <is>
          <t>UPPSALA LÄN</t>
        </is>
      </c>
      <c r="G566" t="inlineStr">
        <is>
          <t>TIERP</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61149-2024</t>
        </is>
      </c>
      <c r="B567" t="inlineStr">
        <is>
          <t>avverkningsanmälan</t>
        </is>
      </c>
      <c r="C567" t="inlineStr">
        <is>
          <t>Föryngringsavverkning</t>
        </is>
      </c>
      <c r="D567" s="1" t="n">
        <v>45645</v>
      </c>
      <c r="E567" s="1" t="n">
        <v>46263</v>
      </c>
      <c r="F567" t="inlineStr">
        <is>
          <t>UPPSALA LÄN</t>
        </is>
      </c>
      <c r="G567" t="inlineStr">
        <is>
          <t>TIERP</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8768-2023</t>
        </is>
      </c>
      <c r="B568" t="inlineStr">
        <is>
          <t>avverkningsanmälan</t>
        </is>
      </c>
      <c r="C568" t="inlineStr">
        <is>
          <t>Föryngringsavverkning</t>
        </is>
      </c>
      <c r="D568" s="1" t="n">
        <v>44978</v>
      </c>
      <c r="E568" s="1" t="n">
        <v>46263</v>
      </c>
      <c r="F568" t="inlineStr">
        <is>
          <t>UPPSALA LÄN</t>
        </is>
      </c>
      <c r="G568" t="inlineStr">
        <is>
          <t>TIERP</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55678-2024</t>
        </is>
      </c>
      <c r="B569" t="inlineStr">
        <is>
          <t>avverkningsanmälan</t>
        </is>
      </c>
      <c r="C569" t="inlineStr">
        <is>
          <t>Föryngringsavverkning</t>
        </is>
      </c>
      <c r="D569" s="1" t="n">
        <v>45622</v>
      </c>
      <c r="E569" s="1" t="n">
        <v>46263</v>
      </c>
      <c r="F569" t="inlineStr">
        <is>
          <t>UPPSALA LÄN</t>
        </is>
      </c>
      <c r="G569" t="inlineStr">
        <is>
          <t>TIERP</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66241-2021</t>
        </is>
      </c>
      <c r="B570" t="inlineStr">
        <is>
          <t>avverkningsanmälan</t>
        </is>
      </c>
      <c r="C570" t="inlineStr">
        <is>
          <t>Föryngringsavverkning</t>
        </is>
      </c>
      <c r="D570" s="1" t="n">
        <v>44518</v>
      </c>
      <c r="E570" s="1" t="n">
        <v>46263</v>
      </c>
      <c r="F570" t="inlineStr">
        <is>
          <t>UPPSALA LÄN</t>
        </is>
      </c>
      <c r="G570" t="inlineStr">
        <is>
          <t>TIERP</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61717-2022</t>
        </is>
      </c>
      <c r="B571" t="inlineStr">
        <is>
          <t>avverkningsanmälan</t>
        </is>
      </c>
      <c r="C571" t="inlineStr">
        <is>
          <t>Avverkning för annat ändamål</t>
        </is>
      </c>
      <c r="D571" s="1" t="n">
        <v>44917</v>
      </c>
      <c r="E571" s="1" t="n">
        <v>46263</v>
      </c>
      <c r="F571" t="inlineStr">
        <is>
          <t>UPPSALA LÄN</t>
        </is>
      </c>
      <c r="G571" t="inlineStr">
        <is>
          <t>TIERP</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2301-2024</t>
        </is>
      </c>
      <c r="B572" t="inlineStr">
        <is>
          <t>avverkningsanmälan</t>
        </is>
      </c>
      <c r="C572" t="inlineStr">
        <is>
          <t>Föryngringsavverkning</t>
        </is>
      </c>
      <c r="D572" s="1" t="n">
        <v>45310</v>
      </c>
      <c r="E572" s="1" t="n">
        <v>46263</v>
      </c>
      <c r="F572" t="inlineStr">
        <is>
          <t>UPPSALA LÄN</t>
        </is>
      </c>
      <c r="G572" t="inlineStr">
        <is>
          <t>TIERP</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8774-2023</t>
        </is>
      </c>
      <c r="B573" t="inlineStr">
        <is>
          <t>avverkningsanmälan</t>
        </is>
      </c>
      <c r="C573" t="inlineStr">
        <is>
          <t>Föryngringsavverkning</t>
        </is>
      </c>
      <c r="D573" s="1" t="n">
        <v>44978</v>
      </c>
      <c r="E573" s="1" t="n">
        <v>46263</v>
      </c>
      <c r="F573" t="inlineStr">
        <is>
          <t>UPPSALA LÄN</t>
        </is>
      </c>
      <c r="G573" t="inlineStr">
        <is>
          <t>TIERP</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2454-2024</t>
        </is>
      </c>
      <c r="B574" t="inlineStr">
        <is>
          <t>avverkningsanmälan</t>
        </is>
      </c>
      <c r="C574" t="inlineStr">
        <is>
          <t>Föryngringsavverkning</t>
        </is>
      </c>
      <c r="D574" s="1" t="n">
        <v>45312</v>
      </c>
      <c r="E574" s="1" t="n">
        <v>46263</v>
      </c>
      <c r="F574" t="inlineStr">
        <is>
          <t>UPPSALA LÄN</t>
        </is>
      </c>
      <c r="G574" t="inlineStr">
        <is>
          <t>TIERP</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9572-2026</t>
        </is>
      </c>
      <c r="B575" t="inlineStr">
        <is>
          <t>avverkningsanmälan</t>
        </is>
      </c>
      <c r="C575" t="inlineStr">
        <is>
          <t>Föryngringsavverkning</t>
        </is>
      </c>
      <c r="D575" s="1" t="n">
        <v>46071</v>
      </c>
      <c r="E575" s="1" t="n">
        <v>46263</v>
      </c>
      <c r="F575" t="inlineStr">
        <is>
          <t>UPPSALA LÄN</t>
        </is>
      </c>
      <c r="G575" t="inlineStr">
        <is>
          <t>TIERP</t>
        </is>
      </c>
      <c r="H575" t="inlineStr">
        <is>
          <t>Bergvik skog öst AB</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24150-2025</t>
        </is>
      </c>
      <c r="B576" t="inlineStr">
        <is>
          <t>avverkningsanmälan</t>
        </is>
      </c>
      <c r="C576" t="inlineStr">
        <is>
          <t>Föryngringsavverkning</t>
        </is>
      </c>
      <c r="D576" s="1" t="n">
        <v>45796</v>
      </c>
      <c r="E576" s="1" t="n">
        <v>46263</v>
      </c>
      <c r="F576" t="inlineStr">
        <is>
          <t>UPPSALA LÄN</t>
        </is>
      </c>
      <c r="G576" t="inlineStr">
        <is>
          <t>TIERP</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18250-2026</t>
        </is>
      </c>
      <c r="B577" t="inlineStr">
        <is>
          <t>avverkningsanmälan</t>
        </is>
      </c>
      <c r="C577" t="inlineStr">
        <is>
          <t>Föryngringsavverkning</t>
        </is>
      </c>
      <c r="D577" s="1" t="n">
        <v>46126</v>
      </c>
      <c r="E577" s="1" t="n">
        <v>46263</v>
      </c>
      <c r="F577" t="inlineStr">
        <is>
          <t>UPPSALA LÄN</t>
        </is>
      </c>
      <c r="G577" t="inlineStr">
        <is>
          <t>TIERP</t>
        </is>
      </c>
      <c r="H577" t="inlineStr">
        <is>
          <t>Bergvik skog öst AB</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35119-2025</t>
        </is>
      </c>
      <c r="B578" t="inlineStr">
        <is>
          <t>avverkningsanmälan</t>
        </is>
      </c>
      <c r="C578" t="inlineStr">
        <is>
          <t>Föryngringsavverkning</t>
        </is>
      </c>
      <c r="D578" s="1" t="n">
        <v>45852</v>
      </c>
      <c r="E578" s="1" t="n">
        <v>46263</v>
      </c>
      <c r="F578" t="inlineStr">
        <is>
          <t>UPPSALA LÄN</t>
        </is>
      </c>
      <c r="G578" t="inlineStr">
        <is>
          <t>TIERP</t>
        </is>
      </c>
      <c r="H578" t="inlineStr">
        <is>
          <t>Bergvik skog väst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20344-2026</t>
        </is>
      </c>
      <c r="B579" t="inlineStr">
        <is>
          <t>avverkningsanmälan</t>
        </is>
      </c>
      <c r="C579" t="inlineStr">
        <is>
          <t>Föryngringsavverkning</t>
        </is>
      </c>
      <c r="D579" s="1" t="n">
        <v>46139</v>
      </c>
      <c r="E579" s="1" t="n">
        <v>46263</v>
      </c>
      <c r="F579" t="inlineStr">
        <is>
          <t>UPPSALA LÄN</t>
        </is>
      </c>
      <c r="G579" t="inlineStr">
        <is>
          <t>TIERP</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28285-2025</t>
        </is>
      </c>
      <c r="B580" t="inlineStr">
        <is>
          <t>avverkningsanmälan</t>
        </is>
      </c>
      <c r="C580" t="inlineStr">
        <is>
          <t>Föryngringsavverkning</t>
        </is>
      </c>
      <c r="D580" s="1" t="n">
        <v>45818</v>
      </c>
      <c r="E580" s="1" t="n">
        <v>46263</v>
      </c>
      <c r="F580" t="inlineStr">
        <is>
          <t>UPPSALA LÄN</t>
        </is>
      </c>
      <c r="G580" t="inlineStr">
        <is>
          <t>TIERP</t>
        </is>
      </c>
      <c r="H580" t="inlineStr">
        <is>
          <t>Bergvik skog öst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13447-2023</t>
        </is>
      </c>
      <c r="B581" t="inlineStr">
        <is>
          <t>avverkningsanmälan</t>
        </is>
      </c>
      <c r="C581" t="inlineStr">
        <is>
          <t>Föryngringsavverkning</t>
        </is>
      </c>
      <c r="D581" s="1" t="n">
        <v>45005</v>
      </c>
      <c r="E581" s="1" t="n">
        <v>46263</v>
      </c>
      <c r="F581" t="inlineStr">
        <is>
          <t>UPPSALA LÄN</t>
        </is>
      </c>
      <c r="G581" t="inlineStr">
        <is>
          <t>TIERP</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20787-2026</t>
        </is>
      </c>
      <c r="B582" t="inlineStr">
        <is>
          <t>avverkningsanmälan</t>
        </is>
      </c>
      <c r="C582" t="inlineStr">
        <is>
          <t>Föryngringsavverkning</t>
        </is>
      </c>
      <c r="D582" s="1" t="n">
        <v>46141</v>
      </c>
      <c r="E582" s="1" t="n">
        <v>46263</v>
      </c>
      <c r="F582" t="inlineStr">
        <is>
          <t>UPPSALA LÄN</t>
        </is>
      </c>
      <c r="G582" t="inlineStr">
        <is>
          <t>TIERP</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34837-2024</t>
        </is>
      </c>
      <c r="B583" t="inlineStr">
        <is>
          <t>avverkningsanmälan</t>
        </is>
      </c>
      <c r="C583" t="inlineStr">
        <is>
          <t>Föryngringsavverkning</t>
        </is>
      </c>
      <c r="D583" s="1" t="n">
        <v>45526</v>
      </c>
      <c r="E583" s="1" t="n">
        <v>46263</v>
      </c>
      <c r="F583" t="inlineStr">
        <is>
          <t>UPPSALA LÄN</t>
        </is>
      </c>
      <c r="G583" t="inlineStr">
        <is>
          <t>TIERP</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20496-2023</t>
        </is>
      </c>
      <c r="B584" t="inlineStr">
        <is>
          <t>avverkningsanmälan</t>
        </is>
      </c>
      <c r="C584" t="inlineStr">
        <is>
          <t>Föryngringsavverkning</t>
        </is>
      </c>
      <c r="D584" s="1" t="n">
        <v>45057</v>
      </c>
      <c r="E584" s="1" t="n">
        <v>46263</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29115-2023</t>
        </is>
      </c>
      <c r="B585" t="inlineStr">
        <is>
          <t>avverkningsanmälan</t>
        </is>
      </c>
      <c r="C585" t="inlineStr">
        <is>
          <t>Föryngringsavverkning</t>
        </is>
      </c>
      <c r="D585" s="1" t="n">
        <v>45105</v>
      </c>
      <c r="E585" s="1" t="n">
        <v>46263</v>
      </c>
      <c r="F585" t="inlineStr">
        <is>
          <t>UPPSALA LÄN</t>
        </is>
      </c>
      <c r="G585" t="inlineStr">
        <is>
          <t>TIERP</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24341-2022</t>
        </is>
      </c>
      <c r="B586" t="inlineStr">
        <is>
          <t>avverkningsanmälan</t>
        </is>
      </c>
      <c r="C586" t="inlineStr">
        <is>
          <t>Föryngringsavverkning</t>
        </is>
      </c>
      <c r="D586" s="1" t="n">
        <v>44726</v>
      </c>
      <c r="E586" s="1" t="n">
        <v>46263</v>
      </c>
      <c r="F586" t="inlineStr">
        <is>
          <t>UPPSALA LÄN</t>
        </is>
      </c>
      <c r="G586" t="inlineStr">
        <is>
          <t>TIERP</t>
        </is>
      </c>
      <c r="H586" t="inlineStr">
        <is>
          <t>Bergvik skog väst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26404-2024</t>
        </is>
      </c>
      <c r="B587" t="inlineStr">
        <is>
          <t>avverkningsanmälan</t>
        </is>
      </c>
      <c r="C587" t="inlineStr">
        <is>
          <t>Föryngringsavverkning</t>
        </is>
      </c>
      <c r="D587" s="1" t="n">
        <v>45469</v>
      </c>
      <c r="E587" s="1" t="n">
        <v>46263</v>
      </c>
      <c r="F587" t="inlineStr">
        <is>
          <t>UPPSALA LÄN</t>
        </is>
      </c>
      <c r="G587" t="inlineStr">
        <is>
          <t>TIERP</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38464-2023</t>
        </is>
      </c>
      <c r="B588" t="inlineStr">
        <is>
          <t>avverkningsanmälan</t>
        </is>
      </c>
      <c r="C588" t="inlineStr">
        <is>
          <t>Föryngringsavverkning</t>
        </is>
      </c>
      <c r="D588" s="1" t="n">
        <v>45162</v>
      </c>
      <c r="E588" s="1" t="n">
        <v>46263</v>
      </c>
      <c r="F588" t="inlineStr">
        <is>
          <t>UPPSALA LÄN</t>
        </is>
      </c>
      <c r="G588" t="inlineStr">
        <is>
          <t>TIERP</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9664-2023</t>
        </is>
      </c>
      <c r="B589" t="inlineStr">
        <is>
          <t>avverkningsanmälan</t>
        </is>
      </c>
      <c r="C589" t="inlineStr">
        <is>
          <t>Föryngringsavverkning</t>
        </is>
      </c>
      <c r="D589" s="1" t="n">
        <v>44984</v>
      </c>
      <c r="E589" s="1" t="n">
        <v>46263</v>
      </c>
      <c r="F589" t="inlineStr">
        <is>
          <t>UPPSALA LÄN</t>
        </is>
      </c>
      <c r="G589" t="inlineStr">
        <is>
          <t>TIERP</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9432-2023</t>
        </is>
      </c>
      <c r="B590" t="inlineStr">
        <is>
          <t>avverkningsanmälan</t>
        </is>
      </c>
      <c r="C590" t="inlineStr">
        <is>
          <t>Föryngringsavverkning</t>
        </is>
      </c>
      <c r="D590" s="1" t="n">
        <v>44981</v>
      </c>
      <c r="E590" s="1" t="n">
        <v>46263</v>
      </c>
      <c r="F590" t="inlineStr">
        <is>
          <t>UPPSALA LÄN</t>
        </is>
      </c>
      <c r="G590" t="inlineStr">
        <is>
          <t>TIERP</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58900-2023</t>
        </is>
      </c>
      <c r="B591" t="inlineStr">
        <is>
          <t>avverkningsanmälan</t>
        </is>
      </c>
      <c r="C591" t="inlineStr">
        <is>
          <t>Avverkning för annat ändamål</t>
        </is>
      </c>
      <c r="D591" s="1" t="n">
        <v>45252</v>
      </c>
      <c r="E591" s="1" t="n">
        <v>46263</v>
      </c>
      <c r="F591" t="inlineStr">
        <is>
          <t>UPPSALA LÄN</t>
        </is>
      </c>
      <c r="G591" t="inlineStr">
        <is>
          <t>TIERP</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58947-2023</t>
        </is>
      </c>
      <c r="B592" t="inlineStr">
        <is>
          <t>avverkningsanmälan</t>
        </is>
      </c>
      <c r="C592" t="inlineStr">
        <is>
          <t>Föryngringsavverkning</t>
        </is>
      </c>
      <c r="D592" s="1" t="n">
        <v>45252</v>
      </c>
      <c r="E592" s="1" t="n">
        <v>46263</v>
      </c>
      <c r="F592" t="inlineStr">
        <is>
          <t>UPPSALA LÄN</t>
        </is>
      </c>
      <c r="G592" t="inlineStr">
        <is>
          <t>TIERP</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52969-2023</t>
        </is>
      </c>
      <c r="B593" t="inlineStr">
        <is>
          <t>avverkningsanmälan</t>
        </is>
      </c>
      <c r="C593" t="inlineStr">
        <is>
          <t>Föryngringsavverkning</t>
        </is>
      </c>
      <c r="D593" s="1" t="n">
        <v>45226</v>
      </c>
      <c r="E593" s="1" t="n">
        <v>46263</v>
      </c>
      <c r="F593" t="inlineStr">
        <is>
          <t>UPPSALA LÄN</t>
        </is>
      </c>
      <c r="G593" t="inlineStr">
        <is>
          <t>TIERP</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21439-2026</t>
        </is>
      </c>
      <c r="B594" t="inlineStr">
        <is>
          <t>avverkningsanmälan</t>
        </is>
      </c>
      <c r="C594" t="inlineStr">
        <is>
          <t>Föryngringsavverkning</t>
        </is>
      </c>
      <c r="D594" s="1" t="n">
        <v>46146</v>
      </c>
      <c r="E594" s="1" t="n">
        <v>46263</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21457-2026</t>
        </is>
      </c>
      <c r="B595" t="inlineStr">
        <is>
          <t>avverkningsanmälan</t>
        </is>
      </c>
      <c r="C595" t="inlineStr">
        <is>
          <t>Föryngringsavverkning</t>
        </is>
      </c>
      <c r="D595" s="1" t="n">
        <v>46148</v>
      </c>
      <c r="E595" s="1" t="n">
        <v>46263</v>
      </c>
      <c r="F595" t="inlineStr">
        <is>
          <t>UPPSALA LÄN</t>
        </is>
      </c>
      <c r="G595" t="inlineStr">
        <is>
          <t>TIERP</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21452-2026</t>
        </is>
      </c>
      <c r="B596" t="inlineStr">
        <is>
          <t>avverkningsanmälan</t>
        </is>
      </c>
      <c r="C596" t="inlineStr">
        <is>
          <t>Föryngringsavverkning</t>
        </is>
      </c>
      <c r="D596" s="1" t="n">
        <v>46148</v>
      </c>
      <c r="E596" s="1" t="n">
        <v>46263</v>
      </c>
      <c r="F596" t="inlineStr">
        <is>
          <t>UPPSALA LÄN</t>
        </is>
      </c>
      <c r="G596" t="inlineStr">
        <is>
          <t>TIERP</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21469-2026</t>
        </is>
      </c>
      <c r="B597" t="inlineStr">
        <is>
          <t>avverkningsanmälan</t>
        </is>
      </c>
      <c r="C597" t="inlineStr">
        <is>
          <t>Föryngringsavverkning</t>
        </is>
      </c>
      <c r="D597" s="1" t="n">
        <v>46148</v>
      </c>
      <c r="E597" s="1" t="n">
        <v>46263</v>
      </c>
      <c r="F597" t="inlineStr">
        <is>
          <t>UPPSALA LÄN</t>
        </is>
      </c>
      <c r="G597" t="inlineStr">
        <is>
          <t>TIERP</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21538-2026</t>
        </is>
      </c>
      <c r="B598" t="inlineStr">
        <is>
          <t>avverkningsanmälan</t>
        </is>
      </c>
      <c r="C598" t="inlineStr">
        <is>
          <t>Föryngringsavverkning</t>
        </is>
      </c>
      <c r="D598" s="1" t="n">
        <v>46148</v>
      </c>
      <c r="E598" s="1" t="n">
        <v>46263</v>
      </c>
      <c r="F598" t="inlineStr">
        <is>
          <t>UPPSALA LÄN</t>
        </is>
      </c>
      <c r="G598" t="inlineStr">
        <is>
          <t>TIERP</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21495-2026</t>
        </is>
      </c>
      <c r="B599" t="inlineStr">
        <is>
          <t>avverkningsanmälan</t>
        </is>
      </c>
      <c r="C599" t="inlineStr">
        <is>
          <t>Föryngringsavverkning</t>
        </is>
      </c>
      <c r="D599" s="1" t="n">
        <v>46148</v>
      </c>
      <c r="E599" s="1" t="n">
        <v>46263</v>
      </c>
      <c r="F599" t="inlineStr">
        <is>
          <t>UPPSALA LÄN</t>
        </is>
      </c>
      <c r="G599" t="inlineStr">
        <is>
          <t>TIERP</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21487-2026</t>
        </is>
      </c>
      <c r="B600" t="inlineStr">
        <is>
          <t>avverkningsanmälan</t>
        </is>
      </c>
      <c r="C600" t="inlineStr">
        <is>
          <t>Föryngringsavverkning</t>
        </is>
      </c>
      <c r="D600" s="1" t="n">
        <v>46148</v>
      </c>
      <c r="E600" s="1" t="n">
        <v>46263</v>
      </c>
      <c r="F600" t="inlineStr">
        <is>
          <t>UPPSALA LÄN</t>
        </is>
      </c>
      <c r="G600" t="inlineStr">
        <is>
          <t>TIERP</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21533-2026</t>
        </is>
      </c>
      <c r="B601" t="inlineStr">
        <is>
          <t>avverkningsanmälan</t>
        </is>
      </c>
      <c r="C601" t="inlineStr">
        <is>
          <t>Föryngringsavverkning</t>
        </is>
      </c>
      <c r="D601" s="1" t="n">
        <v>46148</v>
      </c>
      <c r="E601" s="1" t="n">
        <v>46263</v>
      </c>
      <c r="F601" t="inlineStr">
        <is>
          <t>UPPSALA LÄN</t>
        </is>
      </c>
      <c r="G601" t="inlineStr">
        <is>
          <t>TIERP</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21275-2026</t>
        </is>
      </c>
      <c r="B602" t="inlineStr">
        <is>
          <t>avverkningsanmälan</t>
        </is>
      </c>
      <c r="C602" t="inlineStr">
        <is>
          <t>Föryngringsavverkning</t>
        </is>
      </c>
      <c r="D602" s="1" t="n">
        <v>46147</v>
      </c>
      <c r="E602" s="1" t="n">
        <v>46263</v>
      </c>
      <c r="F602" t="inlineStr">
        <is>
          <t>UPPSALA LÄN</t>
        </is>
      </c>
      <c r="G602" t="inlineStr">
        <is>
          <t>TIERP</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22304-2026</t>
        </is>
      </c>
      <c r="B603" t="inlineStr">
        <is>
          <t>avverkningsanmälan</t>
        </is>
      </c>
      <c r="C603" t="inlineStr">
        <is>
          <t>Föryngringsavverkning</t>
        </is>
      </c>
      <c r="D603" s="1" t="n">
        <v>46154</v>
      </c>
      <c r="E603" s="1" t="n">
        <v>46263</v>
      </c>
      <c r="F603" t="inlineStr">
        <is>
          <t>UPPSALA LÄN</t>
        </is>
      </c>
      <c r="G603" t="inlineStr">
        <is>
          <t>TIERP</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22203-2026</t>
        </is>
      </c>
      <c r="B604" t="inlineStr">
        <is>
          <t>avverkningsanmälan</t>
        </is>
      </c>
      <c r="C604" t="inlineStr">
        <is>
          <t>Föryngringsavverkning</t>
        </is>
      </c>
      <c r="D604" s="1" t="n">
        <v>46153</v>
      </c>
      <c r="E604" s="1" t="n">
        <v>46263</v>
      </c>
      <c r="F604" t="inlineStr">
        <is>
          <t>UPPSALA LÄN</t>
        </is>
      </c>
      <c r="G604" t="inlineStr">
        <is>
          <t>TIERP</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20860-2024</t>
        </is>
      </c>
      <c r="B605" t="inlineStr">
        <is>
          <t>avverkningsanmälan</t>
        </is>
      </c>
      <c r="C605" t="inlineStr">
        <is>
          <t>Föryngringsavverkning</t>
        </is>
      </c>
      <c r="D605" s="1" t="n">
        <v>45439</v>
      </c>
      <c r="E605" s="1" t="n">
        <v>46263</v>
      </c>
      <c r="F605" t="inlineStr">
        <is>
          <t>UPPSALA LÄN</t>
        </is>
      </c>
      <c r="G605" t="inlineStr">
        <is>
          <t>TIERP</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22072-2026</t>
        </is>
      </c>
      <c r="B606" t="inlineStr">
        <is>
          <t>avverkningsanmälan</t>
        </is>
      </c>
      <c r="C606" t="inlineStr">
        <is>
          <t>Föryngringsavverkning</t>
        </is>
      </c>
      <c r="D606" s="1" t="n">
        <v>46153</v>
      </c>
      <c r="E606" s="1" t="n">
        <v>46263</v>
      </c>
      <c r="F606" t="inlineStr">
        <is>
          <t>UPPSALA LÄN</t>
        </is>
      </c>
      <c r="G606" t="inlineStr">
        <is>
          <t>TIERP</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47968-2023</t>
        </is>
      </c>
      <c r="B607" t="inlineStr">
        <is>
          <t>avverkningsanmälan</t>
        </is>
      </c>
      <c r="C607" t="inlineStr">
        <is>
          <t>Föryngringsavverkning</t>
        </is>
      </c>
      <c r="D607" s="1" t="n">
        <v>45204</v>
      </c>
      <c r="E607" s="1" t="n">
        <v>46263</v>
      </c>
      <c r="F607" t="inlineStr">
        <is>
          <t>UPPSALA LÄN</t>
        </is>
      </c>
      <c r="G607" t="inlineStr">
        <is>
          <t>TIERP</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12885-2024</t>
        </is>
      </c>
      <c r="B608" t="inlineStr">
        <is>
          <t>avverkningsanmälan</t>
        </is>
      </c>
      <c r="C608" t="inlineStr">
        <is>
          <t>Avverkning för annat ändamål</t>
        </is>
      </c>
      <c r="D608" s="1" t="n">
        <v>45385</v>
      </c>
      <c r="E608" s="1" t="n">
        <v>46263</v>
      </c>
      <c r="F608" t="inlineStr">
        <is>
          <t>UPPSALA LÄN</t>
        </is>
      </c>
      <c r="G608" t="inlineStr">
        <is>
          <t>TIERP</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28538-2024</t>
        </is>
      </c>
      <c r="B609" t="inlineStr">
        <is>
          <t>avverkningsanmälan</t>
        </is>
      </c>
      <c r="C609" t="inlineStr">
        <is>
          <t>Föryngringsavverkning</t>
        </is>
      </c>
      <c r="D609" s="1" t="n">
        <v>45478</v>
      </c>
      <c r="E609" s="1" t="n">
        <v>46263</v>
      </c>
      <c r="F609" t="inlineStr">
        <is>
          <t>UPPSALA LÄN</t>
        </is>
      </c>
      <c r="G609" t="inlineStr">
        <is>
          <t>TIERP</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319-2023</t>
        </is>
      </c>
      <c r="B610" t="inlineStr">
        <is>
          <t>avverkningsanmälan</t>
        </is>
      </c>
      <c r="C610" t="inlineStr">
        <is>
          <t>Avverkning för annat ändamål</t>
        </is>
      </c>
      <c r="D610" s="1" t="n">
        <v>44929</v>
      </c>
      <c r="E610" s="1" t="n">
        <v>46263</v>
      </c>
      <c r="F610" t="inlineStr">
        <is>
          <t>UPPSALA LÄN</t>
        </is>
      </c>
      <c r="G610" t="inlineStr">
        <is>
          <t>TIERP</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39333-2024</t>
        </is>
      </c>
      <c r="B611" t="inlineStr">
        <is>
          <t>avverkningsanmälan</t>
        </is>
      </c>
      <c r="C611" t="inlineStr">
        <is>
          <t>Föryngringsavverkning</t>
        </is>
      </c>
      <c r="D611" s="1" t="n">
        <v>45551</v>
      </c>
      <c r="E611" s="1" t="n">
        <v>46263</v>
      </c>
      <c r="F611" t="inlineStr">
        <is>
          <t>UPPSALA LÄN</t>
        </is>
      </c>
      <c r="G611" t="inlineStr">
        <is>
          <t>TIERP</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22566-2026</t>
        </is>
      </c>
      <c r="B612" t="inlineStr">
        <is>
          <t>avverkningsanmälan</t>
        </is>
      </c>
      <c r="C612" t="inlineStr">
        <is>
          <t>Föryngringsavverkning</t>
        </is>
      </c>
      <c r="D612" s="1" t="n">
        <v>46155</v>
      </c>
      <c r="E612" s="1" t="n">
        <v>46263</v>
      </c>
      <c r="F612" t="inlineStr">
        <is>
          <t>UPPSALA LÄN</t>
        </is>
      </c>
      <c r="G612" t="inlineStr">
        <is>
          <t>TIERP</t>
        </is>
      </c>
      <c r="H612" t="inlineStr">
        <is>
          <t>Bergvik skog öst AB</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22647-2026</t>
        </is>
      </c>
      <c r="B613" t="inlineStr">
        <is>
          <t>avverkningsanmälan</t>
        </is>
      </c>
      <c r="C613" t="inlineStr">
        <is>
          <t>Föryngringsavverkning</t>
        </is>
      </c>
      <c r="D613" s="1" t="n">
        <v>46155</v>
      </c>
      <c r="E613" s="1" t="n">
        <v>46263</v>
      </c>
      <c r="F613" t="inlineStr">
        <is>
          <t>UPPSALA LÄN</t>
        </is>
      </c>
      <c r="G613" t="inlineStr">
        <is>
          <t>TIERP</t>
        </is>
      </c>
      <c r="H613" t="inlineStr">
        <is>
          <t>Bergvik skog öst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22631-2026</t>
        </is>
      </c>
      <c r="B614" t="inlineStr">
        <is>
          <t>avverkningsanmälan</t>
        </is>
      </c>
      <c r="C614" t="inlineStr">
        <is>
          <t>Föryngringsavverkning</t>
        </is>
      </c>
      <c r="D614" s="1" t="n">
        <v>46155</v>
      </c>
      <c r="E614" s="1" t="n">
        <v>46263</v>
      </c>
      <c r="F614" t="inlineStr">
        <is>
          <t>UPPSALA LÄN</t>
        </is>
      </c>
      <c r="G614" t="inlineStr">
        <is>
          <t>TIERP</t>
        </is>
      </c>
      <c r="H614" t="inlineStr">
        <is>
          <t>Bergvik skog öst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22930-2026</t>
        </is>
      </c>
      <c r="B615" t="inlineStr">
        <is>
          <t>avverkningsanmälan</t>
        </is>
      </c>
      <c r="C615" t="inlineStr">
        <is>
          <t>Föryngringsavverkning</t>
        </is>
      </c>
      <c r="D615" s="1" t="n">
        <v>46160</v>
      </c>
      <c r="E615" s="1" t="n">
        <v>46263</v>
      </c>
      <c r="F615" t="inlineStr">
        <is>
          <t>UPPSALA LÄN</t>
        </is>
      </c>
      <c r="G615" t="inlineStr">
        <is>
          <t>TIERP</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2901-2023</t>
        </is>
      </c>
      <c r="B616" t="inlineStr">
        <is>
          <t>avverkningsanmälan</t>
        </is>
      </c>
      <c r="C616" t="inlineStr">
        <is>
          <t>Föryngringsavverkning</t>
        </is>
      </c>
      <c r="D616" s="1" t="n">
        <v>44945</v>
      </c>
      <c r="E616" s="1" t="n">
        <v>46263</v>
      </c>
      <c r="F616" t="inlineStr">
        <is>
          <t>UPPSALA LÄN</t>
        </is>
      </c>
      <c r="G616" t="inlineStr">
        <is>
          <t>TIERP</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1951-2024</t>
        </is>
      </c>
      <c r="B617" t="inlineStr">
        <is>
          <t>avverkningsanmälan</t>
        </is>
      </c>
      <c r="C617" t="inlineStr">
        <is>
          <t>Föryngringsavverkning</t>
        </is>
      </c>
      <c r="D617" s="1" t="n">
        <v>45308</v>
      </c>
      <c r="E617" s="1" t="n">
        <v>46263</v>
      </c>
      <c r="F617" t="inlineStr">
        <is>
          <t>UPPSALA LÄN</t>
        </is>
      </c>
      <c r="G617" t="inlineStr">
        <is>
          <t>TIERP</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32871-2024</t>
        </is>
      </c>
      <c r="B618" t="inlineStr">
        <is>
          <t>avverkningsanmälan</t>
        </is>
      </c>
      <c r="C618" t="inlineStr">
        <is>
          <t>Föryngringsavverkning</t>
        </is>
      </c>
      <c r="D618" s="1" t="n">
        <v>45516</v>
      </c>
      <c r="E618" s="1" t="n">
        <v>46263</v>
      </c>
      <c r="F618" t="inlineStr">
        <is>
          <t>UPPSALA LÄN</t>
        </is>
      </c>
      <c r="G618" t="inlineStr">
        <is>
          <t>TIERP</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20641-2025</t>
        </is>
      </c>
      <c r="B619" t="inlineStr">
        <is>
          <t>avverkningsanmälan</t>
        </is>
      </c>
      <c r="C619" t="inlineStr">
        <is>
          <t>Föryngringsavverkning</t>
        </is>
      </c>
      <c r="D619" s="1" t="n">
        <v>45776</v>
      </c>
      <c r="E619" s="1" t="n">
        <v>46263</v>
      </c>
      <c r="F619" t="inlineStr">
        <is>
          <t>UPPSALA LÄN</t>
        </is>
      </c>
      <c r="G619" t="inlineStr">
        <is>
          <t>TIERP</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1081-2026</t>
        </is>
      </c>
      <c r="B620" t="inlineStr">
        <is>
          <t>avverkningsanmälan</t>
        </is>
      </c>
      <c r="C620" t="inlineStr">
        <is>
          <t>Föryngringsavverkning</t>
        </is>
      </c>
      <c r="D620" s="1" t="n">
        <v>46030</v>
      </c>
      <c r="E620" s="1" t="n">
        <v>46263</v>
      </c>
      <c r="F620" t="inlineStr">
        <is>
          <t>UPPSALA LÄN</t>
        </is>
      </c>
      <c r="G620" t="inlineStr">
        <is>
          <t>TIERP</t>
        </is>
      </c>
      <c r="H620" t="inlineStr">
        <is>
          <t>Bergvik skog öst AB</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23160-2026</t>
        </is>
      </c>
      <c r="B621" t="inlineStr">
        <is>
          <t>avverkningsanmälan</t>
        </is>
      </c>
      <c r="C621" t="inlineStr">
        <is>
          <t>Föryngringsavverkning</t>
        </is>
      </c>
      <c r="D621" s="1" t="n">
        <v>46161</v>
      </c>
      <c r="E621" s="1" t="n">
        <v>46263</v>
      </c>
      <c r="F621" t="inlineStr">
        <is>
          <t>UPPSALA LÄN</t>
        </is>
      </c>
      <c r="G621" t="inlineStr">
        <is>
          <t>TIERP</t>
        </is>
      </c>
      <c r="H621" t="inlineStr">
        <is>
          <t>Bergvik skog väst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2838-2025</t>
        </is>
      </c>
      <c r="B622" t="inlineStr">
        <is>
          <t>avverkningsanmälan</t>
        </is>
      </c>
      <c r="C622" t="inlineStr">
        <is>
          <t>Föryngringsavverkning</t>
        </is>
      </c>
      <c r="D622" s="1" t="n">
        <v>45677</v>
      </c>
      <c r="E622" s="1" t="n">
        <v>46263</v>
      </c>
      <c r="F622" t="inlineStr">
        <is>
          <t>UPPSALA LÄN</t>
        </is>
      </c>
      <c r="G622" t="inlineStr">
        <is>
          <t>TIERP</t>
        </is>
      </c>
      <c r="H622" t="inlineStr">
        <is>
          <t>Bergvik skog väst AB</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22110-2026</t>
        </is>
      </c>
      <c r="B623" t="inlineStr">
        <is>
          <t>avverkningsanmälan</t>
        </is>
      </c>
      <c r="C623" t="inlineStr">
        <is>
          <t>Avverkning för annat ändamål</t>
        </is>
      </c>
      <c r="D623" s="1" t="n">
        <v>46153</v>
      </c>
      <c r="E623" s="1" t="n">
        <v>46263</v>
      </c>
      <c r="F623" t="inlineStr">
        <is>
          <t>UPPSALA LÄN</t>
        </is>
      </c>
      <c r="G623" t="inlineStr">
        <is>
          <t>TIERP</t>
        </is>
      </c>
      <c r="H623" t="inlineStr">
        <is>
          <t>Kyrkan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36029-2025</t>
        </is>
      </c>
      <c r="B624" t="inlineStr">
        <is>
          <t>avverkningsanmälan</t>
        </is>
      </c>
      <c r="C624" t="inlineStr">
        <is>
          <t>Föryngringsavverkning</t>
        </is>
      </c>
      <c r="D624" s="1" t="n">
        <v>45865</v>
      </c>
      <c r="E624" s="1" t="n">
        <v>46263</v>
      </c>
      <c r="F624" t="inlineStr">
        <is>
          <t>UPPSALA LÄN</t>
        </is>
      </c>
      <c r="G624" t="inlineStr">
        <is>
          <t>TIERP</t>
        </is>
      </c>
      <c r="H624" t="inlineStr">
        <is>
          <t>Bergvik skog väst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24558-2026</t>
        </is>
      </c>
      <c r="B625" t="inlineStr">
        <is>
          <t>avverkningsanmälan</t>
        </is>
      </c>
      <c r="C625" t="inlineStr">
        <is>
          <t>Föryngringsavverkning</t>
        </is>
      </c>
      <c r="D625" s="1" t="n">
        <v>46170</v>
      </c>
      <c r="E625" s="1" t="n">
        <v>46263</v>
      </c>
      <c r="F625" t="inlineStr">
        <is>
          <t>UPPSALA LÄN</t>
        </is>
      </c>
      <c r="G625" t="inlineStr">
        <is>
          <t>TIERP</t>
        </is>
      </c>
      <c r="H625" t="inlineStr">
        <is>
          <t>Bergvik skog väst AB</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24661-2026</t>
        </is>
      </c>
      <c r="B626" t="inlineStr">
        <is>
          <t>avverkningsanmälan</t>
        </is>
      </c>
      <c r="C626" t="inlineStr">
        <is>
          <t>Föryngringsavverkning</t>
        </is>
      </c>
      <c r="D626" s="1" t="n">
        <v>46171</v>
      </c>
      <c r="E626" s="1" t="n">
        <v>46263</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25267-2026</t>
        </is>
      </c>
      <c r="B627" t="inlineStr">
        <is>
          <t>avverkningsanmälan</t>
        </is>
      </c>
      <c r="C627" t="inlineStr">
        <is>
          <t>Föryngringsavverkning</t>
        </is>
      </c>
      <c r="D627" s="1" t="n">
        <v>46176</v>
      </c>
      <c r="E627" s="1" t="n">
        <v>46263</v>
      </c>
      <c r="F627" t="inlineStr">
        <is>
          <t>UPPSALA LÄN</t>
        </is>
      </c>
      <c r="G627" t="inlineStr">
        <is>
          <t>TIERP</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25212-2026</t>
        </is>
      </c>
      <c r="B628" t="inlineStr">
        <is>
          <t>avverkningsanmälan</t>
        </is>
      </c>
      <c r="C628" t="inlineStr">
        <is>
          <t>Föryngringsavverkning</t>
        </is>
      </c>
      <c r="D628" s="1" t="n">
        <v>46175</v>
      </c>
      <c r="E628" s="1" t="n">
        <v>46263</v>
      </c>
      <c r="F628" t="inlineStr">
        <is>
          <t>UPPSALA LÄN</t>
        </is>
      </c>
      <c r="G628" t="inlineStr">
        <is>
          <t>TIERP</t>
        </is>
      </c>
      <c r="H628" t="inlineStr">
        <is>
          <t>Bergvik skog väst AB</t>
        </is>
      </c>
      <c r="I628" t="n">
        <v>32.5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25627-2026</t>
        </is>
      </c>
      <c r="B629" t="inlineStr">
        <is>
          <t>avverkningsanmälan</t>
        </is>
      </c>
      <c r="C629" t="inlineStr">
        <is>
          <t>Föryngringsavverkning</t>
        </is>
      </c>
      <c r="D629" s="1" t="n">
        <v>46177</v>
      </c>
      <c r="E629" s="1" t="n">
        <v>46263</v>
      </c>
      <c r="F629" t="inlineStr">
        <is>
          <t>UPPSALA LÄN</t>
        </is>
      </c>
      <c r="G629" t="inlineStr">
        <is>
          <t>TIERP</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25433-2026</t>
        </is>
      </c>
      <c r="B630" t="inlineStr">
        <is>
          <t>avverkningsanmälan</t>
        </is>
      </c>
      <c r="C630" t="inlineStr">
        <is>
          <t>Föryngringsavverkning</t>
        </is>
      </c>
      <c r="D630" s="1" t="n">
        <v>46177</v>
      </c>
      <c r="E630" s="1" t="n">
        <v>46263</v>
      </c>
      <c r="F630" t="inlineStr">
        <is>
          <t>UPPSALA LÄN</t>
        </is>
      </c>
      <c r="G630" t="inlineStr">
        <is>
          <t>TIERP</t>
        </is>
      </c>
      <c r="H630" t="inlineStr">
        <is>
          <t>Bergvik skog öst AB</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25634-2026</t>
        </is>
      </c>
      <c r="B631" t="inlineStr">
        <is>
          <t>avverkningsanmälan</t>
        </is>
      </c>
      <c r="C631" t="inlineStr">
        <is>
          <t>Föryngringsavverkning</t>
        </is>
      </c>
      <c r="D631" s="1" t="n">
        <v>46177</v>
      </c>
      <c r="E631" s="1" t="n">
        <v>46263</v>
      </c>
      <c r="F631" t="inlineStr">
        <is>
          <t>UPPSALA LÄN</t>
        </is>
      </c>
      <c r="G631" t="inlineStr">
        <is>
          <t>TIERP</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26051-2026</t>
        </is>
      </c>
      <c r="B632" t="inlineStr">
        <is>
          <t>avverkningsanmälan</t>
        </is>
      </c>
      <c r="C632" t="inlineStr">
        <is>
          <t>Föryngringsavverkning</t>
        </is>
      </c>
      <c r="D632" s="1" t="n">
        <v>46181</v>
      </c>
      <c r="E632" s="1" t="n">
        <v>46263</v>
      </c>
      <c r="F632" t="inlineStr">
        <is>
          <t>UPPSALA LÄN</t>
        </is>
      </c>
      <c r="G632" t="inlineStr">
        <is>
          <t>TIERP</t>
        </is>
      </c>
      <c r="H632" t="inlineStr">
        <is>
          <t>Bergvik skog öst AB</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25767-2026</t>
        </is>
      </c>
      <c r="B633" t="inlineStr">
        <is>
          <t>avverkningsanmälan</t>
        </is>
      </c>
      <c r="C633" t="inlineStr">
        <is>
          <t>Föryngringsavverkning</t>
        </is>
      </c>
      <c r="D633" s="1" t="n">
        <v>46178</v>
      </c>
      <c r="E633" s="1" t="n">
        <v>46263</v>
      </c>
      <c r="F633" t="inlineStr">
        <is>
          <t>UPPSALA LÄN</t>
        </is>
      </c>
      <c r="G633" t="inlineStr">
        <is>
          <t>TIERP</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26506-2026</t>
        </is>
      </c>
      <c r="B634" t="inlineStr">
        <is>
          <t>avverkningsanmälan</t>
        </is>
      </c>
      <c r="C634" t="inlineStr">
        <is>
          <t>Föryngringsavverkning</t>
        </is>
      </c>
      <c r="D634" s="1" t="n">
        <v>46183</v>
      </c>
      <c r="E634" s="1" t="n">
        <v>46263</v>
      </c>
      <c r="F634" t="inlineStr">
        <is>
          <t>UPPSALA LÄN</t>
        </is>
      </c>
      <c r="G634" t="inlineStr">
        <is>
          <t>TIERP</t>
        </is>
      </c>
      <c r="H634" t="inlineStr">
        <is>
          <t>Bergvik skog öst AB</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26966-2026</t>
        </is>
      </c>
      <c r="B635" t="inlineStr">
        <is>
          <t>avverkningsanmälan</t>
        </is>
      </c>
      <c r="C635" t="inlineStr">
        <is>
          <t>Föryngringsavverkning</t>
        </is>
      </c>
      <c r="D635" s="1" t="n">
        <v>46185</v>
      </c>
      <c r="E635" s="1" t="n">
        <v>46263</v>
      </c>
      <c r="F635" t="inlineStr">
        <is>
          <t>UPPSALA LÄN</t>
        </is>
      </c>
      <c r="G635" t="inlineStr">
        <is>
          <t>TIERP</t>
        </is>
      </c>
      <c r="I635" t="n">
        <v>14.2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27266-2026</t>
        </is>
      </c>
      <c r="B636" t="inlineStr">
        <is>
          <t>avverkningsanmälan</t>
        </is>
      </c>
      <c r="C636" t="inlineStr">
        <is>
          <t>Föryngringsavverkning</t>
        </is>
      </c>
      <c r="D636" s="1" t="n">
        <v>46188</v>
      </c>
      <c r="E636" s="1" t="n">
        <v>46263</v>
      </c>
      <c r="F636" t="inlineStr">
        <is>
          <t>UPPSALA LÄN</t>
        </is>
      </c>
      <c r="G636" t="inlineStr">
        <is>
          <t>TIERP</t>
        </is>
      </c>
      <c r="H636" t="inlineStr">
        <is>
          <t>Bergvik skog öst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31803-2026</t>
        </is>
      </c>
      <c r="B637" t="inlineStr">
        <is>
          <t>avverkningsanmälan</t>
        </is>
      </c>
      <c r="C637" t="inlineStr">
        <is>
          <t>Avverkning för annat ändamål</t>
        </is>
      </c>
      <c r="D637" s="1" t="n">
        <v>46230</v>
      </c>
      <c r="E637" s="1" t="n">
        <v>46263</v>
      </c>
      <c r="F637" t="inlineStr">
        <is>
          <t>UPPSALA LÄN</t>
        </is>
      </c>
      <c r="G637" t="inlineStr">
        <is>
          <t>TIERP</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27331-2026</t>
        </is>
      </c>
      <c r="B638" t="inlineStr">
        <is>
          <t>avverkningsanmälan</t>
        </is>
      </c>
      <c r="C638" t="inlineStr">
        <is>
          <t>Föryngringsavverkning</t>
        </is>
      </c>
      <c r="D638" s="1" t="n">
        <v>46188</v>
      </c>
      <c r="E638" s="1" t="n">
        <v>46263</v>
      </c>
      <c r="F638" t="inlineStr">
        <is>
          <t>UPPSALA LÄN</t>
        </is>
      </c>
      <c r="G638" t="inlineStr">
        <is>
          <t>TIERP</t>
        </is>
      </c>
      <c r="H638" t="inlineStr">
        <is>
          <t>Bergvik skog väst AB</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27567-2026</t>
        </is>
      </c>
      <c r="B639" t="inlineStr">
        <is>
          <t>avverkningsanmälan</t>
        </is>
      </c>
      <c r="C639" t="inlineStr">
        <is>
          <t>Föryngringsavverkning</t>
        </is>
      </c>
      <c r="D639" s="1" t="n">
        <v>46190</v>
      </c>
      <c r="E639" s="1" t="n">
        <v>46263</v>
      </c>
      <c r="F639" t="inlineStr">
        <is>
          <t>UPPSALA LÄN</t>
        </is>
      </c>
      <c r="G639" t="inlineStr">
        <is>
          <t>TIERP</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27574-2026</t>
        </is>
      </c>
      <c r="B640" t="inlineStr">
        <is>
          <t>avverkningsanmälan</t>
        </is>
      </c>
      <c r="C640" t="inlineStr">
        <is>
          <t>Föryngringsavverkning</t>
        </is>
      </c>
      <c r="D640" s="1" t="n">
        <v>46190</v>
      </c>
      <c r="E640" s="1" t="n">
        <v>46263</v>
      </c>
      <c r="F640" t="inlineStr">
        <is>
          <t>UPPSALA LÄN</t>
        </is>
      </c>
      <c r="G640" t="inlineStr">
        <is>
          <t>TIERP</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27558-2026</t>
        </is>
      </c>
      <c r="B641" t="inlineStr">
        <is>
          <t>avverkningsanmälan</t>
        </is>
      </c>
      <c r="C641" t="inlineStr">
        <is>
          <t>Föryngringsavverkning</t>
        </is>
      </c>
      <c r="D641" s="1" t="n">
        <v>46190</v>
      </c>
      <c r="E641" s="1" t="n">
        <v>46263</v>
      </c>
      <c r="F641" t="inlineStr">
        <is>
          <t>UPPSALA LÄN</t>
        </is>
      </c>
      <c r="G641" t="inlineStr">
        <is>
          <t>TIERP</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27776-2026</t>
        </is>
      </c>
      <c r="B642" t="inlineStr">
        <is>
          <t>avverkningsanmälan</t>
        </is>
      </c>
      <c r="C642" t="inlineStr">
        <is>
          <t>Föryngringsavverkning</t>
        </is>
      </c>
      <c r="D642" s="1" t="n">
        <v>46191</v>
      </c>
      <c r="E642" s="1" t="n">
        <v>46263</v>
      </c>
      <c r="F642" t="inlineStr">
        <is>
          <t>UPPSALA LÄN</t>
        </is>
      </c>
      <c r="G642" t="inlineStr">
        <is>
          <t>TIERP</t>
        </is>
      </c>
      <c r="H642" t="inlineStr">
        <is>
          <t>Bergvik skog öst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27790-2026</t>
        </is>
      </c>
      <c r="B643" t="inlineStr">
        <is>
          <t>avverkningsanmälan</t>
        </is>
      </c>
      <c r="C643" t="inlineStr">
        <is>
          <t>Föryngringsavverkning</t>
        </is>
      </c>
      <c r="D643" s="1" t="n">
        <v>46191</v>
      </c>
      <c r="E643" s="1" t="n">
        <v>46263</v>
      </c>
      <c r="F643" t="inlineStr">
        <is>
          <t>UPPSALA LÄN</t>
        </is>
      </c>
      <c r="G643" t="inlineStr">
        <is>
          <t>TIERP</t>
        </is>
      </c>
      <c r="H643" t="inlineStr">
        <is>
          <t>Bergvik skog öst AB</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28098-2026</t>
        </is>
      </c>
      <c r="B644" t="inlineStr">
        <is>
          <t>avverkningsanmälan</t>
        </is>
      </c>
      <c r="C644" t="inlineStr">
        <is>
          <t>Föryngringsavverkning</t>
        </is>
      </c>
      <c r="D644" s="1" t="n">
        <v>46195</v>
      </c>
      <c r="E644" s="1" t="n">
        <v>46263</v>
      </c>
      <c r="F644" t="inlineStr">
        <is>
          <t>UPPSALA LÄN</t>
        </is>
      </c>
      <c r="G644" t="inlineStr">
        <is>
          <t>TIERP</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28101-2026</t>
        </is>
      </c>
      <c r="B645" t="inlineStr">
        <is>
          <t>avverkningsanmälan</t>
        </is>
      </c>
      <c r="C645" t="inlineStr">
        <is>
          <t>Föryngringsavverkning</t>
        </is>
      </c>
      <c r="D645" s="1" t="n">
        <v>46195</v>
      </c>
      <c r="E645" s="1" t="n">
        <v>46263</v>
      </c>
      <c r="F645" t="inlineStr">
        <is>
          <t>UPPSALA LÄN</t>
        </is>
      </c>
      <c r="G645" t="inlineStr">
        <is>
          <t>TIERP</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28169-2026</t>
        </is>
      </c>
      <c r="B646" t="inlineStr">
        <is>
          <t>avverkningsanmälan</t>
        </is>
      </c>
      <c r="C646" t="inlineStr">
        <is>
          <t>Föryngringsavverkning</t>
        </is>
      </c>
      <c r="D646" s="1" t="n">
        <v>46195</v>
      </c>
      <c r="E646" s="1" t="n">
        <v>46263</v>
      </c>
      <c r="F646" t="inlineStr">
        <is>
          <t>UPPSALA LÄN</t>
        </is>
      </c>
      <c r="G646" t="inlineStr">
        <is>
          <t>TIERP</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28171-2026</t>
        </is>
      </c>
      <c r="B647" t="inlineStr">
        <is>
          <t>avverkningsanmälan</t>
        </is>
      </c>
      <c r="C647" t="inlineStr">
        <is>
          <t>Föryngringsavverkning</t>
        </is>
      </c>
      <c r="D647" s="1" t="n">
        <v>46195</v>
      </c>
      <c r="E647" s="1" t="n">
        <v>46263</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28105-2026</t>
        </is>
      </c>
      <c r="B648" t="inlineStr">
        <is>
          <t>avverkningsanmälan</t>
        </is>
      </c>
      <c r="C648" t="inlineStr">
        <is>
          <t>Föryngringsavverkning</t>
        </is>
      </c>
      <c r="D648" s="1" t="n">
        <v>46195</v>
      </c>
      <c r="E648" s="1" t="n">
        <v>46263</v>
      </c>
      <c r="F648" t="inlineStr">
        <is>
          <t>UPPSALA LÄN</t>
        </is>
      </c>
      <c r="G648" t="inlineStr">
        <is>
          <t>TIERP</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28188-2026</t>
        </is>
      </c>
      <c r="B649" t="inlineStr">
        <is>
          <t>avverkningsanmälan</t>
        </is>
      </c>
      <c r="C649" t="inlineStr">
        <is>
          <t>Föryngringsavverkning</t>
        </is>
      </c>
      <c r="D649" s="1" t="n">
        <v>46195</v>
      </c>
      <c r="E649" s="1" t="n">
        <v>46263</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28246-2026</t>
        </is>
      </c>
      <c r="B650" t="inlineStr">
        <is>
          <t>avverkningsanmälan</t>
        </is>
      </c>
      <c r="C650" t="inlineStr">
        <is>
          <t>Föryngringsavverkning</t>
        </is>
      </c>
      <c r="D650" s="1" t="n">
        <v>46196</v>
      </c>
      <c r="E650" s="1" t="n">
        <v>46263</v>
      </c>
      <c r="F650" t="inlineStr">
        <is>
          <t>UPPSALA LÄN</t>
        </is>
      </c>
      <c r="G650" t="inlineStr">
        <is>
          <t>TIERP</t>
        </is>
      </c>
      <c r="H650" t="inlineStr">
        <is>
          <t>Bergvik skog väst AB</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28310-2026</t>
        </is>
      </c>
      <c r="B651" t="inlineStr">
        <is>
          <t>avverkningsanmälan</t>
        </is>
      </c>
      <c r="C651" t="inlineStr">
        <is>
          <t>Föryngringsavverkning</t>
        </is>
      </c>
      <c r="D651" s="1" t="n">
        <v>46196</v>
      </c>
      <c r="E651" s="1" t="n">
        <v>46263</v>
      </c>
      <c r="F651" t="inlineStr">
        <is>
          <t>UPPSALA LÄN</t>
        </is>
      </c>
      <c r="G651" t="inlineStr">
        <is>
          <t>TIERP</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28304-2026</t>
        </is>
      </c>
      <c r="B652" t="inlineStr">
        <is>
          <t>avverkningsanmälan</t>
        </is>
      </c>
      <c r="C652" t="inlineStr">
        <is>
          <t>Föryngringsavverkning</t>
        </is>
      </c>
      <c r="D652" s="1" t="n">
        <v>46196</v>
      </c>
      <c r="E652" s="1" t="n">
        <v>46263</v>
      </c>
      <c r="F652" t="inlineStr">
        <is>
          <t>UPPSALA LÄN</t>
        </is>
      </c>
      <c r="G652" t="inlineStr">
        <is>
          <t>TIERP</t>
        </is>
      </c>
      <c r="H652" t="inlineStr">
        <is>
          <t>Bergvik skog öst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28279-2026</t>
        </is>
      </c>
      <c r="B653" t="inlineStr">
        <is>
          <t>avverkningsanmälan</t>
        </is>
      </c>
      <c r="C653" t="inlineStr">
        <is>
          <t>Föryngringsavverkning</t>
        </is>
      </c>
      <c r="D653" s="1" t="n">
        <v>46196</v>
      </c>
      <c r="E653" s="1" t="n">
        <v>46263</v>
      </c>
      <c r="F653" t="inlineStr">
        <is>
          <t>UPPSALA LÄN</t>
        </is>
      </c>
      <c r="G653" t="inlineStr">
        <is>
          <t>TIERP</t>
        </is>
      </c>
      <c r="H653" t="inlineStr">
        <is>
          <t>Bergvik skog väst AB</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28952-2026</t>
        </is>
      </c>
      <c r="B654" t="inlineStr">
        <is>
          <t>avverkningsanmälan</t>
        </is>
      </c>
      <c r="C654" t="inlineStr">
        <is>
          <t>Föryngringsavverkning</t>
        </is>
      </c>
      <c r="D654" s="1" t="n">
        <v>46199</v>
      </c>
      <c r="E654" s="1" t="n">
        <v>46263</v>
      </c>
      <c r="F654" t="inlineStr">
        <is>
          <t>UPPSALA LÄN</t>
        </is>
      </c>
      <c r="G654" t="inlineStr">
        <is>
          <t>TIERP</t>
        </is>
      </c>
      <c r="H654" t="inlineStr">
        <is>
          <t>Bergvik skog väst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28958-2026</t>
        </is>
      </c>
      <c r="B655" t="inlineStr">
        <is>
          <t>avverkningsanmälan</t>
        </is>
      </c>
      <c r="C655" t="inlineStr">
        <is>
          <t>Föryngringsavverkning</t>
        </is>
      </c>
      <c r="D655" s="1" t="n">
        <v>46199</v>
      </c>
      <c r="E655" s="1" t="n">
        <v>46263</v>
      </c>
      <c r="F655" t="inlineStr">
        <is>
          <t>UPPSALA LÄN</t>
        </is>
      </c>
      <c r="G655" t="inlineStr">
        <is>
          <t>TIERP</t>
        </is>
      </c>
      <c r="H655" t="inlineStr">
        <is>
          <t>Bergvik skog väst AB</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33023-2026</t>
        </is>
      </c>
      <c r="B656" t="inlineStr">
        <is>
          <t>avverkningsanmälan</t>
        </is>
      </c>
      <c r="C656" t="inlineStr">
        <is>
          <t>Avverkning för att bevara och utveckla /försöksver</t>
        </is>
      </c>
      <c r="D656" s="1" t="n">
        <v>46244</v>
      </c>
      <c r="E656" s="1" t="n">
        <v>46263</v>
      </c>
      <c r="F656" t="inlineStr">
        <is>
          <t>UPPSALA LÄN</t>
        </is>
      </c>
      <c r="G656" t="inlineStr">
        <is>
          <t>TIERP</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29237-2026</t>
        </is>
      </c>
      <c r="B657" t="inlineStr">
        <is>
          <t>avverkningsanmälan</t>
        </is>
      </c>
      <c r="C657" t="inlineStr">
        <is>
          <t>Föryngringsavverkning</t>
        </is>
      </c>
      <c r="D657" s="1" t="n">
        <v>46202</v>
      </c>
      <c r="E657" s="1" t="n">
        <v>46263</v>
      </c>
      <c r="F657" t="inlineStr">
        <is>
          <t>UPPSALA LÄN</t>
        </is>
      </c>
      <c r="G657" t="inlineStr">
        <is>
          <t>TIERP</t>
        </is>
      </c>
      <c r="H657" t="inlineStr">
        <is>
          <t>Bergvik skog öst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29363-2026</t>
        </is>
      </c>
      <c r="B658" t="inlineStr">
        <is>
          <t>avverkningsanmälan</t>
        </is>
      </c>
      <c r="C658" t="inlineStr">
        <is>
          <t>Föryngringsavverkning</t>
        </is>
      </c>
      <c r="D658" s="1" t="n">
        <v>46203</v>
      </c>
      <c r="E658" s="1" t="n">
        <v>46263</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29361-2026</t>
        </is>
      </c>
      <c r="B659" t="inlineStr">
        <is>
          <t>avverkningsanmälan</t>
        </is>
      </c>
      <c r="C659" t="inlineStr">
        <is>
          <t>Föryngringsavverkning</t>
        </is>
      </c>
      <c r="D659" s="1" t="n">
        <v>46203</v>
      </c>
      <c r="E659" s="1" t="n">
        <v>46263</v>
      </c>
      <c r="F659" t="inlineStr">
        <is>
          <t>UPPSALA LÄN</t>
        </is>
      </c>
      <c r="G659" t="inlineStr">
        <is>
          <t>TIERP</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33607-2026</t>
        </is>
      </c>
      <c r="B660" t="inlineStr">
        <is>
          <t>avverkningsanmälan</t>
        </is>
      </c>
      <c r="C660" t="inlineStr">
        <is>
          <t>Föryngringsavverkning</t>
        </is>
      </c>
      <c r="D660" s="1" t="n">
        <v>46248</v>
      </c>
      <c r="E660" s="1" t="n">
        <v>46263</v>
      </c>
      <c r="F660" t="inlineStr">
        <is>
          <t>UPPSALA LÄN</t>
        </is>
      </c>
      <c r="G660" t="inlineStr">
        <is>
          <t>TIERP</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33594-2026</t>
        </is>
      </c>
      <c r="B661" t="inlineStr">
        <is>
          <t>avverkningsanmälan</t>
        </is>
      </c>
      <c r="C661" t="inlineStr">
        <is>
          <t>Föryngringsavverkning</t>
        </is>
      </c>
      <c r="D661" s="1" t="n">
        <v>46248</v>
      </c>
      <c r="E661" s="1" t="n">
        <v>46263</v>
      </c>
      <c r="F661" t="inlineStr">
        <is>
          <t>UPPSALA LÄN</t>
        </is>
      </c>
      <c r="G661" t="inlineStr">
        <is>
          <t>TIERP</t>
        </is>
      </c>
      <c r="H661" t="inlineStr">
        <is>
          <t>Bergvik skog öst AB</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33630-2026</t>
        </is>
      </c>
      <c r="B662" t="inlineStr">
        <is>
          <t>avverkningsanmälan</t>
        </is>
      </c>
      <c r="C662" t="inlineStr">
        <is>
          <t>Föryngringsavverkning</t>
        </is>
      </c>
      <c r="D662" s="1" t="n">
        <v>46248</v>
      </c>
      <c r="E662" s="1" t="n">
        <v>46263</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33605-2026</t>
        </is>
      </c>
      <c r="B663" t="inlineStr">
        <is>
          <t>avverkningsanmälan</t>
        </is>
      </c>
      <c r="C663" t="inlineStr">
        <is>
          <t>Föryngringsavverkning</t>
        </is>
      </c>
      <c r="D663" s="1" t="n">
        <v>46248</v>
      </c>
      <c r="E663" s="1" t="n">
        <v>46263</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33600-2026</t>
        </is>
      </c>
      <c r="B664" t="inlineStr">
        <is>
          <t>avverkningsanmälan</t>
        </is>
      </c>
      <c r="C664" t="inlineStr">
        <is>
          <t>Föryngringsavverkning</t>
        </is>
      </c>
      <c r="D664" s="1" t="n">
        <v>46248</v>
      </c>
      <c r="E664" s="1" t="n">
        <v>46263</v>
      </c>
      <c r="F664" t="inlineStr">
        <is>
          <t>UPPSALA LÄN</t>
        </is>
      </c>
      <c r="G664" t="inlineStr">
        <is>
          <t>TIERP</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33619-2026</t>
        </is>
      </c>
      <c r="B665" t="inlineStr">
        <is>
          <t>avverkningsanmälan</t>
        </is>
      </c>
      <c r="C665" t="inlineStr">
        <is>
          <t>Föryngringsavverkning</t>
        </is>
      </c>
      <c r="D665" s="1" t="n">
        <v>46248</v>
      </c>
      <c r="E665" s="1" t="n">
        <v>46263</v>
      </c>
      <c r="F665" t="inlineStr">
        <is>
          <t>UPPSALA LÄN</t>
        </is>
      </c>
      <c r="G665" t="inlineStr">
        <is>
          <t>TIERP</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29649-2026</t>
        </is>
      </c>
      <c r="B666" t="inlineStr">
        <is>
          <t>avverkningsanmälan</t>
        </is>
      </c>
      <c r="C666" t="inlineStr">
        <is>
          <t>Föryngringsavverkning</t>
        </is>
      </c>
      <c r="D666" s="1" t="n">
        <v>46204</v>
      </c>
      <c r="E666" s="1" t="n">
        <v>46263</v>
      </c>
      <c r="F666" t="inlineStr">
        <is>
          <t>UPPSALA LÄN</t>
        </is>
      </c>
      <c r="G666" t="inlineStr">
        <is>
          <t>TIERP</t>
        </is>
      </c>
      <c r="H666" t="inlineStr">
        <is>
          <t>Bergvik skog öst AB</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33615-2026</t>
        </is>
      </c>
      <c r="B667" t="inlineStr">
        <is>
          <t>avverkningsanmälan</t>
        </is>
      </c>
      <c r="C667" t="inlineStr">
        <is>
          <t>Föryngringsavverkning</t>
        </is>
      </c>
      <c r="D667" s="1" t="n">
        <v>46248</v>
      </c>
      <c r="E667" s="1" t="n">
        <v>46263</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34073-2026</t>
        </is>
      </c>
      <c r="B668" t="inlineStr">
        <is>
          <t>avverkningsanmälan</t>
        </is>
      </c>
      <c r="C668" t="inlineStr">
        <is>
          <t>Föryngringsavverkning</t>
        </is>
      </c>
      <c r="D668" s="1" t="n">
        <v>46252</v>
      </c>
      <c r="E668" s="1" t="n">
        <v>46263</v>
      </c>
      <c r="F668" t="inlineStr">
        <is>
          <t>UPPSALA LÄN</t>
        </is>
      </c>
      <c r="G668" t="inlineStr">
        <is>
          <t>TIERP</t>
        </is>
      </c>
      <c r="H668" t="inlineStr">
        <is>
          <t>Bergvik skog väst AB</t>
        </is>
      </c>
      <c r="I668" t="n">
        <v>14.2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30195-2026</t>
        </is>
      </c>
      <c r="B669" t="inlineStr">
        <is>
          <t>avverkningsanmälan</t>
        </is>
      </c>
      <c r="C669" t="inlineStr">
        <is>
          <t>Föryngringsavverkning</t>
        </is>
      </c>
      <c r="D669" s="1" t="n">
        <v>46206</v>
      </c>
      <c r="E669" s="1" t="n">
        <v>46263</v>
      </c>
      <c r="F669" t="inlineStr">
        <is>
          <t>UPPSALA LÄN</t>
        </is>
      </c>
      <c r="G669" t="inlineStr">
        <is>
          <t>TIERP</t>
        </is>
      </c>
      <c r="H669" t="inlineStr">
        <is>
          <t>Bergvik skog öst AB</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34050-2026</t>
        </is>
      </c>
      <c r="B670" t="inlineStr">
        <is>
          <t>avverkningsanmälan</t>
        </is>
      </c>
      <c r="C670" t="inlineStr">
        <is>
          <t>Föryngringsavverkning</t>
        </is>
      </c>
      <c r="D670" s="1" t="n">
        <v>46252</v>
      </c>
      <c r="E670" s="1" t="n">
        <v>46263</v>
      </c>
      <c r="F670" t="inlineStr">
        <is>
          <t>UPPSALA LÄN</t>
        </is>
      </c>
      <c r="G670" t="inlineStr">
        <is>
          <t>TIERP</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34044-2026</t>
        </is>
      </c>
      <c r="B671" t="inlineStr">
        <is>
          <t>avverkningsanmälan</t>
        </is>
      </c>
      <c r="C671" t="inlineStr">
        <is>
          <t>Föryngringsavverkning</t>
        </is>
      </c>
      <c r="D671" s="1" t="n">
        <v>46252</v>
      </c>
      <c r="E671" s="1" t="n">
        <v>46263</v>
      </c>
      <c r="F671" t="inlineStr">
        <is>
          <t>UPPSALA LÄN</t>
        </is>
      </c>
      <c r="G671" t="inlineStr">
        <is>
          <t>TIERP</t>
        </is>
      </c>
      <c r="H671" t="inlineStr">
        <is>
          <t>Bergvik skog väst AB</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29103-2022</t>
        </is>
      </c>
      <c r="B672" t="inlineStr">
        <is>
          <t>avverkningsanmälan</t>
        </is>
      </c>
      <c r="C672" t="inlineStr">
        <is>
          <t>Föryngringsavverkning</t>
        </is>
      </c>
      <c r="D672" s="1" t="n">
        <v>44750</v>
      </c>
      <c r="E672" s="1" t="n">
        <v>46263</v>
      </c>
      <c r="F672" t="inlineStr">
        <is>
          <t>UPPSALA LÄN</t>
        </is>
      </c>
      <c r="G672" t="inlineStr">
        <is>
          <t>TIERP</t>
        </is>
      </c>
      <c r="H672" t="inlineStr">
        <is>
          <t>Bergvik skog väst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30634-2026</t>
        </is>
      </c>
      <c r="B673" t="inlineStr">
        <is>
          <t>avverkningsanmälan</t>
        </is>
      </c>
      <c r="C673" t="inlineStr">
        <is>
          <t>Föryngringsavverkning</t>
        </is>
      </c>
      <c r="D673" s="1" t="n">
        <v>46211</v>
      </c>
      <c r="E673" s="1" t="n">
        <v>46263</v>
      </c>
      <c r="F673" t="inlineStr">
        <is>
          <t>UPPSALA LÄN</t>
        </is>
      </c>
      <c r="G673" t="inlineStr">
        <is>
          <t>TIERP</t>
        </is>
      </c>
      <c r="H673" t="inlineStr">
        <is>
          <t>Övriga Aktiebolag</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30841-2026</t>
        </is>
      </c>
      <c r="B674" t="inlineStr">
        <is>
          <t>avverkningsanmälan</t>
        </is>
      </c>
      <c r="C674" t="inlineStr">
        <is>
          <t>Avverkning för att bevara och utveckla /försöksver</t>
        </is>
      </c>
      <c r="D674" s="1" t="n">
        <v>46212</v>
      </c>
      <c r="E674" s="1" t="n">
        <v>46263</v>
      </c>
      <c r="F674" t="inlineStr">
        <is>
          <t>UPPSALA LÄN</t>
        </is>
      </c>
      <c r="G674" t="inlineStr">
        <is>
          <t>TIERP</t>
        </is>
      </c>
      <c r="H674" t="inlineStr">
        <is>
          <t>Kommuner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34349-2026</t>
        </is>
      </c>
      <c r="B675" t="inlineStr">
        <is>
          <t>avverkningsanmälan</t>
        </is>
      </c>
      <c r="C675" t="inlineStr">
        <is>
          <t>Föryngringsavverkning</t>
        </is>
      </c>
      <c r="D675" s="1" t="n">
        <v>46254</v>
      </c>
      <c r="E675" s="1" t="n">
        <v>46263</v>
      </c>
      <c r="F675" t="inlineStr">
        <is>
          <t>UPPSALA LÄN</t>
        </is>
      </c>
      <c r="G675" t="inlineStr">
        <is>
          <t>TIERP</t>
        </is>
      </c>
      <c r="H675" t="inlineStr">
        <is>
          <t>Bergvik skog öst AB</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34350-2026</t>
        </is>
      </c>
      <c r="B676" t="inlineStr">
        <is>
          <t>avverkningsanmälan</t>
        </is>
      </c>
      <c r="C676" t="inlineStr">
        <is>
          <t>Föryngringsavverkning</t>
        </is>
      </c>
      <c r="D676" s="1" t="n">
        <v>46254</v>
      </c>
      <c r="E676" s="1" t="n">
        <v>46263</v>
      </c>
      <c r="F676" t="inlineStr">
        <is>
          <t>UPPSALA LÄN</t>
        </is>
      </c>
      <c r="G676" t="inlineStr">
        <is>
          <t>TIERP</t>
        </is>
      </c>
      <c r="H676" t="inlineStr">
        <is>
          <t>Bergvik skog öst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30575-2026</t>
        </is>
      </c>
      <c r="B677" t="inlineStr">
        <is>
          <t>avverkningsanmälan</t>
        </is>
      </c>
      <c r="C677" t="inlineStr">
        <is>
          <t>Föryngringsavverkning</t>
        </is>
      </c>
      <c r="D677" s="1" t="n">
        <v>46210</v>
      </c>
      <c r="E677" s="1" t="n">
        <v>46263</v>
      </c>
      <c r="F677" t="inlineStr">
        <is>
          <t>UPPSALA LÄN</t>
        </is>
      </c>
      <c r="G677" t="inlineStr">
        <is>
          <t>TIERP</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32510-2026</t>
        </is>
      </c>
      <c r="B678" t="inlineStr">
        <is>
          <t>avverkningsanmälan</t>
        </is>
      </c>
      <c r="C678" t="inlineStr">
        <is>
          <t>Föryngringsavverkning</t>
        </is>
      </c>
      <c r="D678" s="1" t="n">
        <v>46239</v>
      </c>
      <c r="E678" s="1" t="n">
        <v>46263</v>
      </c>
      <c r="F678" t="inlineStr">
        <is>
          <t>UPPSALA LÄN</t>
        </is>
      </c>
      <c r="G678" t="inlineStr">
        <is>
          <t>TIERP</t>
        </is>
      </c>
      <c r="H678" t="inlineStr">
        <is>
          <t>Bergvik skog väst AB</t>
        </is>
      </c>
      <c r="I678" t="n">
        <v>11.5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30932-2026</t>
        </is>
      </c>
      <c r="B679" t="inlineStr">
        <is>
          <t>avverkningsanmälan</t>
        </is>
      </c>
      <c r="C679" t="inlineStr">
        <is>
          <t>Föryngringsavverkning</t>
        </is>
      </c>
      <c r="D679" s="1" t="n">
        <v>46213</v>
      </c>
      <c r="E679" s="1" t="n">
        <v>46263</v>
      </c>
      <c r="F679" t="inlineStr">
        <is>
          <t>UPPSALA LÄN</t>
        </is>
      </c>
      <c r="G679" t="inlineStr">
        <is>
          <t>TIERP</t>
        </is>
      </c>
      <c r="H679" t="inlineStr">
        <is>
          <t>Bergvik skog väst AB</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30794-2026</t>
        </is>
      </c>
      <c r="B680" t="inlineStr">
        <is>
          <t>avverkningsanmälan</t>
        </is>
      </c>
      <c r="C680" t="inlineStr">
        <is>
          <t>Föryngringsavverkning</t>
        </is>
      </c>
      <c r="D680" s="1" t="n">
        <v>46212</v>
      </c>
      <c r="E680" s="1" t="n">
        <v>46263</v>
      </c>
      <c r="F680" t="inlineStr">
        <is>
          <t>UPPSALA LÄN</t>
        </is>
      </c>
      <c r="G680" t="inlineStr">
        <is>
          <t>TIERP</t>
        </is>
      </c>
      <c r="H680" t="inlineStr">
        <is>
          <t>Övriga Aktiebolag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30979-2026</t>
        </is>
      </c>
      <c r="B681" t="inlineStr">
        <is>
          <t>avverkningsanmälan</t>
        </is>
      </c>
      <c r="C681" t="inlineStr">
        <is>
          <t>Föryngringsavverkning</t>
        </is>
      </c>
      <c r="D681" s="1" t="n">
        <v>46213</v>
      </c>
      <c r="E681" s="1" t="n">
        <v>46263</v>
      </c>
      <c r="F681" t="inlineStr">
        <is>
          <t>UPPSALA LÄN</t>
        </is>
      </c>
      <c r="G681" t="inlineStr">
        <is>
          <t>TIERP</t>
        </is>
      </c>
      <c r="H681" t="inlineStr">
        <is>
          <t>Bergvik skog öst AB</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34662-2026</t>
        </is>
      </c>
      <c r="B682" t="inlineStr">
        <is>
          <t>avverkningsanmälan</t>
        </is>
      </c>
      <c r="C682" t="inlineStr">
        <is>
          <t>Föryngringsavverkning</t>
        </is>
      </c>
      <c r="D682" s="1" t="n">
        <v>46257</v>
      </c>
      <c r="E682" s="1" t="n">
        <v>46263</v>
      </c>
      <c r="F682" t="inlineStr">
        <is>
          <t>UPPSALA LÄN</t>
        </is>
      </c>
      <c r="G682" t="inlineStr">
        <is>
          <t>TIERP</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30977-2026</t>
        </is>
      </c>
      <c r="B683" t="inlineStr">
        <is>
          <t>avverkningsanmälan</t>
        </is>
      </c>
      <c r="C683" t="inlineStr">
        <is>
          <t>Föryngringsavverkning</t>
        </is>
      </c>
      <c r="D683" s="1" t="n">
        <v>46213</v>
      </c>
      <c r="E683" s="1" t="n">
        <v>46263</v>
      </c>
      <c r="F683" t="inlineStr">
        <is>
          <t>UPPSALA LÄN</t>
        </is>
      </c>
      <c r="G683" t="inlineStr">
        <is>
          <t>TIERP</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34663-2026</t>
        </is>
      </c>
      <c r="B684" t="inlineStr">
        <is>
          <t>avverkningsanmälan</t>
        </is>
      </c>
      <c r="C684" t="inlineStr">
        <is>
          <t>Föryngringsavverkning</t>
        </is>
      </c>
      <c r="D684" s="1" t="n">
        <v>46257</v>
      </c>
      <c r="E684" s="1" t="n">
        <v>46263</v>
      </c>
      <c r="F684" t="inlineStr">
        <is>
          <t>UPPSALA LÄN</t>
        </is>
      </c>
      <c r="G684" t="inlineStr">
        <is>
          <t>TIERP</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34148-2026</t>
        </is>
      </c>
      <c r="B685" t="inlineStr">
        <is>
          <t>avverkningsanmälan</t>
        </is>
      </c>
      <c r="C685" t="inlineStr">
        <is>
          <t>Föryngringsavverkning</t>
        </is>
      </c>
      <c r="D685" s="1" t="n">
        <v>46253</v>
      </c>
      <c r="E685" s="1" t="n">
        <v>46263</v>
      </c>
      <c r="F685" t="inlineStr">
        <is>
          <t>UPPSALA LÄN</t>
        </is>
      </c>
      <c r="G685" t="inlineStr">
        <is>
          <t>TIERP</t>
        </is>
      </c>
      <c r="H685" t="inlineStr">
        <is>
          <t>Bergvik skog öst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35190-2026</t>
        </is>
      </c>
      <c r="B686" t="inlineStr">
        <is>
          <t>avverkningsanmälan</t>
        </is>
      </c>
      <c r="C686" t="inlineStr">
        <is>
          <t>Föryngringsavverkning</t>
        </is>
      </c>
      <c r="D686" s="1" t="n">
        <v>46260</v>
      </c>
      <c r="E686" s="1" t="n">
        <v>46263</v>
      </c>
      <c r="F686" t="inlineStr">
        <is>
          <t>UPPSALA LÄN</t>
        </is>
      </c>
      <c r="G686" t="inlineStr">
        <is>
          <t>TIERP</t>
        </is>
      </c>
      <c r="H686" t="inlineStr">
        <is>
          <t>Bergvik skog öst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35545-2026</t>
        </is>
      </c>
      <c r="B687" t="inlineStr">
        <is>
          <t>avverkningsanmälan</t>
        </is>
      </c>
      <c r="C687" t="inlineStr">
        <is>
          <t>Föryngringsavverkning</t>
        </is>
      </c>
      <c r="D687" s="1" t="n">
        <v>46262</v>
      </c>
      <c r="E687" s="1" t="n">
        <v>46263</v>
      </c>
      <c r="F687" t="inlineStr">
        <is>
          <t>UPPSALA LÄN</t>
        </is>
      </c>
      <c r="G687" t="inlineStr">
        <is>
          <t>TIERP</t>
        </is>
      </c>
      <c r="H687" t="inlineStr">
        <is>
          <t>Bergvik skog öst AB</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35553-2026</t>
        </is>
      </c>
      <c r="B688" t="inlineStr">
        <is>
          <t>avverkningsanmälan</t>
        </is>
      </c>
      <c r="C688" t="inlineStr">
        <is>
          <t>Föryngringsavverkning</t>
        </is>
      </c>
      <c r="D688" s="1" t="n">
        <v>46262</v>
      </c>
      <c r="E688" s="1" t="n">
        <v>46263</v>
      </c>
      <c r="F688" t="inlineStr">
        <is>
          <t>UPPSALA LÄN</t>
        </is>
      </c>
      <c r="G688" t="inlineStr">
        <is>
          <t>TIERP</t>
        </is>
      </c>
      <c r="H688" t="inlineStr">
        <is>
          <t>Bergvik skog öst AB</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31328-2026</t>
        </is>
      </c>
      <c r="B689" t="inlineStr">
        <is>
          <t>avverkningsanmälan</t>
        </is>
      </c>
      <c r="C689" t="inlineStr">
        <is>
          <t>Föryngringsavverkning</t>
        </is>
      </c>
      <c r="D689" s="1" t="n">
        <v>46219</v>
      </c>
      <c r="E689" s="1" t="n">
        <v>46263</v>
      </c>
      <c r="F689" t="inlineStr">
        <is>
          <t>UPPSALA LÄN</t>
        </is>
      </c>
      <c r="G689" t="inlineStr">
        <is>
          <t>TIERP</t>
        </is>
      </c>
      <c r="H689" t="inlineStr">
        <is>
          <t>Bergvik skog öst AB</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46263</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5066-2024</t>
        </is>
      </c>
      <c r="B691" t="inlineStr">
        <is>
          <t>samrådsanmälan</t>
        </is>
      </c>
      <c r="C691" t="inlineStr">
        <is>
          <t>Skogsgödsling</t>
        </is>
      </c>
      <c r="D691" s="1" t="n">
        <v>45638</v>
      </c>
      <c r="E691" s="1" t="n">
        <v>46263</v>
      </c>
      <c r="F691" t="inlineStr">
        <is>
          <t>UPPSALA LÄN</t>
        </is>
      </c>
      <c r="G691" t="inlineStr">
        <is>
          <t>TIERP</t>
        </is>
      </c>
      <c r="H691" t="inlineStr">
        <is>
          <t>Bergvik skog väst AB</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192-2024</t>
        </is>
      </c>
      <c r="B692" t="inlineStr">
        <is>
          <t>samrådsanmälan</t>
        </is>
      </c>
      <c r="C692" t="inlineStr">
        <is>
          <t>Skogsgödsling</t>
        </is>
      </c>
      <c r="D692" s="1" t="n">
        <v>45315</v>
      </c>
      <c r="E692" s="1" t="n">
        <v>46263</v>
      </c>
      <c r="F692" t="inlineStr">
        <is>
          <t>UPPSALA LÄN</t>
        </is>
      </c>
      <c r="G692" t="inlineStr">
        <is>
          <t>TIERP</t>
        </is>
      </c>
      <c r="H692" t="inlineStr">
        <is>
          <t>Bergvik skog öst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1683-2024</t>
        </is>
      </c>
      <c r="B693" t="inlineStr">
        <is>
          <t>samrådsanmälan</t>
        </is>
      </c>
      <c r="C693" t="inlineStr">
        <is>
          <t>Skogsgödsling</t>
        </is>
      </c>
      <c r="D693" s="1" t="n">
        <v>45432</v>
      </c>
      <c r="E693" s="1" t="n">
        <v>46263</v>
      </c>
      <c r="F693" t="inlineStr">
        <is>
          <t>UPPSALA LÄN</t>
        </is>
      </c>
      <c r="G693" t="inlineStr">
        <is>
          <t>TIERP</t>
        </is>
      </c>
      <c r="H693" t="inlineStr">
        <is>
          <t>Bergvik skog väst AB</t>
        </is>
      </c>
      <c r="I693" t="n">
        <v>16.6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1311-2023</t>
        </is>
      </c>
      <c r="B694" t="inlineStr">
        <is>
          <t>samrådsanmälan</t>
        </is>
      </c>
      <c r="C694" t="inlineStr">
        <is>
          <t>Annan skogsbruksåtgärd</t>
        </is>
      </c>
      <c r="D694" s="1" t="n">
        <v>45035</v>
      </c>
      <c r="E694" s="1" t="n">
        <v>46263</v>
      </c>
      <c r="F694" t="inlineStr">
        <is>
          <t>UPPSALA LÄN</t>
        </is>
      </c>
      <c r="G694" t="inlineStr">
        <is>
          <t>TIERP</t>
        </is>
      </c>
      <c r="H694" t="inlineStr">
        <is>
          <t>Bergvik skog väst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1695-2025</t>
        </is>
      </c>
      <c r="B695" t="inlineStr">
        <is>
          <t>samrådsanmälan</t>
        </is>
      </c>
      <c r="C695" t="inlineStr">
        <is>
          <t>Skogsgödsling</t>
        </is>
      </c>
      <c r="D695" s="1" t="n">
        <v>45805</v>
      </c>
      <c r="E695" s="1" t="n">
        <v>46263</v>
      </c>
      <c r="F695" t="inlineStr">
        <is>
          <t>UPPSALA LÄN</t>
        </is>
      </c>
      <c r="G695" t="inlineStr">
        <is>
          <t>TIERP</t>
        </is>
      </c>
      <c r="H695" t="inlineStr">
        <is>
          <t>Bergvik skog väst AB</t>
        </is>
      </c>
      <c r="I695" t="n">
        <v>18.6</v>
      </c>
      <c r="J695" t="n">
        <v>0</v>
      </c>
      <c r="K695" t="n">
        <v>0</v>
      </c>
      <c r="L695" t="n">
        <v>0</v>
      </c>
      <c r="M695" t="n">
        <v>0</v>
      </c>
      <c r="N695" t="n">
        <v>0</v>
      </c>
      <c r="O695" t="n">
        <v>0</v>
      </c>
      <c r="P695" t="n">
        <v>0</v>
      </c>
      <c r="Q695" t="n">
        <v>0</v>
      </c>
      <c r="R695" t="n">
        <v>0</v>
      </c>
      <c r="S695" t="n">
        <v>0</v>
      </c>
      <c r="T695" t="n">
        <v>0</v>
      </c>
      <c r="U695" t="n">
        <v>0</v>
      </c>
      <c r="V695" s="2" t="inlineStr"/>
    </row>
    <row r="696">
      <c r="A696" t="inlineStr">
        <is>
          <t>S 3259-2025</t>
        </is>
      </c>
      <c r="B696" t="inlineStr">
        <is>
          <t>samrådsanmälan</t>
        </is>
      </c>
      <c r="C696" t="inlineStr">
        <is>
          <t>Skogsgödsling</t>
        </is>
      </c>
      <c r="D696" s="1" t="n">
        <v>45982</v>
      </c>
      <c r="E696" s="1" t="n">
        <v>46263</v>
      </c>
      <c r="F696" t="inlineStr">
        <is>
          <t>UPPSALA LÄN</t>
        </is>
      </c>
      <c r="G696" t="inlineStr">
        <is>
          <t>TIERP</t>
        </is>
      </c>
      <c r="H696" t="inlineStr">
        <is>
          <t>Bergvik skog väst AB</t>
        </is>
      </c>
      <c r="I696" t="n">
        <v>24.2</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2026-08-29T01:52:59Z</dcterms:created>
  <dcterms:modified xmlns:dcterms="http://purl.org/dc/terms/" xmlns:xsi="http://www.w3.org/2001/XMLSchema-instance" xsi:type="dcterms:W3CDTF">2026-08-29T01:53:00Z</dcterms:modified>
</cp:coreProperties>
</file>