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45724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45724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45724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45724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45724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45724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45724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45724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45724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45724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45724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45724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45724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45724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45724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45724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45724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45724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45724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45724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45724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45724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45724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45724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45724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45724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45724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45724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45724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45724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45724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45724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45724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45724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45724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45724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45724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45724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45724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45724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45724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45724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45724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45724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45724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45724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45724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45724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45724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45724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45724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45724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45724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45724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45724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45724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45724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45724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45724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45724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45724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45724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45724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45724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45724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45724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45724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45724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45724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45724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45724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45724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45724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45724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45724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45724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45724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45724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45724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45724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45724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45724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45724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45724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45724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45724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45724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45724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45724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45724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45724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45724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45724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45724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45724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45724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45724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10844-2025</t>
        </is>
      </c>
      <c r="B122" s="1" t="n">
        <v>45722</v>
      </c>
      <c r="C122" s="1" t="n">
        <v>45724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4.3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10844-2025 artfynd.xlsx", "A 10844-2025")</f>
        <v/>
      </c>
      <c r="T122">
        <f>HYPERLINK("https://klasma.github.io/Logging_0360/kartor/A 10844-2025 karta.png", "A 10844-2025")</f>
        <v/>
      </c>
      <c r="V122">
        <f>HYPERLINK("https://klasma.github.io/Logging_0360/klagomål/A 10844-2025 FSC-klagomål.docx", "A 10844-2025")</f>
        <v/>
      </c>
      <c r="W122">
        <f>HYPERLINK("https://klasma.github.io/Logging_0360/klagomålsmail/A 10844-2025 FSC-klagomål mail.docx", "A 10844-2025")</f>
        <v/>
      </c>
      <c r="X122">
        <f>HYPERLINK("https://klasma.github.io/Logging_0360/tillsyn/A 10844-2025 tillsynsbegäran.docx", "A 10844-2025")</f>
        <v/>
      </c>
      <c r="Y122">
        <f>HYPERLINK("https://klasma.github.io/Logging_0360/tillsynsmail/A 10844-2025 tillsynsbegäran mail.docx", "A 10844-2025")</f>
        <v/>
      </c>
    </row>
    <row r="123" ht="15" customHeight="1">
      <c r="A123" t="inlineStr">
        <is>
          <t>A 10848-2025</t>
        </is>
      </c>
      <c r="B123" s="1" t="n">
        <v>45722</v>
      </c>
      <c r="C123" s="1" t="n">
        <v>45724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10848-2025 artfynd.xlsx", "A 10848-2025")</f>
        <v/>
      </c>
      <c r="T123">
        <f>HYPERLINK("https://klasma.github.io/Logging_0360/kartor/A 10848-2025 karta.png", "A 10848-2025")</f>
        <v/>
      </c>
      <c r="V123">
        <f>HYPERLINK("https://klasma.github.io/Logging_0360/klagomål/A 10848-2025 FSC-klagomål.docx", "A 10848-2025")</f>
        <v/>
      </c>
      <c r="W123">
        <f>HYPERLINK("https://klasma.github.io/Logging_0360/klagomålsmail/A 10848-2025 FSC-klagomål mail.docx", "A 10848-2025")</f>
        <v/>
      </c>
      <c r="X123">
        <f>HYPERLINK("https://klasma.github.io/Logging_0360/tillsyn/A 10848-2025 tillsynsbegäran.docx", "A 10848-2025")</f>
        <v/>
      </c>
      <c r="Y123">
        <f>HYPERLINK("https://klasma.github.io/Logging_0360/tillsynsmail/A 10848-2025 tillsynsbegäran mail.docx", "A 10848-2025")</f>
        <v/>
      </c>
      <c r="Z123">
        <f>HYPERLINK("https://klasma.github.io/Logging_0360/fåglar/A 10848-2025 prioriterade fågelarter.docx", "A 10848-2025")</f>
        <v/>
      </c>
    </row>
    <row r="124" ht="15" customHeight="1">
      <c r="A124" t="inlineStr">
        <is>
          <t>A 10853-2025</t>
        </is>
      </c>
      <c r="B124" s="1" t="n">
        <v>45722</v>
      </c>
      <c r="C124" s="1" t="n">
        <v>45724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10853-2025 artfynd.xlsx", "A 10853-2025")</f>
        <v/>
      </c>
      <c r="T124">
        <f>HYPERLINK("https://klasma.github.io/Logging_0360/kartor/A 10853-2025 karta.png", "A 10853-2025")</f>
        <v/>
      </c>
      <c r="V124">
        <f>HYPERLINK("https://klasma.github.io/Logging_0360/klagomål/A 10853-2025 FSC-klagomål.docx", "A 10853-2025")</f>
        <v/>
      </c>
      <c r="W124">
        <f>HYPERLINK("https://klasma.github.io/Logging_0360/klagomålsmail/A 10853-2025 FSC-klagomål mail.docx", "A 10853-2025")</f>
        <v/>
      </c>
      <c r="X124">
        <f>HYPERLINK("https://klasma.github.io/Logging_0360/tillsyn/A 10853-2025 tillsynsbegäran.docx", "A 10853-2025")</f>
        <v/>
      </c>
      <c r="Y124">
        <f>HYPERLINK("https://klasma.github.io/Logging_0360/tillsynsmail/A 10853-2025 tillsynsbegäran mail.docx", "A 10853-2025")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45724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45724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45724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45724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45724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45724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45724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45724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45724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45724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45724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45724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45724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45724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45724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45724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45724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45724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45724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45724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45724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45724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45724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45724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45724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45724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45724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45724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45724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45724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45724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45724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45724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45724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45724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45724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45724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45724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45724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45724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45724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45724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45724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45724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45724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45724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45724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45724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45724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45724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45724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45724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45724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45724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45724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45724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45724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45724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45724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45724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45724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45724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45724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45724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45724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45724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45724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45724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45724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45724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45724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45724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45724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45724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45724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45724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45724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45724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45724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45724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45724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45724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45724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45724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45724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45724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45724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45724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45724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45724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45724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45724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45724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45724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45724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45724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45724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45724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45724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45724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45724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45724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45724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45724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45724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45724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45724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45724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45724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45724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45724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45724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45724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45724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45724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45724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45724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45724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45724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45724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45724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45724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45724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45724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45724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45724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45724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45724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45724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45724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45724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45724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45724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45724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45724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45724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45724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45724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45724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45724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45724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45724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45724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45724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45724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45724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45724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45724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45724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45724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45724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45724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45724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45724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45724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45724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45724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45724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45724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45724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45724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45724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45724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45724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45724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45724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45724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45724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45724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45724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45724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45724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45724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45724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45724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45724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45724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45724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45724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45724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45724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45724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45724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45724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45724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45724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45724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45724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45724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45724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45724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45724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45724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45724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45724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45724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45724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45724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45724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45724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45724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45724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45724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45724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45724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45724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45724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45724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45724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45724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45724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45724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45724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45724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45724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45724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45724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45724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45724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45724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45724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45724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45724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45724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45724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45724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45724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45724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45724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45724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45724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45724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45724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45724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45724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45724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45724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45724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45724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45724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45724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45724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45724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45724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45724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45724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45724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45724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45724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45724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45724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45724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45724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45724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45724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45724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45724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45724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45724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45724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45724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45724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45724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45724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45724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45724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45724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45724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45724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45724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45724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45724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45724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45724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45724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45724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45724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45724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45724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45724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45724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45724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45724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45724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45724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45724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45724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45724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45724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45724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45724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45724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45724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45724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45724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45724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45724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45724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45724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45724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45724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45724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45724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45724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45724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45724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45724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45724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45724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45724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45724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45724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45724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45724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45724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45724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45724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45724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45724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45724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45724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45724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45724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45724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45724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45724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45724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45724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45724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45724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45724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45724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45724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45724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45724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45724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45724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45724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45724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45724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45724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45724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45724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45724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45724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45724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45724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45724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45724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45724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45724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45724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45724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45724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45724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45724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45724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45724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45724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45724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45724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45724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45724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45724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45724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45724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45724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45724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45724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45724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45724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45724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45724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45724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45724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45724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45724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45724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45724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45724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45724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45724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45724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45724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45724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45724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45724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45724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45724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45724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45724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45724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45724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45724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45724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45724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45724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45724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45724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45724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45724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45724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45724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45724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45724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45724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45724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45724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45724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45724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45724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45724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45724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45724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45724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45724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45724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45724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45724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45724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45724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45724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45724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45724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45724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45724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45724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45724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45724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45724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45724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45724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45724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45724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45724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45724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45724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45724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45724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45724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45724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45724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45724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45724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45724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45724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45724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45724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45724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45724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45724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45724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45724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45724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45724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45724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45724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45724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45724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45724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45724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45724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45724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45724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45724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45724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45724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45724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45724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45724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45724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45724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45724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45724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45724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45724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45724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45724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45724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45724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45724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45724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45724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45724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45724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45724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45724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45724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45724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45724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45724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45724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45724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45724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45724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45724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45724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45724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45724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45724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45724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45724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45724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45724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45724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45724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45724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45724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45724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45724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45724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45724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45724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45724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45724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45724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45724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45724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45724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45724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45724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45724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45724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45724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45724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45724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45724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45724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45724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45724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45724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45724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45724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45724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45724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45724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45724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45724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45724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45724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45724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45724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45724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45724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45724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45724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45724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45724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45724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45724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45724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45724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45724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45724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45724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45724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45724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45724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45724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45724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45724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45724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45724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45724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45724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45724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45724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45724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45724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45724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45724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45724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45724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45724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45724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45724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45724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45724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45724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45724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45724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45724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45724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45724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45724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45724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45724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45724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45724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45724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45724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45724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45724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45724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45724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45724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45724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45724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45724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45724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45724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45724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45724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45724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45724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45724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45724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45724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45724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45724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45724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45724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45724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45724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45724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45724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45724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45724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45724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45724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45724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45724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45724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45724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45724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45724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45724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45724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45724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45724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45724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45724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45724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45724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45724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45724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45724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45724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45724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45724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45724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45724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45724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45724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45724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45724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45724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45724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45724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45724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45724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45724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45724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45724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45724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45724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45724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45724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45724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45724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45724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45724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45724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45724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45724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45724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45724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45724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45724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45724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45724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45724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45724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45724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45724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45724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45724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45724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45724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45724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45724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45724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45724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45724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45724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45724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45724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45724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45724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45724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45724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45724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45724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45724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45724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45724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45724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45724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45724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45724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45724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45724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45724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45724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45724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45724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45724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45724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45724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45724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45724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45724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45724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45724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45724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45724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45724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45724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45724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45724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45724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45724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45724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45724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45724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45724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45724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45724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45724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45724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45724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45724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45724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45724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45724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45724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45724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45724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45724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45724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45724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45724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45724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45724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45724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45724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45724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45724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45724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45724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45724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45724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45724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45724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45724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45724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45724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45724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45724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45724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45724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45724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45724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45724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45724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45724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45724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45724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45724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45724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45724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45724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45724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45724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45724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45724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45724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45724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45724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45724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45724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45724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45724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45724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45724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45724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45724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45724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45724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45724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45724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45724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45724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45724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45724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45724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45724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45724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45724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45724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45724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45724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45724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45724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45724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45724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45724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45724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45724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45724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45724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45724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45724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45724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45724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45724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45724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45724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45724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45724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45724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45724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45724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45724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45724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45724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45724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45724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45724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45724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45724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45724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45724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45724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45724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45724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45724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45724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45724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45724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45724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45724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45724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45724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45724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45724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45724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45724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45724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45724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45724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45724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45724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45724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45724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45724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45724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45724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45724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45724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45724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45724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45724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45724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45724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45724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45724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45724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45724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45724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45724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45724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45724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45724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45724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45724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45724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45724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45724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45724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45724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45724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45724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45724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45724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45724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45724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45724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45724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45724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45724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45724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45724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45724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45724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45724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45724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45724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45724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45724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45724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45724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45724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45724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45724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45724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45724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45724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45724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45724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45724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45724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45724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45724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45724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45724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45724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45724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45724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45724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45724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45724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45724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45724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45724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45724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45724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45724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45724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45724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45724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45724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45724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45724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45724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45724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45724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45724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45724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45724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45724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45724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45724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45724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45724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45724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45724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45724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45724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45724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45724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45724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45724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45724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45724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45724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45724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45724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45724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45724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45724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45724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45724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45724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45724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45724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45724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45724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45724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45724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45724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45724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45724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45724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45724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45724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45724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45724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45724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45724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45724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45724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45724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45724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45724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45724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45724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45724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45724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45724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45724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45724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45724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45724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45724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45724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45724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45724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45724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6888-2025</t>
        </is>
      </c>
      <c r="B1124" s="1" t="n">
        <v>45701</v>
      </c>
      <c r="C1124" s="1" t="n">
        <v>45724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6889-2025</t>
        </is>
      </c>
      <c r="B1125" s="1" t="n">
        <v>45701</v>
      </c>
      <c r="C1125" s="1" t="n">
        <v>45724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45724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7374-2025</t>
        </is>
      </c>
      <c r="B1127" s="1" t="n">
        <v>45705</v>
      </c>
      <c r="C1127" s="1" t="n">
        <v>45724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7375-2025</t>
        </is>
      </c>
      <c r="B1128" s="1" t="n">
        <v>45705</v>
      </c>
      <c r="C1128" s="1" t="n">
        <v>45724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45724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45724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45724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45724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45724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45724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45724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45724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45724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45724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45724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45724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45724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45724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45724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10885-2025</t>
        </is>
      </c>
      <c r="B1144" s="1" t="n">
        <v>45722</v>
      </c>
      <c r="C1144" s="1" t="n">
        <v>45724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2025-03-08T17:59:50Z</dcterms:created>
  <dcterms:modified xmlns:dcterms="http://purl.org/dc/terms/" xmlns:xsi="http://www.w3.org/2001/XMLSchema-instance" xsi:type="dcterms:W3CDTF">2025-03-08T17:59:51Z</dcterms:modified>
</cp:coreProperties>
</file>