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46047</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46047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46047</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46047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46047</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46047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46047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46047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21038-2023</t>
        </is>
      </c>
      <c r="B11" s="1" t="n">
        <v>45061</v>
      </c>
      <c r="C11" s="1" t="n">
        <v>46047</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58464-2025</t>
        </is>
      </c>
      <c r="B12" s="1" t="n">
        <v>45985.6365625</v>
      </c>
      <c r="C12" s="1" t="n">
        <v>46047</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8507-2023</t>
        </is>
      </c>
      <c r="B13" s="1" t="n">
        <v>44977</v>
      </c>
      <c r="C13" s="1" t="n">
        <v>46047</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46047</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46047</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46047</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20997-2022</t>
        </is>
      </c>
      <c r="B17" s="1" t="n">
        <v>44701</v>
      </c>
      <c r="C17" s="1" t="n">
        <v>46047</v>
      </c>
      <c r="D17" t="inlineStr">
        <is>
          <t>UPPSALA LÄN</t>
        </is>
      </c>
      <c r="E17" t="inlineStr">
        <is>
          <t>TIERP</t>
        </is>
      </c>
      <c r="F17" t="inlineStr">
        <is>
          <t>Bergvik skog väst AB</t>
        </is>
      </c>
      <c r="G17" t="n">
        <v>40</v>
      </c>
      <c r="H17" t="n">
        <v>3</v>
      </c>
      <c r="I17" t="n">
        <v>2</v>
      </c>
      <c r="J17" t="n">
        <v>1</v>
      </c>
      <c r="K17" t="n">
        <v>1</v>
      </c>
      <c r="L17" t="n">
        <v>0</v>
      </c>
      <c r="M17" t="n">
        <v>0</v>
      </c>
      <c r="N17" t="n">
        <v>0</v>
      </c>
      <c r="O17" t="n">
        <v>2</v>
      </c>
      <c r="P17" t="n">
        <v>1</v>
      </c>
      <c r="Q17" t="n">
        <v>5</v>
      </c>
      <c r="R17" s="2" t="inlineStr">
        <is>
          <t>Knärot
Vedtrappmossa
Grön sköldmossa
Stubbspretmossa
Blåsippa</t>
        </is>
      </c>
      <c r="S17">
        <f>HYPERLINK("https://klasma.github.io/Logging_0360/artfynd/A 20997-2022 artfynd.xlsx", "A 20997-2022")</f>
        <v/>
      </c>
      <c r="T17">
        <f>HYPERLINK("https://klasma.github.io/Logging_0360/kartor/A 20997-2022 karta.png", "A 20997-2022")</f>
        <v/>
      </c>
      <c r="U17">
        <f>HYPERLINK("https://klasma.github.io/Logging_0360/knärot/A 20997-2022 karta knärot.png", "A 20997-2022")</f>
        <v/>
      </c>
      <c r="V17">
        <f>HYPERLINK("https://klasma.github.io/Logging_0360/klagomål/A 20997-2022 FSC-klagomål.docx", "A 20997-2022")</f>
        <v/>
      </c>
      <c r="W17">
        <f>HYPERLINK("https://klasma.github.io/Logging_0360/klagomålsmail/A 20997-2022 FSC-klagomål mail.docx", "A 20997-2022")</f>
        <v/>
      </c>
      <c r="X17">
        <f>HYPERLINK("https://klasma.github.io/Logging_0360/tillsyn/A 20997-2022 tillsynsbegäran.docx", "A 20997-2022")</f>
        <v/>
      </c>
      <c r="Y17">
        <f>HYPERLINK("https://klasma.github.io/Logging_0360/tillsynsmail/A 20997-2022 tillsynsbegäran mail.docx", "A 20997-2022")</f>
        <v/>
      </c>
    </row>
    <row r="18" ht="15" customHeight="1">
      <c r="A18" t="inlineStr">
        <is>
          <t>A 7125-2023</t>
        </is>
      </c>
      <c r="B18" s="1" t="n">
        <v>44970</v>
      </c>
      <c r="C18" s="1" t="n">
        <v>46047</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46047</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64002-2025</t>
        </is>
      </c>
      <c r="B20" s="1" t="n">
        <v>46021.40372685185</v>
      </c>
      <c r="C20" s="1" t="n">
        <v>46047</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73761-2021</t>
        </is>
      </c>
      <c r="B21" s="1" t="n">
        <v>44552</v>
      </c>
      <c r="C21" s="1" t="n">
        <v>46047</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20503-2025</t>
        </is>
      </c>
      <c r="B22" s="1" t="n">
        <v>45775</v>
      </c>
      <c r="C22" s="1" t="n">
        <v>46047</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14523-2025</t>
        </is>
      </c>
      <c r="B23" s="1" t="n">
        <v>45741.64648148148</v>
      </c>
      <c r="C23" s="1" t="n">
        <v>46047</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30596-2025</t>
        </is>
      </c>
      <c r="B24" s="1" t="n">
        <v>45831.4458912037</v>
      </c>
      <c r="C24" s="1" t="n">
        <v>46047</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7896-2025</t>
        </is>
      </c>
      <c r="B25" s="1" t="n">
        <v>45707</v>
      </c>
      <c r="C25" s="1" t="n">
        <v>46047</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56545-2025</t>
        </is>
      </c>
      <c r="B26" s="1" t="n">
        <v>45975.4800462963</v>
      </c>
      <c r="C26" s="1" t="n">
        <v>46047</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46047</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10846-2025</t>
        </is>
      </c>
      <c r="B28" s="1" t="n">
        <v>45722.57912037037</v>
      </c>
      <c r="C28" s="1" t="n">
        <v>46047</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15592-2022</t>
        </is>
      </c>
      <c r="B29" s="1" t="n">
        <v>44662</v>
      </c>
      <c r="C29" s="1" t="n">
        <v>46047</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46047</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7366-2023</t>
        </is>
      </c>
      <c r="B31" s="1" t="n">
        <v>44966</v>
      </c>
      <c r="C31" s="1" t="n">
        <v>46047</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7309-2023</t>
        </is>
      </c>
      <c r="B32" s="1" t="n">
        <v>44970</v>
      </c>
      <c r="C32" s="1" t="n">
        <v>46047</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43860-2025</t>
        </is>
      </c>
      <c r="B33" s="1" t="n">
        <v>45912.65143518519</v>
      </c>
      <c r="C33" s="1" t="n">
        <v>46047</v>
      </c>
      <c r="D33" t="inlineStr">
        <is>
          <t>UPPSALA LÄN</t>
        </is>
      </c>
      <c r="E33" t="inlineStr">
        <is>
          <t>TIERP</t>
        </is>
      </c>
      <c r="G33" t="n">
        <v>5.7</v>
      </c>
      <c r="H33" t="n">
        <v>0</v>
      </c>
      <c r="I33" t="n">
        <v>2</v>
      </c>
      <c r="J33" t="n">
        <v>1</v>
      </c>
      <c r="K33" t="n">
        <v>0</v>
      </c>
      <c r="L33" t="n">
        <v>0</v>
      </c>
      <c r="M33" t="n">
        <v>0</v>
      </c>
      <c r="N33" t="n">
        <v>0</v>
      </c>
      <c r="O33" t="n">
        <v>1</v>
      </c>
      <c r="P33" t="n">
        <v>0</v>
      </c>
      <c r="Q33" t="n">
        <v>3</v>
      </c>
      <c r="R33" s="2" t="inlineStr">
        <is>
          <t>Etternässla
Underviol
Vårärt</t>
        </is>
      </c>
      <c r="S33">
        <f>HYPERLINK("https://klasma.github.io/Logging_0360/artfynd/A 43860-2025 artfynd.xlsx", "A 43860-2025")</f>
        <v/>
      </c>
      <c r="T33">
        <f>HYPERLINK("https://klasma.github.io/Logging_0360/kartor/A 43860-2025 karta.png", "A 43860-2025")</f>
        <v/>
      </c>
      <c r="V33">
        <f>HYPERLINK("https://klasma.github.io/Logging_0360/klagomål/A 43860-2025 FSC-klagomål.docx", "A 43860-2025")</f>
        <v/>
      </c>
      <c r="W33">
        <f>HYPERLINK("https://klasma.github.io/Logging_0360/klagomålsmail/A 43860-2025 FSC-klagomål mail.docx", "A 43860-2025")</f>
        <v/>
      </c>
      <c r="X33">
        <f>HYPERLINK("https://klasma.github.io/Logging_0360/tillsyn/A 43860-2025 tillsynsbegäran.docx", "A 43860-2025")</f>
        <v/>
      </c>
      <c r="Y33">
        <f>HYPERLINK("https://klasma.github.io/Logging_0360/tillsynsmail/A 43860-2025 tillsynsbegäran mail.docx", "A 43860-2025")</f>
        <v/>
      </c>
    </row>
    <row r="34" ht="15" customHeight="1">
      <c r="A34" t="inlineStr">
        <is>
          <t>A 47445-2025</t>
        </is>
      </c>
      <c r="B34" s="1" t="n">
        <v>45930</v>
      </c>
      <c r="C34" s="1" t="n">
        <v>46047</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46047</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54537-2025</t>
        </is>
      </c>
      <c r="B36" s="1" t="n">
        <v>45965.64359953703</v>
      </c>
      <c r="C36" s="1" t="n">
        <v>46047</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14093-2022</t>
        </is>
      </c>
      <c r="B37" s="1" t="n">
        <v>44651</v>
      </c>
      <c r="C37" s="1" t="n">
        <v>46047</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17074-2022</t>
        </is>
      </c>
      <c r="B38" s="1" t="n">
        <v>44677</v>
      </c>
      <c r="C38" s="1" t="n">
        <v>46047</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48687-2023</t>
        </is>
      </c>
      <c r="B39" s="1" t="n">
        <v>45208</v>
      </c>
      <c r="C39" s="1" t="n">
        <v>46047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53324-2021</t>
        </is>
      </c>
      <c r="B40" s="1" t="n">
        <v>44468</v>
      </c>
      <c r="C40" s="1" t="n">
        <v>46047</v>
      </c>
      <c r="D40" t="inlineStr">
        <is>
          <t>UPPSALA LÄN</t>
        </is>
      </c>
      <c r="E40" t="inlineStr">
        <is>
          <t>TIERP</t>
        </is>
      </c>
      <c r="G40" t="n">
        <v>0.8</v>
      </c>
      <c r="H40" t="n">
        <v>0</v>
      </c>
      <c r="I40" t="n">
        <v>1</v>
      </c>
      <c r="J40" t="n">
        <v>1</v>
      </c>
      <c r="K40" t="n">
        <v>0</v>
      </c>
      <c r="L40" t="n">
        <v>0</v>
      </c>
      <c r="M40" t="n">
        <v>0</v>
      </c>
      <c r="N40" t="n">
        <v>0</v>
      </c>
      <c r="O40" t="n">
        <v>1</v>
      </c>
      <c r="P40" t="n">
        <v>0</v>
      </c>
      <c r="Q40" t="n">
        <v>2</v>
      </c>
      <c r="R40" s="2" t="inlineStr">
        <is>
          <t>Granticka
Stor aspticka</t>
        </is>
      </c>
      <c r="S40">
        <f>HYPERLINK("https://klasma.github.io/Logging_0360/artfynd/A 53324-2021 artfynd.xlsx", "A 53324-2021")</f>
        <v/>
      </c>
      <c r="T40">
        <f>HYPERLINK("https://klasma.github.io/Logging_0360/kartor/A 53324-2021 karta.png", "A 53324-2021")</f>
        <v/>
      </c>
      <c r="V40">
        <f>HYPERLINK("https://klasma.github.io/Logging_0360/klagomål/A 53324-2021 FSC-klagomål.docx", "A 53324-2021")</f>
        <v/>
      </c>
      <c r="W40">
        <f>HYPERLINK("https://klasma.github.io/Logging_0360/klagomålsmail/A 53324-2021 FSC-klagomål mail.docx", "A 53324-2021")</f>
        <v/>
      </c>
      <c r="X40">
        <f>HYPERLINK("https://klasma.github.io/Logging_0360/tillsyn/A 53324-2021 tillsynsbegäran.docx", "A 53324-2021")</f>
        <v/>
      </c>
      <c r="Y40">
        <f>HYPERLINK("https://klasma.github.io/Logging_0360/tillsynsmail/A 53324-2021 tillsynsbegäran mail.docx", "A 53324-2021")</f>
        <v/>
      </c>
    </row>
    <row r="41" ht="15" customHeight="1">
      <c r="A41" t="inlineStr">
        <is>
          <t>A 21607-2025</t>
        </is>
      </c>
      <c r="B41" s="1" t="n">
        <v>45783.38454861111</v>
      </c>
      <c r="C41" s="1" t="n">
        <v>46047</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45851-2022</t>
        </is>
      </c>
      <c r="B42" s="1" t="n">
        <v>44846</v>
      </c>
      <c r="C42" s="1" t="n">
        <v>46047</v>
      </c>
      <c r="D42" t="inlineStr">
        <is>
          <t>UPPSALA LÄN</t>
        </is>
      </c>
      <c r="E42" t="inlineStr">
        <is>
          <t>TIERP</t>
        </is>
      </c>
      <c r="G42" t="n">
        <v>2.6</v>
      </c>
      <c r="H42" t="n">
        <v>0</v>
      </c>
      <c r="I42" t="n">
        <v>2</v>
      </c>
      <c r="J42" t="n">
        <v>0</v>
      </c>
      <c r="K42" t="n">
        <v>0</v>
      </c>
      <c r="L42" t="n">
        <v>0</v>
      </c>
      <c r="M42" t="n">
        <v>0</v>
      </c>
      <c r="N42" t="n">
        <v>0</v>
      </c>
      <c r="O42" t="n">
        <v>0</v>
      </c>
      <c r="P42" t="n">
        <v>0</v>
      </c>
      <c r="Q42" t="n">
        <v>2</v>
      </c>
      <c r="R42" s="2" t="inlineStr">
        <is>
          <t>Olivspindling
Rödgul trumpetsvamp</t>
        </is>
      </c>
      <c r="S42">
        <f>HYPERLINK("https://klasma.github.io/Logging_0360/artfynd/A 45851-2022 artfynd.xlsx", "A 45851-2022")</f>
        <v/>
      </c>
      <c r="T42">
        <f>HYPERLINK("https://klasma.github.io/Logging_0360/kartor/A 45851-2022 karta.png", "A 45851-2022")</f>
        <v/>
      </c>
      <c r="V42">
        <f>HYPERLINK("https://klasma.github.io/Logging_0360/klagomål/A 45851-2022 FSC-klagomål.docx", "A 45851-2022")</f>
        <v/>
      </c>
      <c r="W42">
        <f>HYPERLINK("https://klasma.github.io/Logging_0360/klagomålsmail/A 45851-2022 FSC-klagomål mail.docx", "A 45851-2022")</f>
        <v/>
      </c>
      <c r="X42">
        <f>HYPERLINK("https://klasma.github.io/Logging_0360/tillsyn/A 45851-2022 tillsynsbegäran.docx", "A 45851-2022")</f>
        <v/>
      </c>
      <c r="Y42">
        <f>HYPERLINK("https://klasma.github.io/Logging_0360/tillsynsmail/A 45851-2022 tillsynsbegäran mail.docx", "A 45851-2022")</f>
        <v/>
      </c>
    </row>
    <row r="43" ht="15" customHeight="1">
      <c r="A43" t="inlineStr">
        <is>
          <t>A 25013-2025</t>
        </is>
      </c>
      <c r="B43" s="1" t="n">
        <v>45799.62886574074</v>
      </c>
      <c r="C43" s="1" t="n">
        <v>46047</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17748-2025</t>
        </is>
      </c>
      <c r="B44" s="1" t="n">
        <v>45758.4828125</v>
      </c>
      <c r="C44" s="1" t="n">
        <v>46047</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15040-2024</t>
        </is>
      </c>
      <c r="B45" s="1" t="n">
        <v>45399.48680555556</v>
      </c>
      <c r="C45" s="1" t="n">
        <v>46047</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46047</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34979-2023</t>
        </is>
      </c>
      <c r="B47" s="1" t="n">
        <v>45142</v>
      </c>
      <c r="C47" s="1" t="n">
        <v>46047</v>
      </c>
      <c r="D47" t="inlineStr">
        <is>
          <t>UPPSALA LÄN</t>
        </is>
      </c>
      <c r="E47" t="inlineStr">
        <is>
          <t>TIERP</t>
        </is>
      </c>
      <c r="F47" t="inlineStr">
        <is>
          <t>Bergvik skog öst AB</t>
        </is>
      </c>
      <c r="G47" t="n">
        <v>1.2</v>
      </c>
      <c r="H47" t="n">
        <v>0</v>
      </c>
      <c r="I47" t="n">
        <v>2</v>
      </c>
      <c r="J47" t="n">
        <v>0</v>
      </c>
      <c r="K47" t="n">
        <v>0</v>
      </c>
      <c r="L47" t="n">
        <v>0</v>
      </c>
      <c r="M47" t="n">
        <v>0</v>
      </c>
      <c r="N47" t="n">
        <v>0</v>
      </c>
      <c r="O47" t="n">
        <v>0</v>
      </c>
      <c r="P47" t="n">
        <v>0</v>
      </c>
      <c r="Q47" t="n">
        <v>2</v>
      </c>
      <c r="R47" s="2" t="inlineStr">
        <is>
          <t>Fjällig taggsvamp s.str.
Vedticka</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42363-2025</t>
        </is>
      </c>
      <c r="B48" s="1" t="n">
        <v>45905.31760416667</v>
      </c>
      <c r="C48" s="1" t="n">
        <v>46047</v>
      </c>
      <c r="D48" t="inlineStr">
        <is>
          <t>UPPSALA LÄN</t>
        </is>
      </c>
      <c r="E48" t="inlineStr">
        <is>
          <t>TIERP</t>
        </is>
      </c>
      <c r="G48" t="n">
        <v>8.4</v>
      </c>
      <c r="H48" t="n">
        <v>1</v>
      </c>
      <c r="I48" t="n">
        <v>0</v>
      </c>
      <c r="J48" t="n">
        <v>2</v>
      </c>
      <c r="K48" t="n">
        <v>0</v>
      </c>
      <c r="L48" t="n">
        <v>0</v>
      </c>
      <c r="M48" t="n">
        <v>0</v>
      </c>
      <c r="N48" t="n">
        <v>0</v>
      </c>
      <c r="O48" t="n">
        <v>2</v>
      </c>
      <c r="P48" t="n">
        <v>0</v>
      </c>
      <c r="Q48" t="n">
        <v>2</v>
      </c>
      <c r="R48" s="2" t="inlineStr">
        <is>
          <t>Spillkråka
Ullticka</t>
        </is>
      </c>
      <c r="S48">
        <f>HYPERLINK("https://klasma.github.io/Logging_0360/artfynd/A 42363-2025 artfynd.xlsx", "A 42363-2025")</f>
        <v/>
      </c>
      <c r="T48">
        <f>HYPERLINK("https://klasma.github.io/Logging_0360/kartor/A 42363-2025 karta.png", "A 42363-2025")</f>
        <v/>
      </c>
      <c r="V48">
        <f>HYPERLINK("https://klasma.github.io/Logging_0360/klagomål/A 42363-2025 FSC-klagomål.docx", "A 42363-2025")</f>
        <v/>
      </c>
      <c r="W48">
        <f>HYPERLINK("https://klasma.github.io/Logging_0360/klagomålsmail/A 42363-2025 FSC-klagomål mail.docx", "A 42363-2025")</f>
        <v/>
      </c>
      <c r="X48">
        <f>HYPERLINK("https://klasma.github.io/Logging_0360/tillsyn/A 42363-2025 tillsynsbegäran.docx", "A 42363-2025")</f>
        <v/>
      </c>
      <c r="Y48">
        <f>HYPERLINK("https://klasma.github.io/Logging_0360/tillsynsmail/A 42363-2025 tillsynsbegäran mail.docx", "A 42363-2025")</f>
        <v/>
      </c>
      <c r="Z48">
        <f>HYPERLINK("https://klasma.github.io/Logging_0360/fåglar/A 42363-2025 prioriterade fågelarter.docx", "A 42363-2025")</f>
        <v/>
      </c>
    </row>
    <row r="49" ht="15" customHeight="1">
      <c r="A49" t="inlineStr">
        <is>
          <t>A 35188-2025</t>
        </is>
      </c>
      <c r="B49" s="1" t="n">
        <v>45853.32288194444</v>
      </c>
      <c r="C49" s="1" t="n">
        <v>46047</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39018-2024</t>
        </is>
      </c>
      <c r="B50" s="1" t="n">
        <v>45548.4465162037</v>
      </c>
      <c r="C50" s="1" t="n">
        <v>46047</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51201-2025</t>
        </is>
      </c>
      <c r="B51" s="1" t="n">
        <v>45947.63479166666</v>
      </c>
      <c r="C51" s="1" t="n">
        <v>46047</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54237-2025</t>
        </is>
      </c>
      <c r="B52" s="1" t="n">
        <v>45964.62684027778</v>
      </c>
      <c r="C52" s="1" t="n">
        <v>46047</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57856-2025</t>
        </is>
      </c>
      <c r="B53" s="1" t="n">
        <v>45981.63950231481</v>
      </c>
      <c r="C53" s="1" t="n">
        <v>46047</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2535-2022</t>
        </is>
      </c>
      <c r="B54" s="1" t="n">
        <v>44579.9575</v>
      </c>
      <c r="C54" s="1" t="n">
        <v>46047</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46047</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33375-2022</t>
        </is>
      </c>
      <c r="B56" s="1" t="n">
        <v>44788</v>
      </c>
      <c r="C56" s="1" t="n">
        <v>46047</v>
      </c>
      <c r="D56" t="inlineStr">
        <is>
          <t>UPPSALA LÄN</t>
        </is>
      </c>
      <c r="E56" t="inlineStr">
        <is>
          <t>TIERP</t>
        </is>
      </c>
      <c r="G56" t="n">
        <v>4.7</v>
      </c>
      <c r="H56" t="n">
        <v>0</v>
      </c>
      <c r="I56" t="n">
        <v>0</v>
      </c>
      <c r="J56" t="n">
        <v>0</v>
      </c>
      <c r="K56" t="n">
        <v>0</v>
      </c>
      <c r="L56" t="n">
        <v>1</v>
      </c>
      <c r="M56" t="n">
        <v>0</v>
      </c>
      <c r="N56" t="n">
        <v>0</v>
      </c>
      <c r="O56" t="n">
        <v>1</v>
      </c>
      <c r="P56" t="n">
        <v>1</v>
      </c>
      <c r="Q56" t="n">
        <v>1</v>
      </c>
      <c r="R56" s="2" t="inlineStr">
        <is>
          <t>Fältgentiana</t>
        </is>
      </c>
      <c r="S56">
        <f>HYPERLINK("https://klasma.github.io/Logging_0360/artfynd/A 33375-2022 artfynd.xlsx", "A 33375-2022")</f>
        <v/>
      </c>
      <c r="T56">
        <f>HYPERLINK("https://klasma.github.io/Logging_0360/kartor/A 33375-2022 karta.png", "A 33375-2022")</f>
        <v/>
      </c>
      <c r="V56">
        <f>HYPERLINK("https://klasma.github.io/Logging_0360/klagomål/A 33375-2022 FSC-klagomål.docx", "A 33375-2022")</f>
        <v/>
      </c>
      <c r="W56">
        <f>HYPERLINK("https://klasma.github.io/Logging_0360/klagomålsmail/A 33375-2022 FSC-klagomål mail.docx", "A 33375-2022")</f>
        <v/>
      </c>
      <c r="X56">
        <f>HYPERLINK("https://klasma.github.io/Logging_0360/tillsyn/A 33375-2022 tillsynsbegäran.docx", "A 33375-2022")</f>
        <v/>
      </c>
      <c r="Y56">
        <f>HYPERLINK("https://klasma.github.io/Logging_0360/tillsynsmail/A 33375-2022 tillsynsbegäran mail.docx", "A 33375-2022")</f>
        <v/>
      </c>
    </row>
    <row r="57" ht="15" customHeight="1">
      <c r="A57" t="inlineStr">
        <is>
          <t>A 29983-2022</t>
        </is>
      </c>
      <c r="B57" s="1" t="n">
        <v>44756.69783564815</v>
      </c>
      <c r="C57" s="1" t="n">
        <v>46047</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5454-2022</t>
        </is>
      </c>
      <c r="B58" s="1" t="n">
        <v>44595</v>
      </c>
      <c r="C58" s="1" t="n">
        <v>46047</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22601-2025</t>
        </is>
      </c>
      <c r="B59" s="1" t="n">
        <v>45789</v>
      </c>
      <c r="C59" s="1" t="n">
        <v>46047</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46047</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16733-2025</t>
        </is>
      </c>
      <c r="B61" s="1" t="n">
        <v>45754</v>
      </c>
      <c r="C61" s="1" t="n">
        <v>46047</v>
      </c>
      <c r="D61" t="inlineStr">
        <is>
          <t>UPPSALA LÄN</t>
        </is>
      </c>
      <c r="E61" t="inlineStr">
        <is>
          <t>TIERP</t>
        </is>
      </c>
      <c r="F61" t="inlineStr">
        <is>
          <t>Bergvik skog väst AB</t>
        </is>
      </c>
      <c r="G61" t="n">
        <v>4.5</v>
      </c>
      <c r="H61" t="n">
        <v>0</v>
      </c>
      <c r="I61" t="n">
        <v>0</v>
      </c>
      <c r="J61" t="n">
        <v>1</v>
      </c>
      <c r="K61" t="n">
        <v>0</v>
      </c>
      <c r="L61" t="n">
        <v>0</v>
      </c>
      <c r="M61" t="n">
        <v>0</v>
      </c>
      <c r="N61" t="n">
        <v>0</v>
      </c>
      <c r="O61" t="n">
        <v>1</v>
      </c>
      <c r="P61" t="n">
        <v>0</v>
      </c>
      <c r="Q61" t="n">
        <v>1</v>
      </c>
      <c r="R61" s="2" t="inlineStr">
        <is>
          <t>Rödbrun blekspik</t>
        </is>
      </c>
      <c r="S61">
        <f>HYPERLINK("https://klasma.github.io/Logging_0360/artfynd/A 16733-2025 artfynd.xlsx", "A 16733-2025")</f>
        <v/>
      </c>
      <c r="T61">
        <f>HYPERLINK("https://klasma.github.io/Logging_0360/kartor/A 16733-2025 karta.png", "A 16733-2025")</f>
        <v/>
      </c>
      <c r="V61">
        <f>HYPERLINK("https://klasma.github.io/Logging_0360/klagomål/A 16733-2025 FSC-klagomål.docx", "A 16733-2025")</f>
        <v/>
      </c>
      <c r="W61">
        <f>HYPERLINK("https://klasma.github.io/Logging_0360/klagomålsmail/A 16733-2025 FSC-klagomål mail.docx", "A 16733-2025")</f>
        <v/>
      </c>
      <c r="X61">
        <f>HYPERLINK("https://klasma.github.io/Logging_0360/tillsyn/A 16733-2025 tillsynsbegäran.docx", "A 16733-2025")</f>
        <v/>
      </c>
      <c r="Y61">
        <f>HYPERLINK("https://klasma.github.io/Logging_0360/tillsynsmail/A 16733-2025 tillsynsbegäran mail.docx", "A 16733-2025")</f>
        <v/>
      </c>
    </row>
    <row r="62" ht="15" customHeight="1">
      <c r="A62" t="inlineStr">
        <is>
          <t>A 55331-2024</t>
        </is>
      </c>
      <c r="B62" s="1" t="n">
        <v>45621.68104166666</v>
      </c>
      <c r="C62" s="1" t="n">
        <v>46047</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46047</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38151-2023</t>
        </is>
      </c>
      <c r="B64" s="1" t="n">
        <v>45160</v>
      </c>
      <c r="C64" s="1" t="n">
        <v>46047</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38821-2023</t>
        </is>
      </c>
      <c r="B65" s="1" t="n">
        <v>45163</v>
      </c>
      <c r="C65" s="1" t="n">
        <v>46047</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18619-2025</t>
        </is>
      </c>
      <c r="B66" s="1" t="n">
        <v>45763.51265046297</v>
      </c>
      <c r="C66" s="1" t="n">
        <v>46047</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10848-2025</t>
        </is>
      </c>
      <c r="B67" s="1" t="n">
        <v>45722.58086805556</v>
      </c>
      <c r="C67" s="1" t="n">
        <v>46047</v>
      </c>
      <c r="D67" t="inlineStr">
        <is>
          <t>UPPSALA LÄN</t>
        </is>
      </c>
      <c r="E67" t="inlineStr">
        <is>
          <t>TIERP</t>
        </is>
      </c>
      <c r="F67" t="inlineStr">
        <is>
          <t>Bergvik skog öst AB</t>
        </is>
      </c>
      <c r="G67" t="n">
        <v>1.9</v>
      </c>
      <c r="H67" t="n">
        <v>1</v>
      </c>
      <c r="I67" t="n">
        <v>0</v>
      </c>
      <c r="J67" t="n">
        <v>1</v>
      </c>
      <c r="K67" t="n">
        <v>0</v>
      </c>
      <c r="L67" t="n">
        <v>0</v>
      </c>
      <c r="M67" t="n">
        <v>0</v>
      </c>
      <c r="N67" t="n">
        <v>0</v>
      </c>
      <c r="O67" t="n">
        <v>1</v>
      </c>
      <c r="P67" t="n">
        <v>0</v>
      </c>
      <c r="Q67" t="n">
        <v>1</v>
      </c>
      <c r="R67" s="2" t="inlineStr">
        <is>
          <t>Talltita</t>
        </is>
      </c>
      <c r="S67">
        <f>HYPERLINK("https://klasma.github.io/Logging_0360/artfynd/A 10848-2025 artfynd.xlsx", "A 10848-2025")</f>
        <v/>
      </c>
      <c r="T67">
        <f>HYPERLINK("https://klasma.github.io/Logging_0360/kartor/A 10848-2025 karta.png", "A 10848-2025")</f>
        <v/>
      </c>
      <c r="V67">
        <f>HYPERLINK("https://klasma.github.io/Logging_0360/klagomål/A 10848-2025 FSC-klagomål.docx", "A 10848-2025")</f>
        <v/>
      </c>
      <c r="W67">
        <f>HYPERLINK("https://klasma.github.io/Logging_0360/klagomålsmail/A 10848-2025 FSC-klagomål mail.docx", "A 10848-2025")</f>
        <v/>
      </c>
      <c r="X67">
        <f>HYPERLINK("https://klasma.github.io/Logging_0360/tillsyn/A 10848-2025 tillsynsbegäran.docx", "A 10848-2025")</f>
        <v/>
      </c>
      <c r="Y67">
        <f>HYPERLINK("https://klasma.github.io/Logging_0360/tillsynsmail/A 10848-2025 tillsynsbegäran mail.docx", "A 10848-2025")</f>
        <v/>
      </c>
      <c r="Z67">
        <f>HYPERLINK("https://klasma.github.io/Logging_0360/fåglar/A 10848-2025 prioriterade fågelarter.docx", "A 10848-2025")</f>
        <v/>
      </c>
    </row>
    <row r="68" ht="15" customHeight="1">
      <c r="A68" t="inlineStr">
        <is>
          <t>A 14515-2025</t>
        </is>
      </c>
      <c r="B68" s="1" t="n">
        <v>45741.63833333334</v>
      </c>
      <c r="C68" s="1" t="n">
        <v>46047</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3853-2025</t>
        </is>
      </c>
      <c r="B69" s="1" t="n">
        <v>45683</v>
      </c>
      <c r="C69" s="1" t="n">
        <v>46047</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10853-2025</t>
        </is>
      </c>
      <c r="B70" s="1" t="n">
        <v>45722.58457175926</v>
      </c>
      <c r="C70" s="1" t="n">
        <v>46047</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10844-2025</t>
        </is>
      </c>
      <c r="B71" s="1" t="n">
        <v>45722.57790509259</v>
      </c>
      <c r="C71" s="1" t="n">
        <v>46047</v>
      </c>
      <c r="D71" t="inlineStr">
        <is>
          <t>UPPSALA LÄN</t>
        </is>
      </c>
      <c r="E71" t="inlineStr">
        <is>
          <t>TIERP</t>
        </is>
      </c>
      <c r="F71" t="inlineStr">
        <is>
          <t>Bergvik skog öst AB</t>
        </is>
      </c>
      <c r="G71" t="n">
        <v>4.3</v>
      </c>
      <c r="H71" t="n">
        <v>1</v>
      </c>
      <c r="I71" t="n">
        <v>0</v>
      </c>
      <c r="J71" t="n">
        <v>0</v>
      </c>
      <c r="K71" t="n">
        <v>0</v>
      </c>
      <c r="L71" t="n">
        <v>0</v>
      </c>
      <c r="M71" t="n">
        <v>0</v>
      </c>
      <c r="N71" t="n">
        <v>0</v>
      </c>
      <c r="O71" t="n">
        <v>0</v>
      </c>
      <c r="P71" t="n">
        <v>0</v>
      </c>
      <c r="Q71" t="n">
        <v>1</v>
      </c>
      <c r="R71" s="2" t="inlineStr">
        <is>
          <t>Blåsippa</t>
        </is>
      </c>
      <c r="S71">
        <f>HYPERLINK("https://klasma.github.io/Logging_0360/artfynd/A 10844-2025 artfynd.xlsx", "A 10844-2025")</f>
        <v/>
      </c>
      <c r="T71">
        <f>HYPERLINK("https://klasma.github.io/Logging_0360/kartor/A 10844-2025 karta.png", "A 10844-2025")</f>
        <v/>
      </c>
      <c r="V71">
        <f>HYPERLINK("https://klasma.github.io/Logging_0360/klagomål/A 10844-2025 FSC-klagomål.docx", "A 10844-2025")</f>
        <v/>
      </c>
      <c r="W71">
        <f>HYPERLINK("https://klasma.github.io/Logging_0360/klagomålsmail/A 10844-2025 FSC-klagomål mail.docx", "A 10844-2025")</f>
        <v/>
      </c>
      <c r="X71">
        <f>HYPERLINK("https://klasma.github.io/Logging_0360/tillsyn/A 10844-2025 tillsynsbegäran.docx", "A 10844-2025")</f>
        <v/>
      </c>
      <c r="Y71">
        <f>HYPERLINK("https://klasma.github.io/Logging_0360/tillsynsmail/A 10844-2025 tillsynsbegäran mail.docx", "A 10844-2025")</f>
        <v/>
      </c>
    </row>
    <row r="72" ht="15" customHeight="1">
      <c r="A72" t="inlineStr">
        <is>
          <t>A 5700-2024</t>
        </is>
      </c>
      <c r="B72" s="1" t="n">
        <v>45335</v>
      </c>
      <c r="C72" s="1" t="n">
        <v>46047</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57398-2024</t>
        </is>
      </c>
      <c r="B73" s="1" t="n">
        <v>45629</v>
      </c>
      <c r="C73" s="1" t="n">
        <v>46047</v>
      </c>
      <c r="D73" t="inlineStr">
        <is>
          <t>UPPSALA LÄN</t>
        </is>
      </c>
      <c r="E73" t="inlineStr">
        <is>
          <t>TIERP</t>
        </is>
      </c>
      <c r="G73" t="n">
        <v>2.2</v>
      </c>
      <c r="H73" t="n">
        <v>0</v>
      </c>
      <c r="I73" t="n">
        <v>0</v>
      </c>
      <c r="J73" t="n">
        <v>0</v>
      </c>
      <c r="K73" t="n">
        <v>1</v>
      </c>
      <c r="L73" t="n">
        <v>0</v>
      </c>
      <c r="M73" t="n">
        <v>0</v>
      </c>
      <c r="N73" t="n">
        <v>0</v>
      </c>
      <c r="O73" t="n">
        <v>1</v>
      </c>
      <c r="P73" t="n">
        <v>1</v>
      </c>
      <c r="Q73" t="n">
        <v>1</v>
      </c>
      <c r="R73" s="2" t="inlineStr">
        <is>
          <t>Ängsskäreplattmal</t>
        </is>
      </c>
      <c r="S73">
        <f>HYPERLINK("https://klasma.github.io/Logging_0360/artfynd/A 57398-2024 artfynd.xlsx", "A 57398-2024")</f>
        <v/>
      </c>
      <c r="T73">
        <f>HYPERLINK("https://klasma.github.io/Logging_0360/kartor/A 57398-2024 karta.png", "A 57398-2024")</f>
        <v/>
      </c>
      <c r="V73">
        <f>HYPERLINK("https://klasma.github.io/Logging_0360/klagomål/A 57398-2024 FSC-klagomål.docx", "A 57398-2024")</f>
        <v/>
      </c>
      <c r="W73">
        <f>HYPERLINK("https://klasma.github.io/Logging_0360/klagomålsmail/A 57398-2024 FSC-klagomål mail.docx", "A 57398-2024")</f>
        <v/>
      </c>
      <c r="X73">
        <f>HYPERLINK("https://klasma.github.io/Logging_0360/tillsyn/A 57398-2024 tillsynsbegäran.docx", "A 57398-2024")</f>
        <v/>
      </c>
      <c r="Y73">
        <f>HYPERLINK("https://klasma.github.io/Logging_0360/tillsynsmail/A 57398-2024 tillsynsbegäran mail.docx", "A 57398-2024")</f>
        <v/>
      </c>
    </row>
    <row r="74" ht="15" customHeight="1">
      <c r="A74" t="inlineStr">
        <is>
          <t>A 2298-2024</t>
        </is>
      </c>
      <c r="B74" s="1" t="n">
        <v>45310.44064814815</v>
      </c>
      <c r="C74" s="1" t="n">
        <v>46047</v>
      </c>
      <c r="D74" t="inlineStr">
        <is>
          <t>UPPSALA LÄN</t>
        </is>
      </c>
      <c r="E74" t="inlineStr">
        <is>
          <t>TIERP</t>
        </is>
      </c>
      <c r="G74" t="n">
        <v>0.7</v>
      </c>
      <c r="H74" t="n">
        <v>0</v>
      </c>
      <c r="I74" t="n">
        <v>0</v>
      </c>
      <c r="J74" t="n">
        <v>1</v>
      </c>
      <c r="K74" t="n">
        <v>0</v>
      </c>
      <c r="L74" t="n">
        <v>0</v>
      </c>
      <c r="M74" t="n">
        <v>0</v>
      </c>
      <c r="N74" t="n">
        <v>0</v>
      </c>
      <c r="O74" t="n">
        <v>1</v>
      </c>
      <c r="P74" t="n">
        <v>0</v>
      </c>
      <c r="Q74" t="n">
        <v>1</v>
      </c>
      <c r="R74" s="2" t="inlineStr">
        <is>
          <t>Fyrflikig jordstjärna</t>
        </is>
      </c>
      <c r="S74">
        <f>HYPERLINK("https://klasma.github.io/Logging_0360/artfynd/A 2298-2024 artfynd.xlsx", "A 2298-2024")</f>
        <v/>
      </c>
      <c r="T74">
        <f>HYPERLINK("https://klasma.github.io/Logging_0360/kartor/A 2298-2024 karta.png", "A 2298-2024")</f>
        <v/>
      </c>
      <c r="V74">
        <f>HYPERLINK("https://klasma.github.io/Logging_0360/klagomål/A 2298-2024 FSC-klagomål.docx", "A 2298-2024")</f>
        <v/>
      </c>
      <c r="W74">
        <f>HYPERLINK("https://klasma.github.io/Logging_0360/klagomålsmail/A 2298-2024 FSC-klagomål mail.docx", "A 2298-2024")</f>
        <v/>
      </c>
      <c r="X74">
        <f>HYPERLINK("https://klasma.github.io/Logging_0360/tillsyn/A 2298-2024 tillsynsbegäran.docx", "A 2298-2024")</f>
        <v/>
      </c>
      <c r="Y74">
        <f>HYPERLINK("https://klasma.github.io/Logging_0360/tillsynsmail/A 2298-2024 tillsynsbegäran mail.docx", "A 2298-2024")</f>
        <v/>
      </c>
    </row>
    <row r="75" ht="15" customHeight="1">
      <c r="A75" t="inlineStr">
        <is>
          <t>A 44680-2025</t>
        </is>
      </c>
      <c r="B75" s="1" t="n">
        <v>45917.57564814815</v>
      </c>
      <c r="C75" s="1" t="n">
        <v>46047</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58107-2024</t>
        </is>
      </c>
      <c r="B76" s="1" t="n">
        <v>45632</v>
      </c>
      <c r="C76" s="1" t="n">
        <v>46047</v>
      </c>
      <c r="D76" t="inlineStr">
        <is>
          <t>UPPSALA LÄN</t>
        </is>
      </c>
      <c r="E76" t="inlineStr">
        <is>
          <t>TIERP</t>
        </is>
      </c>
      <c r="G76" t="n">
        <v>0.6</v>
      </c>
      <c r="H76" t="n">
        <v>1</v>
      </c>
      <c r="I76" t="n">
        <v>1</v>
      </c>
      <c r="J76" t="n">
        <v>0</v>
      </c>
      <c r="K76" t="n">
        <v>0</v>
      </c>
      <c r="L76" t="n">
        <v>0</v>
      </c>
      <c r="M76" t="n">
        <v>0</v>
      </c>
      <c r="N76" t="n">
        <v>0</v>
      </c>
      <c r="O76" t="n">
        <v>0</v>
      </c>
      <c r="P76" t="n">
        <v>0</v>
      </c>
      <c r="Q76" t="n">
        <v>1</v>
      </c>
      <c r="R76" s="2" t="inlineStr">
        <is>
          <t>Skogsknipprot</t>
        </is>
      </c>
      <c r="S76">
        <f>HYPERLINK("https://klasma.github.io/Logging_0360/artfynd/A 58107-2024 artfynd.xlsx", "A 58107-2024")</f>
        <v/>
      </c>
      <c r="T76">
        <f>HYPERLINK("https://klasma.github.io/Logging_0360/kartor/A 58107-2024 karta.png", "A 58107-2024")</f>
        <v/>
      </c>
      <c r="V76">
        <f>HYPERLINK("https://klasma.github.io/Logging_0360/klagomål/A 58107-2024 FSC-klagomål.docx", "A 58107-2024")</f>
        <v/>
      </c>
      <c r="W76">
        <f>HYPERLINK("https://klasma.github.io/Logging_0360/klagomålsmail/A 58107-2024 FSC-klagomål mail.docx", "A 58107-2024")</f>
        <v/>
      </c>
      <c r="X76">
        <f>HYPERLINK("https://klasma.github.io/Logging_0360/tillsyn/A 58107-2024 tillsynsbegäran.docx", "A 58107-2024")</f>
        <v/>
      </c>
      <c r="Y76">
        <f>HYPERLINK("https://klasma.github.io/Logging_0360/tillsynsmail/A 58107-2024 tillsynsbegäran mail.docx", "A 58107-2024")</f>
        <v/>
      </c>
    </row>
    <row r="77" ht="15" customHeight="1">
      <c r="A77" t="inlineStr">
        <is>
          <t>A 45460-2025</t>
        </is>
      </c>
      <c r="B77" s="1" t="n">
        <v>45922.49263888889</v>
      </c>
      <c r="C77" s="1" t="n">
        <v>46047</v>
      </c>
      <c r="D77" t="inlineStr">
        <is>
          <t>UPPSALA LÄN</t>
        </is>
      </c>
      <c r="E77" t="inlineStr">
        <is>
          <t>TIERP</t>
        </is>
      </c>
      <c r="G77" t="n">
        <v>4.2</v>
      </c>
      <c r="H77" t="n">
        <v>0</v>
      </c>
      <c r="I77" t="n">
        <v>1</v>
      </c>
      <c r="J77" t="n">
        <v>0</v>
      </c>
      <c r="K77" t="n">
        <v>0</v>
      </c>
      <c r="L77" t="n">
        <v>0</v>
      </c>
      <c r="M77" t="n">
        <v>0</v>
      </c>
      <c r="N77" t="n">
        <v>0</v>
      </c>
      <c r="O77" t="n">
        <v>0</v>
      </c>
      <c r="P77" t="n">
        <v>0</v>
      </c>
      <c r="Q77" t="n">
        <v>1</v>
      </c>
      <c r="R77" s="2" t="inlineStr">
        <is>
          <t>Vårärt</t>
        </is>
      </c>
      <c r="S77">
        <f>HYPERLINK("https://klasma.github.io/Logging_0360/artfynd/A 45460-2025 artfynd.xlsx", "A 45460-2025")</f>
        <v/>
      </c>
      <c r="T77">
        <f>HYPERLINK("https://klasma.github.io/Logging_0360/kartor/A 45460-2025 karta.png", "A 45460-2025")</f>
        <v/>
      </c>
      <c r="V77">
        <f>HYPERLINK("https://klasma.github.io/Logging_0360/klagomål/A 45460-2025 FSC-klagomål.docx", "A 45460-2025")</f>
        <v/>
      </c>
      <c r="W77">
        <f>HYPERLINK("https://klasma.github.io/Logging_0360/klagomålsmail/A 45460-2025 FSC-klagomål mail.docx", "A 45460-2025")</f>
        <v/>
      </c>
      <c r="X77">
        <f>HYPERLINK("https://klasma.github.io/Logging_0360/tillsyn/A 45460-2025 tillsynsbegäran.docx", "A 45460-2025")</f>
        <v/>
      </c>
      <c r="Y77">
        <f>HYPERLINK("https://klasma.github.io/Logging_0360/tillsynsmail/A 45460-2025 tillsynsbegäran mail.docx", "A 45460-2025")</f>
        <v/>
      </c>
    </row>
    <row r="78" ht="15" customHeight="1">
      <c r="A78" t="inlineStr">
        <is>
          <t>A 27855-2025</t>
        </is>
      </c>
      <c r="B78" s="1" t="n">
        <v>45817</v>
      </c>
      <c r="C78" s="1" t="n">
        <v>46047</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2332-2024</t>
        </is>
      </c>
      <c r="B79" s="1" t="n">
        <v>45310</v>
      </c>
      <c r="C79" s="1" t="n">
        <v>46047</v>
      </c>
      <c r="D79" t="inlineStr">
        <is>
          <t>UPPSALA LÄN</t>
        </is>
      </c>
      <c r="E79" t="inlineStr">
        <is>
          <t>TIERP</t>
        </is>
      </c>
      <c r="G79" t="n">
        <v>3.7</v>
      </c>
      <c r="H79" t="n">
        <v>1</v>
      </c>
      <c r="I79" t="n">
        <v>0</v>
      </c>
      <c r="J79" t="n">
        <v>1</v>
      </c>
      <c r="K79" t="n">
        <v>0</v>
      </c>
      <c r="L79" t="n">
        <v>0</v>
      </c>
      <c r="M79" t="n">
        <v>0</v>
      </c>
      <c r="N79" t="n">
        <v>0</v>
      </c>
      <c r="O79" t="n">
        <v>1</v>
      </c>
      <c r="P79" t="n">
        <v>0</v>
      </c>
      <c r="Q79" t="n">
        <v>1</v>
      </c>
      <c r="R79" s="2" t="inlineStr">
        <is>
          <t>Talltita</t>
        </is>
      </c>
      <c r="S79">
        <f>HYPERLINK("https://klasma.github.io/Logging_0360/artfynd/A 2332-2024 artfynd.xlsx", "A 2332-2024")</f>
        <v/>
      </c>
      <c r="T79">
        <f>HYPERLINK("https://klasma.github.io/Logging_0360/kartor/A 2332-2024 karta.png", "A 2332-2024")</f>
        <v/>
      </c>
      <c r="V79">
        <f>HYPERLINK("https://klasma.github.io/Logging_0360/klagomål/A 2332-2024 FSC-klagomål.docx", "A 2332-2024")</f>
        <v/>
      </c>
      <c r="W79">
        <f>HYPERLINK("https://klasma.github.io/Logging_0360/klagomålsmail/A 2332-2024 FSC-klagomål mail.docx", "A 2332-2024")</f>
        <v/>
      </c>
      <c r="X79">
        <f>HYPERLINK("https://klasma.github.io/Logging_0360/tillsyn/A 2332-2024 tillsynsbegäran.docx", "A 2332-2024")</f>
        <v/>
      </c>
      <c r="Y79">
        <f>HYPERLINK("https://klasma.github.io/Logging_0360/tillsynsmail/A 2332-2024 tillsynsbegäran mail.docx", "A 2332-2024")</f>
        <v/>
      </c>
      <c r="Z79">
        <f>HYPERLINK("https://klasma.github.io/Logging_0360/fåglar/A 2332-2024 prioriterade fågelarter.docx", "A 2332-2024")</f>
        <v/>
      </c>
    </row>
    <row r="80" ht="15" customHeight="1">
      <c r="A80" t="inlineStr">
        <is>
          <t>A 47520-2025</t>
        </is>
      </c>
      <c r="B80" s="1" t="n">
        <v>45931.32129629629</v>
      </c>
      <c r="C80" s="1" t="n">
        <v>46047</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52002-2025</t>
        </is>
      </c>
      <c r="B81" s="1" t="n">
        <v>45952.59070601852</v>
      </c>
      <c r="C81" s="1" t="n">
        <v>46047</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52204-2025</t>
        </is>
      </c>
      <c r="B82" s="1" t="n">
        <v>45953.40888888889</v>
      </c>
      <c r="C82" s="1" t="n">
        <v>46047</v>
      </c>
      <c r="D82" t="inlineStr">
        <is>
          <t>UPPSALA LÄN</t>
        </is>
      </c>
      <c r="E82" t="inlineStr">
        <is>
          <t>TIERP</t>
        </is>
      </c>
      <c r="F82" t="inlineStr">
        <is>
          <t>Bergvik skog öst AB</t>
        </is>
      </c>
      <c r="G82" t="n">
        <v>5.6</v>
      </c>
      <c r="H82" t="n">
        <v>1</v>
      </c>
      <c r="I82" t="n">
        <v>0</v>
      </c>
      <c r="J82" t="n">
        <v>0</v>
      </c>
      <c r="K82" t="n">
        <v>0</v>
      </c>
      <c r="L82" t="n">
        <v>0</v>
      </c>
      <c r="M82" t="n">
        <v>0</v>
      </c>
      <c r="N82" t="n">
        <v>0</v>
      </c>
      <c r="O82" t="n">
        <v>0</v>
      </c>
      <c r="P82" t="n">
        <v>0</v>
      </c>
      <c r="Q82" t="n">
        <v>1</v>
      </c>
      <c r="R82" s="2" t="inlineStr">
        <is>
          <t>Blåsippa</t>
        </is>
      </c>
      <c r="S82">
        <f>HYPERLINK("https://klasma.github.io/Logging_0360/artfynd/A 52204-2025 artfynd.xlsx", "A 52204-2025")</f>
        <v/>
      </c>
      <c r="T82">
        <f>HYPERLINK("https://klasma.github.io/Logging_0360/kartor/A 52204-2025 karta.png", "A 52204-2025")</f>
        <v/>
      </c>
      <c r="V82">
        <f>HYPERLINK("https://klasma.github.io/Logging_0360/klagomål/A 52204-2025 FSC-klagomål.docx", "A 52204-2025")</f>
        <v/>
      </c>
      <c r="W82">
        <f>HYPERLINK("https://klasma.github.io/Logging_0360/klagomålsmail/A 52204-2025 FSC-klagomål mail.docx", "A 52204-2025")</f>
        <v/>
      </c>
      <c r="X82">
        <f>HYPERLINK("https://klasma.github.io/Logging_0360/tillsyn/A 52204-2025 tillsynsbegäran.docx", "A 52204-2025")</f>
        <v/>
      </c>
      <c r="Y82">
        <f>HYPERLINK("https://klasma.github.io/Logging_0360/tillsynsmail/A 52204-2025 tillsynsbegäran mail.docx", "A 52204-2025")</f>
        <v/>
      </c>
    </row>
    <row r="83" ht="15" customHeight="1">
      <c r="A83" t="inlineStr">
        <is>
          <t>A 52211-2025</t>
        </is>
      </c>
      <c r="B83" s="1" t="n">
        <v>45953.42253472222</v>
      </c>
      <c r="C83" s="1" t="n">
        <v>46047</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54141-2025</t>
        </is>
      </c>
      <c r="B84" s="1" t="n">
        <v>45964</v>
      </c>
      <c r="C84" s="1" t="n">
        <v>46047</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56972-2022</t>
        </is>
      </c>
      <c r="B85" s="1" t="n">
        <v>44894</v>
      </c>
      <c r="C85" s="1" t="n">
        <v>46047</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46047</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47584-2025</t>
        </is>
      </c>
      <c r="B87" s="1" t="n">
        <v>45931.43355324074</v>
      </c>
      <c r="C87" s="1" t="n">
        <v>46047</v>
      </c>
      <c r="D87" t="inlineStr">
        <is>
          <t>UPPSALA LÄN</t>
        </is>
      </c>
      <c r="E87" t="inlineStr">
        <is>
          <t>TIERP</t>
        </is>
      </c>
      <c r="F87" t="inlineStr">
        <is>
          <t>Bergvik skog öst AB</t>
        </is>
      </c>
      <c r="G87" t="n">
        <v>5.5</v>
      </c>
      <c r="H87" t="n">
        <v>1</v>
      </c>
      <c r="I87" t="n">
        <v>0</v>
      </c>
      <c r="J87" t="n">
        <v>1</v>
      </c>
      <c r="K87" t="n">
        <v>0</v>
      </c>
      <c r="L87" t="n">
        <v>0</v>
      </c>
      <c r="M87" t="n">
        <v>0</v>
      </c>
      <c r="N87" t="n">
        <v>0</v>
      </c>
      <c r="O87" t="n">
        <v>1</v>
      </c>
      <c r="P87" t="n">
        <v>0</v>
      </c>
      <c r="Q87" t="n">
        <v>1</v>
      </c>
      <c r="R87" s="2" t="inlineStr">
        <is>
          <t>Spillkråka</t>
        </is>
      </c>
      <c r="S87">
        <f>HYPERLINK("https://klasma.github.io/Logging_0360/artfynd/A 47584-2025 artfynd.xlsx", "A 47584-2025")</f>
        <v/>
      </c>
      <c r="T87">
        <f>HYPERLINK("https://klasma.github.io/Logging_0360/kartor/A 47584-2025 karta.png", "A 47584-2025")</f>
        <v/>
      </c>
      <c r="V87">
        <f>HYPERLINK("https://klasma.github.io/Logging_0360/klagomål/A 47584-2025 FSC-klagomål.docx", "A 47584-2025")</f>
        <v/>
      </c>
      <c r="W87">
        <f>HYPERLINK("https://klasma.github.io/Logging_0360/klagomålsmail/A 47584-2025 FSC-klagomål mail.docx", "A 47584-2025")</f>
        <v/>
      </c>
      <c r="X87">
        <f>HYPERLINK("https://klasma.github.io/Logging_0360/tillsyn/A 47584-2025 tillsynsbegäran.docx", "A 47584-2025")</f>
        <v/>
      </c>
      <c r="Y87">
        <f>HYPERLINK("https://klasma.github.io/Logging_0360/tillsynsmail/A 47584-2025 tillsynsbegäran mail.docx", "A 47584-2025")</f>
        <v/>
      </c>
      <c r="Z87">
        <f>HYPERLINK("https://klasma.github.io/Logging_0360/fåglar/A 47584-2025 prioriterade fågelarter.docx", "A 47584-2025")</f>
        <v/>
      </c>
    </row>
    <row r="88" ht="15" customHeight="1">
      <c r="A88" t="inlineStr">
        <is>
          <t>A 49776-2025</t>
        </is>
      </c>
      <c r="B88" s="1" t="n">
        <v>45940.3791087963</v>
      </c>
      <c r="C88" s="1" t="n">
        <v>46047</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54835-2025</t>
        </is>
      </c>
      <c r="B89" s="1" t="n">
        <v>45966.67909722222</v>
      </c>
      <c r="C89" s="1" t="n">
        <v>46047</v>
      </c>
      <c r="D89" t="inlineStr">
        <is>
          <t>UPPSALA LÄN</t>
        </is>
      </c>
      <c r="E89" t="inlineStr">
        <is>
          <t>TIERP</t>
        </is>
      </c>
      <c r="F89" t="inlineStr">
        <is>
          <t>Bergvik skog öst AB</t>
        </is>
      </c>
      <c r="G89" t="n">
        <v>2.8</v>
      </c>
      <c r="H89" t="n">
        <v>1</v>
      </c>
      <c r="I89" t="n">
        <v>0</v>
      </c>
      <c r="J89" t="n">
        <v>0</v>
      </c>
      <c r="K89" t="n">
        <v>1</v>
      </c>
      <c r="L89" t="n">
        <v>0</v>
      </c>
      <c r="M89" t="n">
        <v>0</v>
      </c>
      <c r="N89" t="n">
        <v>0</v>
      </c>
      <c r="O89" t="n">
        <v>1</v>
      </c>
      <c r="P89" t="n">
        <v>1</v>
      </c>
      <c r="Q89" t="n">
        <v>1</v>
      </c>
      <c r="R89" s="2" t="inlineStr">
        <is>
          <t>Knärot</t>
        </is>
      </c>
      <c r="S89">
        <f>HYPERLINK("https://klasma.github.io/Logging_0360/artfynd/A 54835-2025 artfynd.xlsx", "A 54835-2025")</f>
        <v/>
      </c>
      <c r="T89">
        <f>HYPERLINK("https://klasma.github.io/Logging_0360/kartor/A 54835-2025 karta.png", "A 54835-2025")</f>
        <v/>
      </c>
      <c r="U89">
        <f>HYPERLINK("https://klasma.github.io/Logging_0360/knärot/A 54835-2025 karta knärot.png", "A 54835-2025")</f>
        <v/>
      </c>
      <c r="V89">
        <f>HYPERLINK("https://klasma.github.io/Logging_0360/klagomål/A 54835-2025 FSC-klagomål.docx", "A 54835-2025")</f>
        <v/>
      </c>
      <c r="W89">
        <f>HYPERLINK("https://klasma.github.io/Logging_0360/klagomålsmail/A 54835-2025 FSC-klagomål mail.docx", "A 54835-2025")</f>
        <v/>
      </c>
      <c r="X89">
        <f>HYPERLINK("https://klasma.github.io/Logging_0360/tillsyn/A 54835-2025 tillsynsbegäran.docx", "A 54835-2025")</f>
        <v/>
      </c>
      <c r="Y89">
        <f>HYPERLINK("https://klasma.github.io/Logging_0360/tillsynsmail/A 54835-2025 tillsynsbegäran mail.docx", "A 54835-2025")</f>
        <v/>
      </c>
    </row>
    <row r="90" ht="15" customHeight="1">
      <c r="A90" t="inlineStr">
        <is>
          <t>A 43680-2022</t>
        </is>
      </c>
      <c r="B90" s="1" t="n">
        <v>44837</v>
      </c>
      <c r="C90" s="1" t="n">
        <v>46047</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46047</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46047</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46047</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46047</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46047</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46047</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46047</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46047</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46047</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46047</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46047</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46047</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46047</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46047</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46047</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46047</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46047</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46047</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46047</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46047</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46047</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46047</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46047</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46047</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46047</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46047</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47414-2022</t>
        </is>
      </c>
      <c r="B117" s="1" t="n">
        <v>44853.5450462963</v>
      </c>
      <c r="C117" s="1" t="n">
        <v>46047</v>
      </c>
      <c r="D117" t="inlineStr">
        <is>
          <t>UPPSALA LÄN</t>
        </is>
      </c>
      <c r="E117" t="inlineStr">
        <is>
          <t>TIERP</t>
        </is>
      </c>
      <c r="G117" t="n">
        <v>5.3</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46047</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49053-2021</t>
        </is>
      </c>
      <c r="B119" s="1" t="n">
        <v>44453</v>
      </c>
      <c r="C119" s="1" t="n">
        <v>46047</v>
      </c>
      <c r="D119" t="inlineStr">
        <is>
          <t>UPPSALA LÄN</t>
        </is>
      </c>
      <c r="E119" t="inlineStr">
        <is>
          <t>TIERP</t>
        </is>
      </c>
      <c r="G119" t="n">
        <v>1</v>
      </c>
      <c r="H119" t="n">
        <v>0</v>
      </c>
      <c r="I119" t="n">
        <v>0</v>
      </c>
      <c r="J119" t="n">
        <v>0</v>
      </c>
      <c r="K119" t="n">
        <v>0</v>
      </c>
      <c r="L119" t="n">
        <v>0</v>
      </c>
      <c r="M119" t="n">
        <v>0</v>
      </c>
      <c r="N119" t="n">
        <v>0</v>
      </c>
      <c r="O119" t="n">
        <v>0</v>
      </c>
      <c r="P119" t="n">
        <v>0</v>
      </c>
      <c r="Q119" t="n">
        <v>0</v>
      </c>
      <c r="R119" s="2" t="inlineStr"/>
    </row>
    <row r="120" ht="15" customHeight="1">
      <c r="A120" t="inlineStr">
        <is>
          <t>A 73317-2021</t>
        </is>
      </c>
      <c r="B120" s="1" t="n">
        <v>44551</v>
      </c>
      <c r="C120" s="1" t="n">
        <v>46047</v>
      </c>
      <c r="D120" t="inlineStr">
        <is>
          <t>UPPSALA LÄN</t>
        </is>
      </c>
      <c r="E120" t="inlineStr">
        <is>
          <t>TIERP</t>
        </is>
      </c>
      <c r="G120" t="n">
        <v>2.7</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46047</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46047</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46047</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46047</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33890-2022</t>
        </is>
      </c>
      <c r="B125" s="1" t="n">
        <v>44790.60746527778</v>
      </c>
      <c r="C125" s="1" t="n">
        <v>46047</v>
      </c>
      <c r="D125" t="inlineStr">
        <is>
          <t>UPPSALA LÄN</t>
        </is>
      </c>
      <c r="E125" t="inlineStr">
        <is>
          <t>TIERP</t>
        </is>
      </c>
      <c r="G125" t="n">
        <v>0.7</v>
      </c>
      <c r="H125" t="n">
        <v>0</v>
      </c>
      <c r="I125" t="n">
        <v>0</v>
      </c>
      <c r="J125" t="n">
        <v>0</v>
      </c>
      <c r="K125" t="n">
        <v>0</v>
      </c>
      <c r="L125" t="n">
        <v>0</v>
      </c>
      <c r="M125" t="n">
        <v>0</v>
      </c>
      <c r="N125" t="n">
        <v>0</v>
      </c>
      <c r="O125" t="n">
        <v>0</v>
      </c>
      <c r="P125" t="n">
        <v>0</v>
      </c>
      <c r="Q125" t="n">
        <v>0</v>
      </c>
      <c r="R125" s="2" t="inlineStr"/>
    </row>
    <row r="126" ht="15" customHeight="1">
      <c r="A126" t="inlineStr">
        <is>
          <t>A 36166-2021</t>
        </is>
      </c>
      <c r="B126" s="1" t="n">
        <v>44389</v>
      </c>
      <c r="C126" s="1" t="n">
        <v>46047</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46047</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46047</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46047</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39838-2021</t>
        </is>
      </c>
      <c r="B130" s="1" t="n">
        <v>44417</v>
      </c>
      <c r="C130" s="1" t="n">
        <v>46047</v>
      </c>
      <c r="D130" t="inlineStr">
        <is>
          <t>UPPSALA LÄN</t>
        </is>
      </c>
      <c r="E130" t="inlineStr">
        <is>
          <t>TIERP</t>
        </is>
      </c>
      <c r="G130" t="n">
        <v>0.6</v>
      </c>
      <c r="H130" t="n">
        <v>0</v>
      </c>
      <c r="I130" t="n">
        <v>0</v>
      </c>
      <c r="J130" t="n">
        <v>0</v>
      </c>
      <c r="K130" t="n">
        <v>0</v>
      </c>
      <c r="L130" t="n">
        <v>0</v>
      </c>
      <c r="M130" t="n">
        <v>0</v>
      </c>
      <c r="N130" t="n">
        <v>0</v>
      </c>
      <c r="O130" t="n">
        <v>0</v>
      </c>
      <c r="P130" t="n">
        <v>0</v>
      </c>
      <c r="Q130" t="n">
        <v>0</v>
      </c>
      <c r="R130" s="2" t="inlineStr"/>
    </row>
    <row r="131" ht="15" customHeight="1">
      <c r="A131" t="inlineStr">
        <is>
          <t>A 48455-2021</t>
        </is>
      </c>
      <c r="B131" s="1" t="n">
        <v>44452</v>
      </c>
      <c r="C131" s="1" t="n">
        <v>46047</v>
      </c>
      <c r="D131" t="inlineStr">
        <is>
          <t>UPPSALA LÄN</t>
        </is>
      </c>
      <c r="E131" t="inlineStr">
        <is>
          <t>TIERP</t>
        </is>
      </c>
      <c r="G131" t="n">
        <v>2</v>
      </c>
      <c r="H131" t="n">
        <v>0</v>
      </c>
      <c r="I131" t="n">
        <v>0</v>
      </c>
      <c r="J131" t="n">
        <v>0</v>
      </c>
      <c r="K131" t="n">
        <v>0</v>
      </c>
      <c r="L131" t="n">
        <v>0</v>
      </c>
      <c r="M131" t="n">
        <v>0</v>
      </c>
      <c r="N131" t="n">
        <v>0</v>
      </c>
      <c r="O131" t="n">
        <v>0</v>
      </c>
      <c r="P131" t="n">
        <v>0</v>
      </c>
      <c r="Q131" t="n">
        <v>0</v>
      </c>
      <c r="R131" s="2" t="inlineStr"/>
    </row>
    <row r="132" ht="15" customHeight="1">
      <c r="A132" t="inlineStr">
        <is>
          <t>A 48575-2022</t>
        </is>
      </c>
      <c r="B132" s="1" t="n">
        <v>44859</v>
      </c>
      <c r="C132" s="1" t="n">
        <v>46047</v>
      </c>
      <c r="D132" t="inlineStr">
        <is>
          <t>UPPSALA LÄN</t>
        </is>
      </c>
      <c r="E132" t="inlineStr">
        <is>
          <t>TIERP</t>
        </is>
      </c>
      <c r="G132" t="n">
        <v>0.9</v>
      </c>
      <c r="H132" t="n">
        <v>0</v>
      </c>
      <c r="I132" t="n">
        <v>0</v>
      </c>
      <c r="J132" t="n">
        <v>0</v>
      </c>
      <c r="K132" t="n">
        <v>0</v>
      </c>
      <c r="L132" t="n">
        <v>0</v>
      </c>
      <c r="M132" t="n">
        <v>0</v>
      </c>
      <c r="N132" t="n">
        <v>0</v>
      </c>
      <c r="O132" t="n">
        <v>0</v>
      </c>
      <c r="P132" t="n">
        <v>0</v>
      </c>
      <c r="Q132" t="n">
        <v>0</v>
      </c>
      <c r="R132" s="2" t="inlineStr"/>
    </row>
    <row r="133" ht="15" customHeight="1">
      <c r="A133" t="inlineStr">
        <is>
          <t>A 27860-2022</t>
        </is>
      </c>
      <c r="B133" s="1" t="n">
        <v>44743</v>
      </c>
      <c r="C133" s="1" t="n">
        <v>46047</v>
      </c>
      <c r="D133" t="inlineStr">
        <is>
          <t>UPPSALA LÄN</t>
        </is>
      </c>
      <c r="E133" t="inlineStr">
        <is>
          <t>TIERP</t>
        </is>
      </c>
      <c r="G133" t="n">
        <v>5.6</v>
      </c>
      <c r="H133" t="n">
        <v>0</v>
      </c>
      <c r="I133" t="n">
        <v>0</v>
      </c>
      <c r="J133" t="n">
        <v>0</v>
      </c>
      <c r="K133" t="n">
        <v>0</v>
      </c>
      <c r="L133" t="n">
        <v>0</v>
      </c>
      <c r="M133" t="n">
        <v>0</v>
      </c>
      <c r="N133" t="n">
        <v>0</v>
      </c>
      <c r="O133" t="n">
        <v>0</v>
      </c>
      <c r="P133" t="n">
        <v>0</v>
      </c>
      <c r="Q133" t="n">
        <v>0</v>
      </c>
      <c r="R133" s="2" t="inlineStr"/>
    </row>
    <row r="134" ht="15" customHeight="1">
      <c r="A134" t="inlineStr">
        <is>
          <t>A 27533-2022</t>
        </is>
      </c>
      <c r="B134" s="1" t="n">
        <v>44742</v>
      </c>
      <c r="C134" s="1" t="n">
        <v>46047</v>
      </c>
      <c r="D134" t="inlineStr">
        <is>
          <t>UPPSALA LÄN</t>
        </is>
      </c>
      <c r="E134" t="inlineStr">
        <is>
          <t>TIERP</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46047</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46047</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46047</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46047</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13650-2022</t>
        </is>
      </c>
      <c r="B139" s="1" t="n">
        <v>44648.65048611111</v>
      </c>
      <c r="C139" s="1" t="n">
        <v>46047</v>
      </c>
      <c r="D139" t="inlineStr">
        <is>
          <t>UPPSALA LÄN</t>
        </is>
      </c>
      <c r="E139" t="inlineStr">
        <is>
          <t>TIERP</t>
        </is>
      </c>
      <c r="G139" t="n">
        <v>1.2</v>
      </c>
      <c r="H139" t="n">
        <v>0</v>
      </c>
      <c r="I139" t="n">
        <v>0</v>
      </c>
      <c r="J139" t="n">
        <v>0</v>
      </c>
      <c r="K139" t="n">
        <v>0</v>
      </c>
      <c r="L139" t="n">
        <v>0</v>
      </c>
      <c r="M139" t="n">
        <v>0</v>
      </c>
      <c r="N139" t="n">
        <v>0</v>
      </c>
      <c r="O139" t="n">
        <v>0</v>
      </c>
      <c r="P139" t="n">
        <v>0</v>
      </c>
      <c r="Q139" t="n">
        <v>0</v>
      </c>
      <c r="R139" s="2" t="inlineStr"/>
    </row>
    <row r="140" ht="15" customHeight="1">
      <c r="A140" t="inlineStr">
        <is>
          <t>A 13656-2022</t>
        </is>
      </c>
      <c r="B140" s="1" t="n">
        <v>44648.65753472222</v>
      </c>
      <c r="C140" s="1" t="n">
        <v>46047</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2814-2022</t>
        </is>
      </c>
      <c r="B141" s="1" t="n">
        <v>44581</v>
      </c>
      <c r="C141" s="1" t="n">
        <v>46047</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46047</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18097-2022</t>
        </is>
      </c>
      <c r="B143" s="1" t="n">
        <v>44684.47436342593</v>
      </c>
      <c r="C143" s="1" t="n">
        <v>46047</v>
      </c>
      <c r="D143" t="inlineStr">
        <is>
          <t>UPPSALA LÄN</t>
        </is>
      </c>
      <c r="E143" t="inlineStr">
        <is>
          <t>TIERP</t>
        </is>
      </c>
      <c r="F143" t="inlineStr">
        <is>
          <t>Bergvik skog öst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59378-2021</t>
        </is>
      </c>
      <c r="B144" s="1" t="n">
        <v>44491</v>
      </c>
      <c r="C144" s="1" t="n">
        <v>46047</v>
      </c>
      <c r="D144" t="inlineStr">
        <is>
          <t>UPPSALA LÄN</t>
        </is>
      </c>
      <c r="E144" t="inlineStr">
        <is>
          <t>TIERP</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46047</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56509-2021</t>
        </is>
      </c>
      <c r="B146" s="1" t="n">
        <v>44480.58166666667</v>
      </c>
      <c r="C146" s="1" t="n">
        <v>46047</v>
      </c>
      <c r="D146" t="inlineStr">
        <is>
          <t>UPPSALA LÄN</t>
        </is>
      </c>
      <c r="E146" t="inlineStr">
        <is>
          <t>TIERP</t>
        </is>
      </c>
      <c r="G146" t="n">
        <v>1.1</v>
      </c>
      <c r="H146" t="n">
        <v>0</v>
      </c>
      <c r="I146" t="n">
        <v>0</v>
      </c>
      <c r="J146" t="n">
        <v>0</v>
      </c>
      <c r="K146" t="n">
        <v>0</v>
      </c>
      <c r="L146" t="n">
        <v>0</v>
      </c>
      <c r="M146" t="n">
        <v>0</v>
      </c>
      <c r="N146" t="n">
        <v>0</v>
      </c>
      <c r="O146" t="n">
        <v>0</v>
      </c>
      <c r="P146" t="n">
        <v>0</v>
      </c>
      <c r="Q146" t="n">
        <v>0</v>
      </c>
      <c r="R146" s="2" t="inlineStr"/>
    </row>
    <row r="147" ht="15" customHeight="1">
      <c r="A147" t="inlineStr">
        <is>
          <t>A 11496-2022</t>
        </is>
      </c>
      <c r="B147" s="1" t="n">
        <v>44631.29655092592</v>
      </c>
      <c r="C147" s="1" t="n">
        <v>46047</v>
      </c>
      <c r="D147" t="inlineStr">
        <is>
          <t>UPPSALA LÄN</t>
        </is>
      </c>
      <c r="E147" t="inlineStr">
        <is>
          <t>TIERP</t>
        </is>
      </c>
      <c r="G147" t="n">
        <v>0.8</v>
      </c>
      <c r="H147" t="n">
        <v>0</v>
      </c>
      <c r="I147" t="n">
        <v>0</v>
      </c>
      <c r="J147" t="n">
        <v>0</v>
      </c>
      <c r="K147" t="n">
        <v>0</v>
      </c>
      <c r="L147" t="n">
        <v>0</v>
      </c>
      <c r="M147" t="n">
        <v>0</v>
      </c>
      <c r="N147" t="n">
        <v>0</v>
      </c>
      <c r="O147" t="n">
        <v>0</v>
      </c>
      <c r="P147" t="n">
        <v>0</v>
      </c>
      <c r="Q147" t="n">
        <v>0</v>
      </c>
      <c r="R147" s="2" t="inlineStr"/>
    </row>
    <row r="148" ht="15" customHeight="1">
      <c r="A148" t="inlineStr">
        <is>
          <t>A 58900-2023</t>
        </is>
      </c>
      <c r="B148" s="1" t="n">
        <v>45252</v>
      </c>
      <c r="C148" s="1" t="n">
        <v>46047</v>
      </c>
      <c r="D148" t="inlineStr">
        <is>
          <t>UPPSALA LÄN</t>
        </is>
      </c>
      <c r="E148" t="inlineStr">
        <is>
          <t>TIERP</t>
        </is>
      </c>
      <c r="G148" t="n">
        <v>25</v>
      </c>
      <c r="H148" t="n">
        <v>0</v>
      </c>
      <c r="I148" t="n">
        <v>0</v>
      </c>
      <c r="J148" t="n">
        <v>0</v>
      </c>
      <c r="K148" t="n">
        <v>0</v>
      </c>
      <c r="L148" t="n">
        <v>0</v>
      </c>
      <c r="M148" t="n">
        <v>0</v>
      </c>
      <c r="N148" t="n">
        <v>0</v>
      </c>
      <c r="O148" t="n">
        <v>0</v>
      </c>
      <c r="P148" t="n">
        <v>0</v>
      </c>
      <c r="Q148" t="n">
        <v>0</v>
      </c>
      <c r="R148" s="2" t="inlineStr"/>
    </row>
    <row r="149" ht="15" customHeight="1">
      <c r="A149" t="inlineStr">
        <is>
          <t>A 58947-2023</t>
        </is>
      </c>
      <c r="B149" s="1" t="n">
        <v>45252.57987268519</v>
      </c>
      <c r="C149" s="1" t="n">
        <v>46047</v>
      </c>
      <c r="D149" t="inlineStr">
        <is>
          <t>UPPSALA LÄN</t>
        </is>
      </c>
      <c r="E149" t="inlineStr">
        <is>
          <t>TIERP</t>
        </is>
      </c>
      <c r="G149" t="n">
        <v>3.1</v>
      </c>
      <c r="H149" t="n">
        <v>0</v>
      </c>
      <c r="I149" t="n">
        <v>0</v>
      </c>
      <c r="J149" t="n">
        <v>0</v>
      </c>
      <c r="K149" t="n">
        <v>0</v>
      </c>
      <c r="L149" t="n">
        <v>0</v>
      </c>
      <c r="M149" t="n">
        <v>0</v>
      </c>
      <c r="N149" t="n">
        <v>0</v>
      </c>
      <c r="O149" t="n">
        <v>0</v>
      </c>
      <c r="P149" t="n">
        <v>0</v>
      </c>
      <c r="Q149" t="n">
        <v>0</v>
      </c>
      <c r="R149" s="2" t="inlineStr"/>
    </row>
    <row r="150" ht="15" customHeight="1">
      <c r="A150" t="inlineStr">
        <is>
          <t>A 21047-2022</t>
        </is>
      </c>
      <c r="B150" s="1" t="n">
        <v>44704.44180555556</v>
      </c>
      <c r="C150" s="1" t="n">
        <v>46047</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60441-2021</t>
        </is>
      </c>
      <c r="B151" s="1" t="n">
        <v>44496</v>
      </c>
      <c r="C151" s="1" t="n">
        <v>46047</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46047</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29737-2022</t>
        </is>
      </c>
      <c r="B153" s="1" t="n">
        <v>44755</v>
      </c>
      <c r="C153" s="1" t="n">
        <v>46047</v>
      </c>
      <c r="D153" t="inlineStr">
        <is>
          <t>UPPSALA LÄN</t>
        </is>
      </c>
      <c r="E153" t="inlineStr">
        <is>
          <t>TIERP</t>
        </is>
      </c>
      <c r="G153" t="n">
        <v>0.9</v>
      </c>
      <c r="H153" t="n">
        <v>0</v>
      </c>
      <c r="I153" t="n">
        <v>0</v>
      </c>
      <c r="J153" t="n">
        <v>0</v>
      </c>
      <c r="K153" t="n">
        <v>0</v>
      </c>
      <c r="L153" t="n">
        <v>0</v>
      </c>
      <c r="M153" t="n">
        <v>0</v>
      </c>
      <c r="N153" t="n">
        <v>0</v>
      </c>
      <c r="O153" t="n">
        <v>0</v>
      </c>
      <c r="P153" t="n">
        <v>0</v>
      </c>
      <c r="Q153" t="n">
        <v>0</v>
      </c>
      <c r="R153" s="2" t="inlineStr"/>
    </row>
    <row r="154" ht="15" customHeight="1">
      <c r="A154" t="inlineStr">
        <is>
          <t>A 24869-2022</t>
        </is>
      </c>
      <c r="B154" s="1" t="n">
        <v>44728</v>
      </c>
      <c r="C154" s="1" t="n">
        <v>46047</v>
      </c>
      <c r="D154" t="inlineStr">
        <is>
          <t>UPPSALA LÄN</t>
        </is>
      </c>
      <c r="E154" t="inlineStr">
        <is>
          <t>TIERP</t>
        </is>
      </c>
      <c r="G154" t="n">
        <v>5.6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46047</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59350-2021</t>
        </is>
      </c>
      <c r="B156" s="1" t="n">
        <v>44491.3346875</v>
      </c>
      <c r="C156" s="1" t="n">
        <v>46047</v>
      </c>
      <c r="D156" t="inlineStr">
        <is>
          <t>UPPSALA LÄN</t>
        </is>
      </c>
      <c r="E156" t="inlineStr">
        <is>
          <t>TIERP</t>
        </is>
      </c>
      <c r="F156" t="inlineStr">
        <is>
          <t>Bergvik skog öst AB</t>
        </is>
      </c>
      <c r="G156" t="n">
        <v>2.5</v>
      </c>
      <c r="H156" t="n">
        <v>0</v>
      </c>
      <c r="I156" t="n">
        <v>0</v>
      </c>
      <c r="J156" t="n">
        <v>0</v>
      </c>
      <c r="K156" t="n">
        <v>0</v>
      </c>
      <c r="L156" t="n">
        <v>0</v>
      </c>
      <c r="M156" t="n">
        <v>0</v>
      </c>
      <c r="N156" t="n">
        <v>0</v>
      </c>
      <c r="O156" t="n">
        <v>0</v>
      </c>
      <c r="P156" t="n">
        <v>0</v>
      </c>
      <c r="Q156" t="n">
        <v>0</v>
      </c>
      <c r="R156" s="2" t="inlineStr"/>
    </row>
    <row r="157" ht="15" customHeight="1">
      <c r="A157" t="inlineStr">
        <is>
          <t>A 25408-2023</t>
        </is>
      </c>
      <c r="B157" s="1" t="n">
        <v>45080</v>
      </c>
      <c r="C157" s="1" t="n">
        <v>46047</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13354-2024</t>
        </is>
      </c>
      <c r="B158" s="1" t="n">
        <v>45387.33554398148</v>
      </c>
      <c r="C158" s="1" t="n">
        <v>46047</v>
      </c>
      <c r="D158" t="inlineStr">
        <is>
          <t>UPPSALA LÄN</t>
        </is>
      </c>
      <c r="E158" t="inlineStr">
        <is>
          <t>TIERP</t>
        </is>
      </c>
      <c r="G158" t="n">
        <v>3.9</v>
      </c>
      <c r="H158" t="n">
        <v>0</v>
      </c>
      <c r="I158" t="n">
        <v>0</v>
      </c>
      <c r="J158" t="n">
        <v>0</v>
      </c>
      <c r="K158" t="n">
        <v>0</v>
      </c>
      <c r="L158" t="n">
        <v>0</v>
      </c>
      <c r="M158" t="n">
        <v>0</v>
      </c>
      <c r="N158" t="n">
        <v>0</v>
      </c>
      <c r="O158" t="n">
        <v>0</v>
      </c>
      <c r="P158" t="n">
        <v>0</v>
      </c>
      <c r="Q158" t="n">
        <v>0</v>
      </c>
      <c r="R158" s="2" t="inlineStr"/>
    </row>
    <row r="159" ht="15" customHeight="1">
      <c r="A159" t="inlineStr">
        <is>
          <t>A 54449-2024</t>
        </is>
      </c>
      <c r="B159" s="1" t="n">
        <v>45617</v>
      </c>
      <c r="C159" s="1" t="n">
        <v>46047</v>
      </c>
      <c r="D159" t="inlineStr">
        <is>
          <t>UPPSALA LÄN</t>
        </is>
      </c>
      <c r="E159" t="inlineStr">
        <is>
          <t>TIERP</t>
        </is>
      </c>
      <c r="G159" t="n">
        <v>8.5</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46047</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16253-2022</t>
        </is>
      </c>
      <c r="B161" s="1" t="n">
        <v>44670</v>
      </c>
      <c r="C161" s="1" t="n">
        <v>46047</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46047</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45915-2024</t>
        </is>
      </c>
      <c r="B163" s="1" t="n">
        <v>45580</v>
      </c>
      <c r="C163" s="1" t="n">
        <v>46047</v>
      </c>
      <c r="D163" t="inlineStr">
        <is>
          <t>UPPSALA LÄN</t>
        </is>
      </c>
      <c r="E163" t="inlineStr">
        <is>
          <t>TIERP</t>
        </is>
      </c>
      <c r="G163" t="n">
        <v>1.1</v>
      </c>
      <c r="H163" t="n">
        <v>0</v>
      </c>
      <c r="I163" t="n">
        <v>0</v>
      </c>
      <c r="J163" t="n">
        <v>0</v>
      </c>
      <c r="K163" t="n">
        <v>0</v>
      </c>
      <c r="L163" t="n">
        <v>0</v>
      </c>
      <c r="M163" t="n">
        <v>0</v>
      </c>
      <c r="N163" t="n">
        <v>0</v>
      </c>
      <c r="O163" t="n">
        <v>0</v>
      </c>
      <c r="P163" t="n">
        <v>0</v>
      </c>
      <c r="Q163" t="n">
        <v>0</v>
      </c>
      <c r="R163" s="2" t="inlineStr"/>
    </row>
    <row r="164" ht="15" customHeight="1">
      <c r="A164" t="inlineStr">
        <is>
          <t>A 20885-2022</t>
        </is>
      </c>
      <c r="B164" s="1" t="n">
        <v>44701.57021990741</v>
      </c>
      <c r="C164" s="1" t="n">
        <v>46047</v>
      </c>
      <c r="D164" t="inlineStr">
        <is>
          <t>UPPSALA LÄN</t>
        </is>
      </c>
      <c r="E164" t="inlineStr">
        <is>
          <t>TIERP</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10780-2022</t>
        </is>
      </c>
      <c r="B165" s="1" t="n">
        <v>44627.4699537037</v>
      </c>
      <c r="C165" s="1" t="n">
        <v>46047</v>
      </c>
      <c r="D165" t="inlineStr">
        <is>
          <t>UPPSALA LÄN</t>
        </is>
      </c>
      <c r="E165" t="inlineStr">
        <is>
          <t>TIERP</t>
        </is>
      </c>
      <c r="G165" t="n">
        <v>0.5</v>
      </c>
      <c r="H165" t="n">
        <v>0</v>
      </c>
      <c r="I165" t="n">
        <v>0</v>
      </c>
      <c r="J165" t="n">
        <v>0</v>
      </c>
      <c r="K165" t="n">
        <v>0</v>
      </c>
      <c r="L165" t="n">
        <v>0</v>
      </c>
      <c r="M165" t="n">
        <v>0</v>
      </c>
      <c r="N165" t="n">
        <v>0</v>
      </c>
      <c r="O165" t="n">
        <v>0</v>
      </c>
      <c r="P165" t="n">
        <v>0</v>
      </c>
      <c r="Q165" t="n">
        <v>0</v>
      </c>
      <c r="R165" s="2" t="inlineStr"/>
    </row>
    <row r="166" ht="15" customHeight="1">
      <c r="A166" t="inlineStr">
        <is>
          <t>A 10785-2022</t>
        </is>
      </c>
      <c r="B166" s="1" t="n">
        <v>44627.4737962963</v>
      </c>
      <c r="C166" s="1" t="n">
        <v>46047</v>
      </c>
      <c r="D166" t="inlineStr">
        <is>
          <t>UPPSALA LÄN</t>
        </is>
      </c>
      <c r="E166" t="inlineStr">
        <is>
          <t>TIERP</t>
        </is>
      </c>
      <c r="G166" t="n">
        <v>0.4</v>
      </c>
      <c r="H166" t="n">
        <v>0</v>
      </c>
      <c r="I166" t="n">
        <v>0</v>
      </c>
      <c r="J166" t="n">
        <v>0</v>
      </c>
      <c r="K166" t="n">
        <v>0</v>
      </c>
      <c r="L166" t="n">
        <v>0</v>
      </c>
      <c r="M166" t="n">
        <v>0</v>
      </c>
      <c r="N166" t="n">
        <v>0</v>
      </c>
      <c r="O166" t="n">
        <v>0</v>
      </c>
      <c r="P166" t="n">
        <v>0</v>
      </c>
      <c r="Q166" t="n">
        <v>0</v>
      </c>
      <c r="R166" s="2" t="inlineStr"/>
    </row>
    <row r="167" ht="15" customHeight="1">
      <c r="A167" t="inlineStr">
        <is>
          <t>A 29103-2022</t>
        </is>
      </c>
      <c r="B167" s="1" t="n">
        <v>44750</v>
      </c>
      <c r="C167" s="1" t="n">
        <v>46047</v>
      </c>
      <c r="D167" t="inlineStr">
        <is>
          <t>UPPSALA LÄN</t>
        </is>
      </c>
      <c r="E167" t="inlineStr">
        <is>
          <t>TIERP</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46681-2022</t>
        </is>
      </c>
      <c r="B168" s="1" t="n">
        <v>44843</v>
      </c>
      <c r="C168" s="1" t="n">
        <v>46047</v>
      </c>
      <c r="D168" t="inlineStr">
        <is>
          <t>UPPSALA LÄN</t>
        </is>
      </c>
      <c r="E168" t="inlineStr">
        <is>
          <t>TIERP</t>
        </is>
      </c>
      <c r="G168" t="n">
        <v>5.9</v>
      </c>
      <c r="H168" t="n">
        <v>0</v>
      </c>
      <c r="I168" t="n">
        <v>0</v>
      </c>
      <c r="J168" t="n">
        <v>0</v>
      </c>
      <c r="K168" t="n">
        <v>0</v>
      </c>
      <c r="L168" t="n">
        <v>0</v>
      </c>
      <c r="M168" t="n">
        <v>0</v>
      </c>
      <c r="N168" t="n">
        <v>0</v>
      </c>
      <c r="O168" t="n">
        <v>0</v>
      </c>
      <c r="P168" t="n">
        <v>0</v>
      </c>
      <c r="Q168" t="n">
        <v>0</v>
      </c>
      <c r="R168" s="2" t="inlineStr"/>
    </row>
    <row r="169" ht="15" customHeight="1">
      <c r="A169" t="inlineStr">
        <is>
          <t>A 13456-2025</t>
        </is>
      </c>
      <c r="B169" s="1" t="n">
        <v>45736.38332175926</v>
      </c>
      <c r="C169" s="1" t="n">
        <v>46047</v>
      </c>
      <c r="D169" t="inlineStr">
        <is>
          <t>UPPSALA LÄN</t>
        </is>
      </c>
      <c r="E169" t="inlineStr">
        <is>
          <t>TIERP</t>
        </is>
      </c>
      <c r="G169" t="n">
        <v>5.7</v>
      </c>
      <c r="H169" t="n">
        <v>0</v>
      </c>
      <c r="I169" t="n">
        <v>0</v>
      </c>
      <c r="J169" t="n">
        <v>0</v>
      </c>
      <c r="K169" t="n">
        <v>0</v>
      </c>
      <c r="L169" t="n">
        <v>0</v>
      </c>
      <c r="M169" t="n">
        <v>0</v>
      </c>
      <c r="N169" t="n">
        <v>0</v>
      </c>
      <c r="O169" t="n">
        <v>0</v>
      </c>
      <c r="P169" t="n">
        <v>0</v>
      </c>
      <c r="Q169" t="n">
        <v>0</v>
      </c>
      <c r="R169" s="2" t="inlineStr"/>
    </row>
    <row r="170" ht="15" customHeight="1">
      <c r="A170" t="inlineStr">
        <is>
          <t>A 18039-2024</t>
        </is>
      </c>
      <c r="B170" s="1" t="n">
        <v>45420.36299768519</v>
      </c>
      <c r="C170" s="1" t="n">
        <v>46047</v>
      </c>
      <c r="D170" t="inlineStr">
        <is>
          <t>UPPSALA LÄN</t>
        </is>
      </c>
      <c r="E170" t="inlineStr">
        <is>
          <t>TIERP</t>
        </is>
      </c>
      <c r="G170" t="n">
        <v>2.8</v>
      </c>
      <c r="H170" t="n">
        <v>0</v>
      </c>
      <c r="I170" t="n">
        <v>0</v>
      </c>
      <c r="J170" t="n">
        <v>0</v>
      </c>
      <c r="K170" t="n">
        <v>0</v>
      </c>
      <c r="L170" t="n">
        <v>0</v>
      </c>
      <c r="M170" t="n">
        <v>0</v>
      </c>
      <c r="N170" t="n">
        <v>0</v>
      </c>
      <c r="O170" t="n">
        <v>0</v>
      </c>
      <c r="P170" t="n">
        <v>0</v>
      </c>
      <c r="Q170" t="n">
        <v>0</v>
      </c>
      <c r="R170" s="2" t="inlineStr"/>
    </row>
    <row r="171" ht="15" customHeight="1">
      <c r="A171" t="inlineStr">
        <is>
          <t>A 4343-2025</t>
        </is>
      </c>
      <c r="B171" s="1" t="n">
        <v>45685.91146990741</v>
      </c>
      <c r="C171" s="1" t="n">
        <v>46047</v>
      </c>
      <c r="D171" t="inlineStr">
        <is>
          <t>UPPSALA LÄN</t>
        </is>
      </c>
      <c r="E171" t="inlineStr">
        <is>
          <t>TIERP</t>
        </is>
      </c>
      <c r="G171" t="n">
        <v>1.5</v>
      </c>
      <c r="H171" t="n">
        <v>0</v>
      </c>
      <c r="I171" t="n">
        <v>0</v>
      </c>
      <c r="J171" t="n">
        <v>0</v>
      </c>
      <c r="K171" t="n">
        <v>0</v>
      </c>
      <c r="L171" t="n">
        <v>0</v>
      </c>
      <c r="M171" t="n">
        <v>0</v>
      </c>
      <c r="N171" t="n">
        <v>0</v>
      </c>
      <c r="O171" t="n">
        <v>0</v>
      </c>
      <c r="P171" t="n">
        <v>0</v>
      </c>
      <c r="Q171" t="n">
        <v>0</v>
      </c>
      <c r="R171" s="2" t="inlineStr"/>
    </row>
    <row r="172" ht="15" customHeight="1">
      <c r="A172" t="inlineStr">
        <is>
          <t>A 46275-2022</t>
        </is>
      </c>
      <c r="B172" s="1" t="n">
        <v>44847</v>
      </c>
      <c r="C172" s="1" t="n">
        <v>46047</v>
      </c>
      <c r="D172" t="inlineStr">
        <is>
          <t>UPPSALA LÄN</t>
        </is>
      </c>
      <c r="E172" t="inlineStr">
        <is>
          <t>TIERP</t>
        </is>
      </c>
      <c r="G172" t="n">
        <v>1.5</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46047</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20552-2025</t>
        </is>
      </c>
      <c r="B174" s="1" t="n">
        <v>45775.63877314814</v>
      </c>
      <c r="C174" s="1" t="n">
        <v>46047</v>
      </c>
      <c r="D174" t="inlineStr">
        <is>
          <t>UPPSALA LÄN</t>
        </is>
      </c>
      <c r="E174" t="inlineStr">
        <is>
          <t>TIERP</t>
        </is>
      </c>
      <c r="F174" t="inlineStr">
        <is>
          <t>Bergvik skog öst AB</t>
        </is>
      </c>
      <c r="G174" t="n">
        <v>3</v>
      </c>
      <c r="H174" t="n">
        <v>0</v>
      </c>
      <c r="I174" t="n">
        <v>0</v>
      </c>
      <c r="J174" t="n">
        <v>0</v>
      </c>
      <c r="K174" t="n">
        <v>0</v>
      </c>
      <c r="L174" t="n">
        <v>0</v>
      </c>
      <c r="M174" t="n">
        <v>0</v>
      </c>
      <c r="N174" t="n">
        <v>0</v>
      </c>
      <c r="O174" t="n">
        <v>0</v>
      </c>
      <c r="P174" t="n">
        <v>0</v>
      </c>
      <c r="Q174" t="n">
        <v>0</v>
      </c>
      <c r="R174" s="2" t="inlineStr"/>
    </row>
    <row r="175" ht="15" customHeight="1">
      <c r="A175" t="inlineStr">
        <is>
          <t>A 48486-2022</t>
        </is>
      </c>
      <c r="B175" s="1" t="n">
        <v>44858.783125</v>
      </c>
      <c r="C175" s="1" t="n">
        <v>46047</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58264-2024</t>
        </is>
      </c>
      <c r="B176" s="1" t="n">
        <v>45632.5654050926</v>
      </c>
      <c r="C176" s="1" t="n">
        <v>46047</v>
      </c>
      <c r="D176" t="inlineStr">
        <is>
          <t>UPPSALA LÄN</t>
        </is>
      </c>
      <c r="E176" t="inlineStr">
        <is>
          <t>TIERP</t>
        </is>
      </c>
      <c r="G176" t="n">
        <v>1</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46047</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39802-2022</t>
        </is>
      </c>
      <c r="B178" s="1" t="n">
        <v>44819.52074074074</v>
      </c>
      <c r="C178" s="1" t="n">
        <v>46047</v>
      </c>
      <c r="D178" t="inlineStr">
        <is>
          <t>UPPSALA LÄN</t>
        </is>
      </c>
      <c r="E178" t="inlineStr">
        <is>
          <t>TIERP</t>
        </is>
      </c>
      <c r="G178" t="n">
        <v>5.8</v>
      </c>
      <c r="H178" t="n">
        <v>0</v>
      </c>
      <c r="I178" t="n">
        <v>0</v>
      </c>
      <c r="J178" t="n">
        <v>0</v>
      </c>
      <c r="K178" t="n">
        <v>0</v>
      </c>
      <c r="L178" t="n">
        <v>0</v>
      </c>
      <c r="M178" t="n">
        <v>0</v>
      </c>
      <c r="N178" t="n">
        <v>0</v>
      </c>
      <c r="O178" t="n">
        <v>0</v>
      </c>
      <c r="P178" t="n">
        <v>0</v>
      </c>
      <c r="Q178" t="n">
        <v>0</v>
      </c>
      <c r="R178" s="2" t="inlineStr"/>
    </row>
    <row r="179" ht="15" customHeight="1">
      <c r="A179" t="inlineStr">
        <is>
          <t>A 2901-2023</t>
        </is>
      </c>
      <c r="B179" s="1" t="n">
        <v>44945</v>
      </c>
      <c r="C179" s="1" t="n">
        <v>46047</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18526-2025</t>
        </is>
      </c>
      <c r="B180" s="1" t="n">
        <v>45763.4009375</v>
      </c>
      <c r="C180" s="1" t="n">
        <v>46047</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46047</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17438-2025</t>
        </is>
      </c>
      <c r="B182" s="1" t="n">
        <v>45757.42503472222</v>
      </c>
      <c r="C182" s="1" t="n">
        <v>46047</v>
      </c>
      <c r="D182" t="inlineStr">
        <is>
          <t>UPPSALA LÄN</t>
        </is>
      </c>
      <c r="E182" t="inlineStr">
        <is>
          <t>TIERP</t>
        </is>
      </c>
      <c r="F182" t="inlineStr">
        <is>
          <t>Bergvik skog öst AB</t>
        </is>
      </c>
      <c r="G182" t="n">
        <v>8.5</v>
      </c>
      <c r="H182" t="n">
        <v>0</v>
      </c>
      <c r="I182" t="n">
        <v>0</v>
      </c>
      <c r="J182" t="n">
        <v>0</v>
      </c>
      <c r="K182" t="n">
        <v>0</v>
      </c>
      <c r="L182" t="n">
        <v>0</v>
      </c>
      <c r="M182" t="n">
        <v>0</v>
      </c>
      <c r="N182" t="n">
        <v>0</v>
      </c>
      <c r="O182" t="n">
        <v>0</v>
      </c>
      <c r="P182" t="n">
        <v>0</v>
      </c>
      <c r="Q182" t="n">
        <v>0</v>
      </c>
      <c r="R182" s="2" t="inlineStr"/>
    </row>
    <row r="183" ht="15" customHeight="1">
      <c r="A183" t="inlineStr">
        <is>
          <t>A 44430-2023</t>
        </is>
      </c>
      <c r="B183" s="1" t="n">
        <v>45189</v>
      </c>
      <c r="C183" s="1" t="n">
        <v>46047</v>
      </c>
      <c r="D183" t="inlineStr">
        <is>
          <t>UPPSALA LÄN</t>
        </is>
      </c>
      <c r="E183" t="inlineStr">
        <is>
          <t>TIERP</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72975-2021</t>
        </is>
      </c>
      <c r="B184" s="1" t="n">
        <v>44548</v>
      </c>
      <c r="C184" s="1" t="n">
        <v>46047</v>
      </c>
      <c r="D184" t="inlineStr">
        <is>
          <t>UPPSALA LÄN</t>
        </is>
      </c>
      <c r="E184" t="inlineStr">
        <is>
          <t>TIERP</t>
        </is>
      </c>
      <c r="G184" t="n">
        <v>1.3</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46047</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11308-2025</t>
        </is>
      </c>
      <c r="B186" s="1" t="n">
        <v>45726.44707175926</v>
      </c>
      <c r="C186" s="1" t="n">
        <v>46047</v>
      </c>
      <c r="D186" t="inlineStr">
        <is>
          <t>UPPSALA LÄN</t>
        </is>
      </c>
      <c r="E186" t="inlineStr">
        <is>
          <t>TIERP</t>
        </is>
      </c>
      <c r="F186" t="inlineStr">
        <is>
          <t>Bergvik skog öst AB</t>
        </is>
      </c>
      <c r="G186" t="n">
        <v>13.5</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46047</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59589-2022</t>
        </is>
      </c>
      <c r="B188" s="1" t="n">
        <v>44907</v>
      </c>
      <c r="C188" s="1" t="n">
        <v>46047</v>
      </c>
      <c r="D188" t="inlineStr">
        <is>
          <t>UPPSALA LÄN</t>
        </is>
      </c>
      <c r="E188" t="inlineStr">
        <is>
          <t>TIERP</t>
        </is>
      </c>
      <c r="G188" t="n">
        <v>0.6</v>
      </c>
      <c r="H188" t="n">
        <v>0</v>
      </c>
      <c r="I188" t="n">
        <v>0</v>
      </c>
      <c r="J188" t="n">
        <v>0</v>
      </c>
      <c r="K188" t="n">
        <v>0</v>
      </c>
      <c r="L188" t="n">
        <v>0</v>
      </c>
      <c r="M188" t="n">
        <v>0</v>
      </c>
      <c r="N188" t="n">
        <v>0</v>
      </c>
      <c r="O188" t="n">
        <v>0</v>
      </c>
      <c r="P188" t="n">
        <v>0</v>
      </c>
      <c r="Q188" t="n">
        <v>0</v>
      </c>
      <c r="R188" s="2" t="inlineStr"/>
    </row>
    <row r="189" ht="15" customHeight="1">
      <c r="A189" t="inlineStr">
        <is>
          <t>A 13447-2023</t>
        </is>
      </c>
      <c r="B189" s="1" t="n">
        <v>45005</v>
      </c>
      <c r="C189" s="1" t="n">
        <v>46047</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45146-2021</t>
        </is>
      </c>
      <c r="B190" s="1" t="n">
        <v>44439.46604166667</v>
      </c>
      <c r="C190" s="1" t="n">
        <v>46047</v>
      </c>
      <c r="D190" t="inlineStr">
        <is>
          <t>UPPSALA LÄN</t>
        </is>
      </c>
      <c r="E190" t="inlineStr">
        <is>
          <t>TIERP</t>
        </is>
      </c>
      <c r="G190" t="n">
        <v>1.8</v>
      </c>
      <c r="H190" t="n">
        <v>0</v>
      </c>
      <c r="I190" t="n">
        <v>0</v>
      </c>
      <c r="J190" t="n">
        <v>0</v>
      </c>
      <c r="K190" t="n">
        <v>0</v>
      </c>
      <c r="L190" t="n">
        <v>0</v>
      </c>
      <c r="M190" t="n">
        <v>0</v>
      </c>
      <c r="N190" t="n">
        <v>0</v>
      </c>
      <c r="O190" t="n">
        <v>0</v>
      </c>
      <c r="P190" t="n">
        <v>0</v>
      </c>
      <c r="Q190" t="n">
        <v>0</v>
      </c>
      <c r="R190" s="2" t="inlineStr"/>
    </row>
    <row r="191" ht="15" customHeight="1">
      <c r="A191" t="inlineStr">
        <is>
          <t>A 20180-2025</t>
        </is>
      </c>
      <c r="B191" s="1" t="n">
        <v>45772.58797453704</v>
      </c>
      <c r="C191" s="1" t="n">
        <v>46047</v>
      </c>
      <c r="D191" t="inlineStr">
        <is>
          <t>UPPSALA LÄN</t>
        </is>
      </c>
      <c r="E191" t="inlineStr">
        <is>
          <t>TIERP</t>
        </is>
      </c>
      <c r="G191" t="n">
        <v>4.7</v>
      </c>
      <c r="H191" t="n">
        <v>0</v>
      </c>
      <c r="I191" t="n">
        <v>0</v>
      </c>
      <c r="J191" t="n">
        <v>0</v>
      </c>
      <c r="K191" t="n">
        <v>0</v>
      </c>
      <c r="L191" t="n">
        <v>0</v>
      </c>
      <c r="M191" t="n">
        <v>0</v>
      </c>
      <c r="N191" t="n">
        <v>0</v>
      </c>
      <c r="O191" t="n">
        <v>0</v>
      </c>
      <c r="P191" t="n">
        <v>0</v>
      </c>
      <c r="Q191" t="n">
        <v>0</v>
      </c>
      <c r="R191" s="2" t="inlineStr"/>
    </row>
    <row r="192" ht="15" customHeight="1">
      <c r="A192" t="inlineStr">
        <is>
          <t>A 17575-2025</t>
        </is>
      </c>
      <c r="B192" s="1" t="n">
        <v>45757.65234953703</v>
      </c>
      <c r="C192" s="1" t="n">
        <v>46047</v>
      </c>
      <c r="D192" t="inlineStr">
        <is>
          <t>UPPSALA LÄN</t>
        </is>
      </c>
      <c r="E192" t="inlineStr">
        <is>
          <t>TIERP</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20641-2025</t>
        </is>
      </c>
      <c r="B193" s="1" t="n">
        <v>45776.37788194444</v>
      </c>
      <c r="C193" s="1" t="n">
        <v>46047</v>
      </c>
      <c r="D193" t="inlineStr">
        <is>
          <t>UPPSALA LÄN</t>
        </is>
      </c>
      <c r="E193" t="inlineStr">
        <is>
          <t>TIERP</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59267-2024</t>
        </is>
      </c>
      <c r="B194" s="1" t="n">
        <v>45637</v>
      </c>
      <c r="C194" s="1" t="n">
        <v>46047</v>
      </c>
      <c r="D194" t="inlineStr">
        <is>
          <t>UPPSALA LÄN</t>
        </is>
      </c>
      <c r="E194" t="inlineStr">
        <is>
          <t>TIERP</t>
        </is>
      </c>
      <c r="G194" t="n">
        <v>4.1</v>
      </c>
      <c r="H194" t="n">
        <v>0</v>
      </c>
      <c r="I194" t="n">
        <v>0</v>
      </c>
      <c r="J194" t="n">
        <v>0</v>
      </c>
      <c r="K194" t="n">
        <v>0</v>
      </c>
      <c r="L194" t="n">
        <v>0</v>
      </c>
      <c r="M194" t="n">
        <v>0</v>
      </c>
      <c r="N194" t="n">
        <v>0</v>
      </c>
      <c r="O194" t="n">
        <v>0</v>
      </c>
      <c r="P194" t="n">
        <v>0</v>
      </c>
      <c r="Q194" t="n">
        <v>0</v>
      </c>
      <c r="R194" s="2" t="inlineStr"/>
    </row>
    <row r="195" ht="15" customHeight="1">
      <c r="A195" t="inlineStr">
        <is>
          <t>A 20644-2025</t>
        </is>
      </c>
      <c r="B195" s="1" t="n">
        <v>45776.37835648148</v>
      </c>
      <c r="C195" s="1" t="n">
        <v>46047</v>
      </c>
      <c r="D195" t="inlineStr">
        <is>
          <t>UPPSALA LÄN</t>
        </is>
      </c>
      <c r="E195" t="inlineStr">
        <is>
          <t>TIERP</t>
        </is>
      </c>
      <c r="F195" t="inlineStr">
        <is>
          <t>Bergvik skog öst AB</t>
        </is>
      </c>
      <c r="G195" t="n">
        <v>2.7</v>
      </c>
      <c r="H195" t="n">
        <v>0</v>
      </c>
      <c r="I195" t="n">
        <v>0</v>
      </c>
      <c r="J195" t="n">
        <v>0</v>
      </c>
      <c r="K195" t="n">
        <v>0</v>
      </c>
      <c r="L195" t="n">
        <v>0</v>
      </c>
      <c r="M195" t="n">
        <v>0</v>
      </c>
      <c r="N195" t="n">
        <v>0</v>
      </c>
      <c r="O195" t="n">
        <v>0</v>
      </c>
      <c r="P195" t="n">
        <v>0</v>
      </c>
      <c r="Q195" t="n">
        <v>0</v>
      </c>
      <c r="R195" s="2" t="inlineStr"/>
    </row>
    <row r="196" ht="15" customHeight="1">
      <c r="A196" t="inlineStr">
        <is>
          <t>A 61230-2024</t>
        </is>
      </c>
      <c r="B196" s="1" t="n">
        <v>45645</v>
      </c>
      <c r="C196" s="1" t="n">
        <v>46047</v>
      </c>
      <c r="D196" t="inlineStr">
        <is>
          <t>UPPSALA LÄN</t>
        </is>
      </c>
      <c r="E196" t="inlineStr">
        <is>
          <t>TIERP</t>
        </is>
      </c>
      <c r="G196" t="n">
        <v>1.8</v>
      </c>
      <c r="H196" t="n">
        <v>0</v>
      </c>
      <c r="I196" t="n">
        <v>0</v>
      </c>
      <c r="J196" t="n">
        <v>0</v>
      </c>
      <c r="K196" t="n">
        <v>0</v>
      </c>
      <c r="L196" t="n">
        <v>0</v>
      </c>
      <c r="M196" t="n">
        <v>0</v>
      </c>
      <c r="N196" t="n">
        <v>0</v>
      </c>
      <c r="O196" t="n">
        <v>0</v>
      </c>
      <c r="P196" t="n">
        <v>0</v>
      </c>
      <c r="Q196" t="n">
        <v>0</v>
      </c>
      <c r="R196" s="2" t="inlineStr"/>
      <c r="U196">
        <f>HYPERLINK("https://klasma.github.io/Logging_0360/knärot/A 61230-2024 karta knärot.png", "A 61230-2024")</f>
        <v/>
      </c>
      <c r="V196">
        <f>HYPERLINK("https://klasma.github.io/Logging_0360/klagomål/A 61230-2024 FSC-klagomål.docx", "A 61230-2024")</f>
        <v/>
      </c>
      <c r="W196">
        <f>HYPERLINK("https://klasma.github.io/Logging_0360/klagomålsmail/A 61230-2024 FSC-klagomål mail.docx", "A 61230-2024")</f>
        <v/>
      </c>
      <c r="X196">
        <f>HYPERLINK("https://klasma.github.io/Logging_0360/tillsyn/A 61230-2024 tillsynsbegäran.docx", "A 61230-2024")</f>
        <v/>
      </c>
      <c r="Y196">
        <f>HYPERLINK("https://klasma.github.io/Logging_0360/tillsynsmail/A 61230-2024 tillsynsbegäran mail.docx", "A 61230-2024")</f>
        <v/>
      </c>
    </row>
    <row r="197" ht="15" customHeight="1">
      <c r="A197" t="inlineStr">
        <is>
          <t>A 33797-2023</t>
        </is>
      </c>
      <c r="B197" s="1" t="n">
        <v>45133</v>
      </c>
      <c r="C197" s="1" t="n">
        <v>46047</v>
      </c>
      <c r="D197" t="inlineStr">
        <is>
          <t>UPPSALA LÄN</t>
        </is>
      </c>
      <c r="E197" t="inlineStr">
        <is>
          <t>TIERP</t>
        </is>
      </c>
      <c r="F197" t="inlineStr">
        <is>
          <t>Bergvik skog öst AB</t>
        </is>
      </c>
      <c r="G197" t="n">
        <v>0.4</v>
      </c>
      <c r="H197" t="n">
        <v>0</v>
      </c>
      <c r="I197" t="n">
        <v>0</v>
      </c>
      <c r="J197" t="n">
        <v>0</v>
      </c>
      <c r="K197" t="n">
        <v>0</v>
      </c>
      <c r="L197" t="n">
        <v>0</v>
      </c>
      <c r="M197" t="n">
        <v>0</v>
      </c>
      <c r="N197" t="n">
        <v>0</v>
      </c>
      <c r="O197" t="n">
        <v>0</v>
      </c>
      <c r="P197" t="n">
        <v>0</v>
      </c>
      <c r="Q197" t="n">
        <v>0</v>
      </c>
      <c r="R197" s="2" t="inlineStr"/>
      <c r="U197">
        <f>HYPERLINK("https://klasma.github.io/Logging_0360/knärot/A 33797-2023 karta knärot.png", "A 33797-2023")</f>
        <v/>
      </c>
      <c r="V197">
        <f>HYPERLINK("https://klasma.github.io/Logging_0360/klagomål/A 33797-2023 FSC-klagomål.docx", "A 33797-2023")</f>
        <v/>
      </c>
      <c r="W197">
        <f>HYPERLINK("https://klasma.github.io/Logging_0360/klagomålsmail/A 33797-2023 FSC-klagomål mail.docx", "A 33797-2023")</f>
        <v/>
      </c>
      <c r="X197">
        <f>HYPERLINK("https://klasma.github.io/Logging_0360/tillsyn/A 33797-2023 tillsynsbegäran.docx", "A 33797-2023")</f>
        <v/>
      </c>
      <c r="Y197">
        <f>HYPERLINK("https://klasma.github.io/Logging_0360/tillsynsmail/A 33797-2023 tillsynsbegäran mail.docx", "A 33797-2023")</f>
        <v/>
      </c>
    </row>
    <row r="198" ht="15" customHeight="1">
      <c r="A198" t="inlineStr">
        <is>
          <t>A 32871-2024</t>
        </is>
      </c>
      <c r="B198" s="1" t="n">
        <v>45516.66552083333</v>
      </c>
      <c r="C198" s="1" t="n">
        <v>46047</v>
      </c>
      <c r="D198" t="inlineStr">
        <is>
          <t>UPPSALA LÄN</t>
        </is>
      </c>
      <c r="E198" t="inlineStr">
        <is>
          <t>TIERP</t>
        </is>
      </c>
      <c r="G198" t="n">
        <v>4.8</v>
      </c>
      <c r="H198" t="n">
        <v>0</v>
      </c>
      <c r="I198" t="n">
        <v>0</v>
      </c>
      <c r="J198" t="n">
        <v>0</v>
      </c>
      <c r="K198" t="n">
        <v>0</v>
      </c>
      <c r="L198" t="n">
        <v>0</v>
      </c>
      <c r="M198" t="n">
        <v>0</v>
      </c>
      <c r="N198" t="n">
        <v>0</v>
      </c>
      <c r="O198" t="n">
        <v>0</v>
      </c>
      <c r="P198" t="n">
        <v>0</v>
      </c>
      <c r="Q198" t="n">
        <v>0</v>
      </c>
      <c r="R198" s="2" t="inlineStr"/>
    </row>
    <row r="199" ht="15" customHeight="1">
      <c r="A199" t="inlineStr">
        <is>
          <t>A 20886-2025</t>
        </is>
      </c>
      <c r="B199" s="1" t="n">
        <v>45777.36902777778</v>
      </c>
      <c r="C199" s="1" t="n">
        <v>46047</v>
      </c>
      <c r="D199" t="inlineStr">
        <is>
          <t>UPPSALA LÄN</t>
        </is>
      </c>
      <c r="E199" t="inlineStr">
        <is>
          <t>TIERP</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61677-2023</t>
        </is>
      </c>
      <c r="B200" s="1" t="n">
        <v>45265.62744212963</v>
      </c>
      <c r="C200" s="1" t="n">
        <v>46047</v>
      </c>
      <c r="D200" t="inlineStr">
        <is>
          <t>UPPSALA LÄN</t>
        </is>
      </c>
      <c r="E200" t="inlineStr">
        <is>
          <t>TIERP</t>
        </is>
      </c>
      <c r="G200" t="n">
        <v>0.4</v>
      </c>
      <c r="H200" t="n">
        <v>0</v>
      </c>
      <c r="I200" t="n">
        <v>0</v>
      </c>
      <c r="J200" t="n">
        <v>0</v>
      </c>
      <c r="K200" t="n">
        <v>0</v>
      </c>
      <c r="L200" t="n">
        <v>0</v>
      </c>
      <c r="M200" t="n">
        <v>0</v>
      </c>
      <c r="N200" t="n">
        <v>0</v>
      </c>
      <c r="O200" t="n">
        <v>0</v>
      </c>
      <c r="P200" t="n">
        <v>0</v>
      </c>
      <c r="Q200" t="n">
        <v>0</v>
      </c>
      <c r="R200" s="2" t="inlineStr"/>
    </row>
    <row r="201" ht="15" customHeight="1">
      <c r="A201" t="inlineStr">
        <is>
          <t>A 21047-2025</t>
        </is>
      </c>
      <c r="B201" s="1" t="n">
        <v>45777.55640046296</v>
      </c>
      <c r="C201" s="1" t="n">
        <v>46047</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2549-2025</t>
        </is>
      </c>
      <c r="B202" s="1" t="n">
        <v>45674</v>
      </c>
      <c r="C202" s="1" t="n">
        <v>46047</v>
      </c>
      <c r="D202" t="inlineStr">
        <is>
          <t>UPPSALA LÄN</t>
        </is>
      </c>
      <c r="E202" t="inlineStr">
        <is>
          <t>TIERP</t>
        </is>
      </c>
      <c r="G202" t="n">
        <v>4</v>
      </c>
      <c r="H202" t="n">
        <v>0</v>
      </c>
      <c r="I202" t="n">
        <v>0</v>
      </c>
      <c r="J202" t="n">
        <v>0</v>
      </c>
      <c r="K202" t="n">
        <v>0</v>
      </c>
      <c r="L202" t="n">
        <v>0</v>
      </c>
      <c r="M202" t="n">
        <v>0</v>
      </c>
      <c r="N202" t="n">
        <v>0</v>
      </c>
      <c r="O202" t="n">
        <v>0</v>
      </c>
      <c r="P202" t="n">
        <v>0</v>
      </c>
      <c r="Q202" t="n">
        <v>0</v>
      </c>
      <c r="R202" s="2" t="inlineStr"/>
    </row>
    <row r="203" ht="15" customHeight="1">
      <c r="A203" t="inlineStr">
        <is>
          <t>A 59482-2023</t>
        </is>
      </c>
      <c r="B203" s="1" t="n">
        <v>45253</v>
      </c>
      <c r="C203" s="1" t="n">
        <v>46047</v>
      </c>
      <c r="D203" t="inlineStr">
        <is>
          <t>UPPSALA LÄN</t>
        </is>
      </c>
      <c r="E203" t="inlineStr">
        <is>
          <t>TIERP</t>
        </is>
      </c>
      <c r="G203" t="n">
        <v>11.3</v>
      </c>
      <c r="H203" t="n">
        <v>0</v>
      </c>
      <c r="I203" t="n">
        <v>0</v>
      </c>
      <c r="J203" t="n">
        <v>0</v>
      </c>
      <c r="K203" t="n">
        <v>0</v>
      </c>
      <c r="L203" t="n">
        <v>0</v>
      </c>
      <c r="M203" t="n">
        <v>0</v>
      </c>
      <c r="N203" t="n">
        <v>0</v>
      </c>
      <c r="O203" t="n">
        <v>0</v>
      </c>
      <c r="P203" t="n">
        <v>0</v>
      </c>
      <c r="Q203" t="n">
        <v>0</v>
      </c>
      <c r="R203" s="2" t="inlineStr"/>
    </row>
    <row r="204" ht="15" customHeight="1">
      <c r="A204" t="inlineStr">
        <is>
          <t>A 1951-2024</t>
        </is>
      </c>
      <c r="B204" s="1" t="n">
        <v>45308.49630787037</v>
      </c>
      <c r="C204" s="1" t="n">
        <v>46047</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7591-2023</t>
        </is>
      </c>
      <c r="B205" s="1" t="n">
        <v>44972.43747685185</v>
      </c>
      <c r="C205" s="1" t="n">
        <v>46047</v>
      </c>
      <c r="D205" t="inlineStr">
        <is>
          <t>UPPSALA LÄN</t>
        </is>
      </c>
      <c r="E205" t="inlineStr">
        <is>
          <t>TIERP</t>
        </is>
      </c>
      <c r="G205" t="n">
        <v>0.7</v>
      </c>
      <c r="H205" t="n">
        <v>0</v>
      </c>
      <c r="I205" t="n">
        <v>0</v>
      </c>
      <c r="J205" t="n">
        <v>0</v>
      </c>
      <c r="K205" t="n">
        <v>0</v>
      </c>
      <c r="L205" t="n">
        <v>0</v>
      </c>
      <c r="M205" t="n">
        <v>0</v>
      </c>
      <c r="N205" t="n">
        <v>0</v>
      </c>
      <c r="O205" t="n">
        <v>0</v>
      </c>
      <c r="P205" t="n">
        <v>0</v>
      </c>
      <c r="Q205" t="n">
        <v>0</v>
      </c>
      <c r="R205" s="2" t="inlineStr"/>
    </row>
    <row r="206" ht="15" customHeight="1">
      <c r="A206" t="inlineStr">
        <is>
          <t>A 61518-2024</t>
        </is>
      </c>
      <c r="B206" s="1" t="n">
        <v>45646.57768518518</v>
      </c>
      <c r="C206" s="1" t="n">
        <v>46047</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18130-2022</t>
        </is>
      </c>
      <c r="B207" s="1" t="n">
        <v>44684.56060185185</v>
      </c>
      <c r="C207" s="1" t="n">
        <v>46047</v>
      </c>
      <c r="D207" t="inlineStr">
        <is>
          <t>UPPSALA LÄN</t>
        </is>
      </c>
      <c r="E207" t="inlineStr">
        <is>
          <t>TIERP</t>
        </is>
      </c>
      <c r="G207" t="n">
        <v>7.6</v>
      </c>
      <c r="H207" t="n">
        <v>0</v>
      </c>
      <c r="I207" t="n">
        <v>0</v>
      </c>
      <c r="J207" t="n">
        <v>0</v>
      </c>
      <c r="K207" t="n">
        <v>0</v>
      </c>
      <c r="L207" t="n">
        <v>0</v>
      </c>
      <c r="M207" t="n">
        <v>0</v>
      </c>
      <c r="N207" t="n">
        <v>0</v>
      </c>
      <c r="O207" t="n">
        <v>0</v>
      </c>
      <c r="P207" t="n">
        <v>0</v>
      </c>
      <c r="Q207" t="n">
        <v>0</v>
      </c>
      <c r="R207" s="2" t="inlineStr"/>
    </row>
    <row r="208" ht="15" customHeight="1">
      <c r="A208" t="inlineStr">
        <is>
          <t>A 8958-2024</t>
        </is>
      </c>
      <c r="B208" s="1" t="n">
        <v>45357.45214120371</v>
      </c>
      <c r="C208" s="1" t="n">
        <v>46047</v>
      </c>
      <c r="D208" t="inlineStr">
        <is>
          <t>UPPSALA LÄN</t>
        </is>
      </c>
      <c r="E208" t="inlineStr">
        <is>
          <t>TIERP</t>
        </is>
      </c>
      <c r="G208" t="n">
        <v>3.8</v>
      </c>
      <c r="H208" t="n">
        <v>0</v>
      </c>
      <c r="I208" t="n">
        <v>0</v>
      </c>
      <c r="J208" t="n">
        <v>0</v>
      </c>
      <c r="K208" t="n">
        <v>0</v>
      </c>
      <c r="L208" t="n">
        <v>0</v>
      </c>
      <c r="M208" t="n">
        <v>0</v>
      </c>
      <c r="N208" t="n">
        <v>0</v>
      </c>
      <c r="O208" t="n">
        <v>0</v>
      </c>
      <c r="P208" t="n">
        <v>0</v>
      </c>
      <c r="Q208" t="n">
        <v>0</v>
      </c>
      <c r="R208" s="2" t="inlineStr"/>
    </row>
    <row r="209" ht="15" customHeight="1">
      <c r="A209" t="inlineStr">
        <is>
          <t>A 14483-2024</t>
        </is>
      </c>
      <c r="B209" s="1" t="n">
        <v>45394</v>
      </c>
      <c r="C209" s="1" t="n">
        <v>46047</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30509-2024</t>
        </is>
      </c>
      <c r="B210" s="1" t="n">
        <v>45492.45841435185</v>
      </c>
      <c r="C210" s="1" t="n">
        <v>46047</v>
      </c>
      <c r="D210" t="inlineStr">
        <is>
          <t>UPPSALA LÄN</t>
        </is>
      </c>
      <c r="E210" t="inlineStr">
        <is>
          <t>TIERP</t>
        </is>
      </c>
      <c r="F210" t="inlineStr">
        <is>
          <t>Bergvik skog öst AB</t>
        </is>
      </c>
      <c r="G210" t="n">
        <v>2.4</v>
      </c>
      <c r="H210" t="n">
        <v>0</v>
      </c>
      <c r="I210" t="n">
        <v>0</v>
      </c>
      <c r="J210" t="n">
        <v>0</v>
      </c>
      <c r="K210" t="n">
        <v>0</v>
      </c>
      <c r="L210" t="n">
        <v>0</v>
      </c>
      <c r="M210" t="n">
        <v>0</v>
      </c>
      <c r="N210" t="n">
        <v>0</v>
      </c>
      <c r="O210" t="n">
        <v>0</v>
      </c>
      <c r="P210" t="n">
        <v>0</v>
      </c>
      <c r="Q210" t="n">
        <v>0</v>
      </c>
      <c r="R210" s="2" t="inlineStr"/>
    </row>
    <row r="211" ht="15" customHeight="1">
      <c r="A211" t="inlineStr">
        <is>
          <t>A 21325-2025</t>
        </is>
      </c>
      <c r="B211" s="1" t="n">
        <v>45782.3503587963</v>
      </c>
      <c r="C211" s="1" t="n">
        <v>46047</v>
      </c>
      <c r="D211" t="inlineStr">
        <is>
          <t>UPPSALA LÄN</t>
        </is>
      </c>
      <c r="E211" t="inlineStr">
        <is>
          <t>TIERP</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9893-2022</t>
        </is>
      </c>
      <c r="B212" s="1" t="n">
        <v>44620.62225694444</v>
      </c>
      <c r="C212" s="1" t="n">
        <v>46047</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11572-2025</t>
        </is>
      </c>
      <c r="B213" s="1" t="n">
        <v>45727.38053240741</v>
      </c>
      <c r="C213" s="1" t="n">
        <v>46047</v>
      </c>
      <c r="D213" t="inlineStr">
        <is>
          <t>UPPSALA LÄN</t>
        </is>
      </c>
      <c r="E213" t="inlineStr">
        <is>
          <t>TIERP</t>
        </is>
      </c>
      <c r="F213" t="inlineStr">
        <is>
          <t>Bergvik skog öst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21398-2025</t>
        </is>
      </c>
      <c r="B214" s="1" t="n">
        <v>45782.483125</v>
      </c>
      <c r="C214" s="1" t="n">
        <v>46047</v>
      </c>
      <c r="D214" t="inlineStr">
        <is>
          <t>UPPSALA LÄN</t>
        </is>
      </c>
      <c r="E214" t="inlineStr">
        <is>
          <t>TIERP</t>
        </is>
      </c>
      <c r="F214" t="inlineStr">
        <is>
          <t>Kyrkan</t>
        </is>
      </c>
      <c r="G214" t="n">
        <v>2.7</v>
      </c>
      <c r="H214" t="n">
        <v>0</v>
      </c>
      <c r="I214" t="n">
        <v>0</v>
      </c>
      <c r="J214" t="n">
        <v>0</v>
      </c>
      <c r="K214" t="n">
        <v>0</v>
      </c>
      <c r="L214" t="n">
        <v>0</v>
      </c>
      <c r="M214" t="n">
        <v>0</v>
      </c>
      <c r="N214" t="n">
        <v>0</v>
      </c>
      <c r="O214" t="n">
        <v>0</v>
      </c>
      <c r="P214" t="n">
        <v>0</v>
      </c>
      <c r="Q214" t="n">
        <v>0</v>
      </c>
      <c r="R214" s="2" t="inlineStr"/>
    </row>
    <row r="215" ht="15" customHeight="1">
      <c r="A215" t="inlineStr">
        <is>
          <t>A 40624-2023</t>
        </is>
      </c>
      <c r="B215" s="1" t="n">
        <v>45170.52974537037</v>
      </c>
      <c r="C215" s="1" t="n">
        <v>46047</v>
      </c>
      <c r="D215" t="inlineStr">
        <is>
          <t>UPPSALA LÄN</t>
        </is>
      </c>
      <c r="E215" t="inlineStr">
        <is>
          <t>TIERP</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21635-2025</t>
        </is>
      </c>
      <c r="B216" s="1" t="n">
        <v>45783.4287962963</v>
      </c>
      <c r="C216" s="1" t="n">
        <v>46047</v>
      </c>
      <c r="D216" t="inlineStr">
        <is>
          <t>UPPSALA LÄN</t>
        </is>
      </c>
      <c r="E216" t="inlineStr">
        <is>
          <t>TIERP</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40864-2023</t>
        </is>
      </c>
      <c r="B217" s="1" t="n">
        <v>45173.3516087963</v>
      </c>
      <c r="C217" s="1" t="n">
        <v>46047</v>
      </c>
      <c r="D217" t="inlineStr">
        <is>
          <t>UPPSALA LÄN</t>
        </is>
      </c>
      <c r="E217" t="inlineStr">
        <is>
          <t>TIERP</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21473-2025</t>
        </is>
      </c>
      <c r="B218" s="1" t="n">
        <v>45782.59054398148</v>
      </c>
      <c r="C218" s="1" t="n">
        <v>46047</v>
      </c>
      <c r="D218" t="inlineStr">
        <is>
          <t>UPPSALA LÄN</t>
        </is>
      </c>
      <c r="E218" t="inlineStr">
        <is>
          <t>TIERP</t>
        </is>
      </c>
      <c r="G218" t="n">
        <v>3.2</v>
      </c>
      <c r="H218" t="n">
        <v>0</v>
      </c>
      <c r="I218" t="n">
        <v>0</v>
      </c>
      <c r="J218" t="n">
        <v>0</v>
      </c>
      <c r="K218" t="n">
        <v>0</v>
      </c>
      <c r="L218" t="n">
        <v>0</v>
      </c>
      <c r="M218" t="n">
        <v>0</v>
      </c>
      <c r="N218" t="n">
        <v>0</v>
      </c>
      <c r="O218" t="n">
        <v>0</v>
      </c>
      <c r="P218" t="n">
        <v>0</v>
      </c>
      <c r="Q218" t="n">
        <v>0</v>
      </c>
      <c r="R218" s="2" t="inlineStr"/>
    </row>
    <row r="219" ht="15" customHeight="1">
      <c r="A219" t="inlineStr">
        <is>
          <t>A 21636-2025</t>
        </is>
      </c>
      <c r="B219" s="1" t="n">
        <v>45783.42976851852</v>
      </c>
      <c r="C219" s="1" t="n">
        <v>46047</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2676-2024</t>
        </is>
      </c>
      <c r="B220" s="1" t="n">
        <v>45314.43193287037</v>
      </c>
      <c r="C220" s="1" t="n">
        <v>46047</v>
      </c>
      <c r="D220" t="inlineStr">
        <is>
          <t>UPPSALA LÄN</t>
        </is>
      </c>
      <c r="E220" t="inlineStr">
        <is>
          <t>TIERP</t>
        </is>
      </c>
      <c r="G220" t="n">
        <v>6.3</v>
      </c>
      <c r="H220" t="n">
        <v>0</v>
      </c>
      <c r="I220" t="n">
        <v>0</v>
      </c>
      <c r="J220" t="n">
        <v>0</v>
      </c>
      <c r="K220" t="n">
        <v>0</v>
      </c>
      <c r="L220" t="n">
        <v>0</v>
      </c>
      <c r="M220" t="n">
        <v>0</v>
      </c>
      <c r="N220" t="n">
        <v>0</v>
      </c>
      <c r="O220" t="n">
        <v>0</v>
      </c>
      <c r="P220" t="n">
        <v>0</v>
      </c>
      <c r="Q220" t="n">
        <v>0</v>
      </c>
      <c r="R220" s="2" t="inlineStr"/>
    </row>
    <row r="221" ht="15" customHeight="1">
      <c r="A221" t="inlineStr">
        <is>
          <t>A 55678-2024</t>
        </is>
      </c>
      <c r="B221" s="1" t="n">
        <v>45622.65828703704</v>
      </c>
      <c r="C221" s="1" t="n">
        <v>46047</v>
      </c>
      <c r="D221" t="inlineStr">
        <is>
          <t>UPPSALA LÄN</t>
        </is>
      </c>
      <c r="E221" t="inlineStr">
        <is>
          <t>TIERP</t>
        </is>
      </c>
      <c r="G221" t="n">
        <v>8.4</v>
      </c>
      <c r="H221" t="n">
        <v>0</v>
      </c>
      <c r="I221" t="n">
        <v>0</v>
      </c>
      <c r="J221" t="n">
        <v>0</v>
      </c>
      <c r="K221" t="n">
        <v>0</v>
      </c>
      <c r="L221" t="n">
        <v>0</v>
      </c>
      <c r="M221" t="n">
        <v>0</v>
      </c>
      <c r="N221" t="n">
        <v>0</v>
      </c>
      <c r="O221" t="n">
        <v>0</v>
      </c>
      <c r="P221" t="n">
        <v>0</v>
      </c>
      <c r="Q221" t="n">
        <v>0</v>
      </c>
      <c r="R221" s="2" t="inlineStr"/>
    </row>
    <row r="222" ht="15" customHeight="1">
      <c r="A222" t="inlineStr">
        <is>
          <t>A 21889-2025</t>
        </is>
      </c>
      <c r="B222" s="1" t="n">
        <v>45784.43336805556</v>
      </c>
      <c r="C222" s="1" t="n">
        <v>46047</v>
      </c>
      <c r="D222" t="inlineStr">
        <is>
          <t>UPPSALA LÄN</t>
        </is>
      </c>
      <c r="E222" t="inlineStr">
        <is>
          <t>TIERP</t>
        </is>
      </c>
      <c r="G222" t="n">
        <v>0.8</v>
      </c>
      <c r="H222" t="n">
        <v>0</v>
      </c>
      <c r="I222" t="n">
        <v>0</v>
      </c>
      <c r="J222" t="n">
        <v>0</v>
      </c>
      <c r="K222" t="n">
        <v>0</v>
      </c>
      <c r="L222" t="n">
        <v>0</v>
      </c>
      <c r="M222" t="n">
        <v>0</v>
      </c>
      <c r="N222" t="n">
        <v>0</v>
      </c>
      <c r="O222" t="n">
        <v>0</v>
      </c>
      <c r="P222" t="n">
        <v>0</v>
      </c>
      <c r="Q222" t="n">
        <v>0</v>
      </c>
      <c r="R222" s="2" t="inlineStr"/>
    </row>
    <row r="223" ht="15" customHeight="1">
      <c r="A223" t="inlineStr">
        <is>
          <t>A 22083-2025</t>
        </is>
      </c>
      <c r="B223" s="1" t="n">
        <v>45785</v>
      </c>
      <c r="C223" s="1" t="n">
        <v>46047</v>
      </c>
      <c r="D223" t="inlineStr">
        <is>
          <t>UPPSALA LÄN</t>
        </is>
      </c>
      <c r="E223" t="inlineStr">
        <is>
          <t>TIERP</t>
        </is>
      </c>
      <c r="G223" t="n">
        <v>8</v>
      </c>
      <c r="H223" t="n">
        <v>0</v>
      </c>
      <c r="I223" t="n">
        <v>0</v>
      </c>
      <c r="J223" t="n">
        <v>0</v>
      </c>
      <c r="K223" t="n">
        <v>0</v>
      </c>
      <c r="L223" t="n">
        <v>0</v>
      </c>
      <c r="M223" t="n">
        <v>0</v>
      </c>
      <c r="N223" t="n">
        <v>0</v>
      </c>
      <c r="O223" t="n">
        <v>0</v>
      </c>
      <c r="P223" t="n">
        <v>0</v>
      </c>
      <c r="Q223" t="n">
        <v>0</v>
      </c>
      <c r="R223" s="2" t="inlineStr"/>
    </row>
    <row r="224" ht="15" customHeight="1">
      <c r="A224" t="inlineStr">
        <is>
          <t>A 16516-2025</t>
        </is>
      </c>
      <c r="B224" s="1" t="n">
        <v>45751.63172453704</v>
      </c>
      <c r="C224" s="1" t="n">
        <v>46047</v>
      </c>
      <c r="D224" t="inlineStr">
        <is>
          <t>UPPSALA LÄN</t>
        </is>
      </c>
      <c r="E224" t="inlineStr">
        <is>
          <t>TIERP</t>
        </is>
      </c>
      <c r="G224" t="n">
        <v>3.7</v>
      </c>
      <c r="H224" t="n">
        <v>0</v>
      </c>
      <c r="I224" t="n">
        <v>0</v>
      </c>
      <c r="J224" t="n">
        <v>0</v>
      </c>
      <c r="K224" t="n">
        <v>0</v>
      </c>
      <c r="L224" t="n">
        <v>0</v>
      </c>
      <c r="M224" t="n">
        <v>0</v>
      </c>
      <c r="N224" t="n">
        <v>0</v>
      </c>
      <c r="O224" t="n">
        <v>0</v>
      </c>
      <c r="P224" t="n">
        <v>0</v>
      </c>
      <c r="Q224" t="n">
        <v>0</v>
      </c>
      <c r="R224" s="2" t="inlineStr"/>
    </row>
    <row r="225" ht="15" customHeight="1">
      <c r="A225" t="inlineStr">
        <is>
          <t>A 7127-2024</t>
        </is>
      </c>
      <c r="B225" s="1" t="n">
        <v>45344.338125</v>
      </c>
      <c r="C225" s="1" t="n">
        <v>46047</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52380-2023</t>
        </is>
      </c>
      <c r="B226" s="1" t="n">
        <v>45224.79760416667</v>
      </c>
      <c r="C226" s="1" t="n">
        <v>46047</v>
      </c>
      <c r="D226" t="inlineStr">
        <is>
          <t>UPPSALA LÄN</t>
        </is>
      </c>
      <c r="E226" t="inlineStr">
        <is>
          <t>TIERP</t>
        </is>
      </c>
      <c r="G226" t="n">
        <v>1.5</v>
      </c>
      <c r="H226" t="n">
        <v>0</v>
      </c>
      <c r="I226" t="n">
        <v>0</v>
      </c>
      <c r="J226" t="n">
        <v>0</v>
      </c>
      <c r="K226" t="n">
        <v>0</v>
      </c>
      <c r="L226" t="n">
        <v>0</v>
      </c>
      <c r="M226" t="n">
        <v>0</v>
      </c>
      <c r="N226" t="n">
        <v>0</v>
      </c>
      <c r="O226" t="n">
        <v>0</v>
      </c>
      <c r="P226" t="n">
        <v>0</v>
      </c>
      <c r="Q226" t="n">
        <v>0</v>
      </c>
      <c r="R226" s="2" t="inlineStr"/>
    </row>
    <row r="227" ht="15" customHeight="1">
      <c r="A227" t="inlineStr">
        <is>
          <t>A 6071-2023</t>
        </is>
      </c>
      <c r="B227" s="1" t="n">
        <v>44964.51579861111</v>
      </c>
      <c r="C227" s="1" t="n">
        <v>46047</v>
      </c>
      <c r="D227" t="inlineStr">
        <is>
          <t>UPPSALA LÄN</t>
        </is>
      </c>
      <c r="E227" t="inlineStr">
        <is>
          <t>TIERP</t>
        </is>
      </c>
      <c r="G227" t="n">
        <v>0.7</v>
      </c>
      <c r="H227" t="n">
        <v>0</v>
      </c>
      <c r="I227" t="n">
        <v>0</v>
      </c>
      <c r="J227" t="n">
        <v>0</v>
      </c>
      <c r="K227" t="n">
        <v>0</v>
      </c>
      <c r="L227" t="n">
        <v>0</v>
      </c>
      <c r="M227" t="n">
        <v>0</v>
      </c>
      <c r="N227" t="n">
        <v>0</v>
      </c>
      <c r="O227" t="n">
        <v>0</v>
      </c>
      <c r="P227" t="n">
        <v>0</v>
      </c>
      <c r="Q227" t="n">
        <v>0</v>
      </c>
      <c r="R227" s="2" t="inlineStr"/>
    </row>
    <row r="228" ht="15" customHeight="1">
      <c r="A228" t="inlineStr">
        <is>
          <t>A 18060-2025</t>
        </is>
      </c>
      <c r="B228" s="1" t="n">
        <v>45761</v>
      </c>
      <c r="C228" s="1" t="n">
        <v>46047</v>
      </c>
      <c r="D228" t="inlineStr">
        <is>
          <t>UPPSALA LÄN</t>
        </is>
      </c>
      <c r="E228" t="inlineStr">
        <is>
          <t>TIERP</t>
        </is>
      </c>
      <c r="F228" t="inlineStr">
        <is>
          <t>Bergvik skog väst AB</t>
        </is>
      </c>
      <c r="G228" t="n">
        <v>0.3</v>
      </c>
      <c r="H228" t="n">
        <v>0</v>
      </c>
      <c r="I228" t="n">
        <v>0</v>
      </c>
      <c r="J228" t="n">
        <v>0</v>
      </c>
      <c r="K228" t="n">
        <v>0</v>
      </c>
      <c r="L228" t="n">
        <v>0</v>
      </c>
      <c r="M228" t="n">
        <v>0</v>
      </c>
      <c r="N228" t="n">
        <v>0</v>
      </c>
      <c r="O228" t="n">
        <v>0</v>
      </c>
      <c r="P228" t="n">
        <v>0</v>
      </c>
      <c r="Q228" t="n">
        <v>0</v>
      </c>
      <c r="R228" s="2" t="inlineStr"/>
    </row>
    <row r="229" ht="15" customHeight="1">
      <c r="A229" t="inlineStr">
        <is>
          <t>A 60154-2022</t>
        </is>
      </c>
      <c r="B229" s="1" t="n">
        <v>44909</v>
      </c>
      <c r="C229" s="1" t="n">
        <v>46047</v>
      </c>
      <c r="D229" t="inlineStr">
        <is>
          <t>UPPSALA LÄN</t>
        </is>
      </c>
      <c r="E229" t="inlineStr">
        <is>
          <t>TIERP</t>
        </is>
      </c>
      <c r="G229" t="n">
        <v>6</v>
      </c>
      <c r="H229" t="n">
        <v>0</v>
      </c>
      <c r="I229" t="n">
        <v>0</v>
      </c>
      <c r="J229" t="n">
        <v>0</v>
      </c>
      <c r="K229" t="n">
        <v>0</v>
      </c>
      <c r="L229" t="n">
        <v>0</v>
      </c>
      <c r="M229" t="n">
        <v>0</v>
      </c>
      <c r="N229" t="n">
        <v>0</v>
      </c>
      <c r="O229" t="n">
        <v>0</v>
      </c>
      <c r="P229" t="n">
        <v>0</v>
      </c>
      <c r="Q229" t="n">
        <v>0</v>
      </c>
      <c r="R229" s="2" t="inlineStr"/>
    </row>
    <row r="230" ht="15" customHeight="1">
      <c r="A230" t="inlineStr">
        <is>
          <t>A 18378-2025</t>
        </is>
      </c>
      <c r="B230" s="1" t="n">
        <v>45762.57510416667</v>
      </c>
      <c r="C230" s="1" t="n">
        <v>46047</v>
      </c>
      <c r="D230" t="inlineStr">
        <is>
          <t>UPPSALA LÄN</t>
        </is>
      </c>
      <c r="E230" t="inlineStr">
        <is>
          <t>TIERP</t>
        </is>
      </c>
      <c r="F230" t="inlineStr">
        <is>
          <t>Bergvik skog öst AB</t>
        </is>
      </c>
      <c r="G230" t="n">
        <v>1</v>
      </c>
      <c r="H230" t="n">
        <v>0</v>
      </c>
      <c r="I230" t="n">
        <v>0</v>
      </c>
      <c r="J230" t="n">
        <v>0</v>
      </c>
      <c r="K230" t="n">
        <v>0</v>
      </c>
      <c r="L230" t="n">
        <v>0</v>
      </c>
      <c r="M230" t="n">
        <v>0</v>
      </c>
      <c r="N230" t="n">
        <v>0</v>
      </c>
      <c r="O230" t="n">
        <v>0</v>
      </c>
      <c r="P230" t="n">
        <v>0</v>
      </c>
      <c r="Q230" t="n">
        <v>0</v>
      </c>
      <c r="R230" s="2" t="inlineStr"/>
    </row>
    <row r="231" ht="15" customHeight="1">
      <c r="A231" t="inlineStr">
        <is>
          <t>A 10550-2024</t>
        </is>
      </c>
      <c r="B231" s="1" t="n">
        <v>45366.5775462963</v>
      </c>
      <c r="C231" s="1" t="n">
        <v>46047</v>
      </c>
      <c r="D231" t="inlineStr">
        <is>
          <t>UPPSALA LÄN</t>
        </is>
      </c>
      <c r="E231" t="inlineStr">
        <is>
          <t>TIERP</t>
        </is>
      </c>
      <c r="G231" t="n">
        <v>0.7</v>
      </c>
      <c r="H231" t="n">
        <v>0</v>
      </c>
      <c r="I231" t="n">
        <v>0</v>
      </c>
      <c r="J231" t="n">
        <v>0</v>
      </c>
      <c r="K231" t="n">
        <v>0</v>
      </c>
      <c r="L231" t="n">
        <v>0</v>
      </c>
      <c r="M231" t="n">
        <v>0</v>
      </c>
      <c r="N231" t="n">
        <v>0</v>
      </c>
      <c r="O231" t="n">
        <v>0</v>
      </c>
      <c r="P231" t="n">
        <v>0</v>
      </c>
      <c r="Q231" t="n">
        <v>0</v>
      </c>
      <c r="R231" s="2" t="inlineStr"/>
    </row>
    <row r="232" ht="15" customHeight="1">
      <c r="A232" t="inlineStr">
        <is>
          <t>A 6075-2023</t>
        </is>
      </c>
      <c r="B232" s="1" t="n">
        <v>44964.52627314815</v>
      </c>
      <c r="C232" s="1" t="n">
        <v>46047</v>
      </c>
      <c r="D232" t="inlineStr">
        <is>
          <t>UPPSALA LÄN</t>
        </is>
      </c>
      <c r="E232" t="inlineStr">
        <is>
          <t>TIERP</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35001-2024</t>
        </is>
      </c>
      <c r="B233" s="1" t="n">
        <v>45527</v>
      </c>
      <c r="C233" s="1" t="n">
        <v>46047</v>
      </c>
      <c r="D233" t="inlineStr">
        <is>
          <t>UPPSALA LÄN</t>
        </is>
      </c>
      <c r="E233" t="inlineStr">
        <is>
          <t>TIERP</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55688-2024</t>
        </is>
      </c>
      <c r="B234" s="1" t="n">
        <v>45622.67170138889</v>
      </c>
      <c r="C234" s="1" t="n">
        <v>46047</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15587-2021</t>
        </is>
      </c>
      <c r="B235" s="1" t="n">
        <v>44285.6565162037</v>
      </c>
      <c r="C235" s="1" t="n">
        <v>46047</v>
      </c>
      <c r="D235" t="inlineStr">
        <is>
          <t>UPPSALA LÄN</t>
        </is>
      </c>
      <c r="E235" t="inlineStr">
        <is>
          <t>TIERP</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22769-2025</t>
        </is>
      </c>
      <c r="B236" s="1" t="n">
        <v>45789.63409722222</v>
      </c>
      <c r="C236" s="1" t="n">
        <v>46047</v>
      </c>
      <c r="D236" t="inlineStr">
        <is>
          <t>UPPSALA LÄN</t>
        </is>
      </c>
      <c r="E236" t="inlineStr">
        <is>
          <t>TIERP</t>
        </is>
      </c>
      <c r="G236" t="n">
        <v>1.6</v>
      </c>
      <c r="H236" t="n">
        <v>0</v>
      </c>
      <c r="I236" t="n">
        <v>0</v>
      </c>
      <c r="J236" t="n">
        <v>0</v>
      </c>
      <c r="K236" t="n">
        <v>0</v>
      </c>
      <c r="L236" t="n">
        <v>0</v>
      </c>
      <c r="M236" t="n">
        <v>0</v>
      </c>
      <c r="N236" t="n">
        <v>0</v>
      </c>
      <c r="O236" t="n">
        <v>0</v>
      </c>
      <c r="P236" t="n">
        <v>0</v>
      </c>
      <c r="Q236" t="n">
        <v>0</v>
      </c>
      <c r="R236" s="2" t="inlineStr"/>
    </row>
    <row r="237" ht="15" customHeight="1">
      <c r="A237" t="inlineStr">
        <is>
          <t>A 39333-2024</t>
        </is>
      </c>
      <c r="B237" s="1" t="n">
        <v>45551</v>
      </c>
      <c r="C237" s="1" t="n">
        <v>46047</v>
      </c>
      <c r="D237" t="inlineStr">
        <is>
          <t>UPPSALA LÄN</t>
        </is>
      </c>
      <c r="E237" t="inlineStr">
        <is>
          <t>TIERP</t>
        </is>
      </c>
      <c r="G237" t="n">
        <v>4.1</v>
      </c>
      <c r="H237" t="n">
        <v>0</v>
      </c>
      <c r="I237" t="n">
        <v>0</v>
      </c>
      <c r="J237" t="n">
        <v>0</v>
      </c>
      <c r="K237" t="n">
        <v>0</v>
      </c>
      <c r="L237" t="n">
        <v>0</v>
      </c>
      <c r="M237" t="n">
        <v>0</v>
      </c>
      <c r="N237" t="n">
        <v>0</v>
      </c>
      <c r="O237" t="n">
        <v>0</v>
      </c>
      <c r="P237" t="n">
        <v>0</v>
      </c>
      <c r="Q237" t="n">
        <v>0</v>
      </c>
      <c r="R237" s="2" t="inlineStr"/>
    </row>
    <row r="238" ht="15" customHeight="1">
      <c r="A238" t="inlineStr">
        <is>
          <t>A 9664-2023</t>
        </is>
      </c>
      <c r="B238" s="1" t="n">
        <v>44984</v>
      </c>
      <c r="C238" s="1" t="n">
        <v>46047</v>
      </c>
      <c r="D238" t="inlineStr">
        <is>
          <t>UPPSALA LÄN</t>
        </is>
      </c>
      <c r="E238" t="inlineStr">
        <is>
          <t>TIERP</t>
        </is>
      </c>
      <c r="G238" t="n">
        <v>2.2</v>
      </c>
      <c r="H238" t="n">
        <v>0</v>
      </c>
      <c r="I238" t="n">
        <v>0</v>
      </c>
      <c r="J238" t="n">
        <v>0</v>
      </c>
      <c r="K238" t="n">
        <v>0</v>
      </c>
      <c r="L238" t="n">
        <v>0</v>
      </c>
      <c r="M238" t="n">
        <v>0</v>
      </c>
      <c r="N238" t="n">
        <v>0</v>
      </c>
      <c r="O238" t="n">
        <v>0</v>
      </c>
      <c r="P238" t="n">
        <v>0</v>
      </c>
      <c r="Q238" t="n">
        <v>0</v>
      </c>
      <c r="R238" s="2" t="inlineStr"/>
    </row>
    <row r="239" ht="15" customHeight="1">
      <c r="A239" t="inlineStr">
        <is>
          <t>A 23198-2025</t>
        </is>
      </c>
      <c r="B239" s="1" t="n">
        <v>45791.45799768518</v>
      </c>
      <c r="C239" s="1" t="n">
        <v>46047</v>
      </c>
      <c r="D239" t="inlineStr">
        <is>
          <t>UPPSALA LÄN</t>
        </is>
      </c>
      <c r="E239" t="inlineStr">
        <is>
          <t>TIERP</t>
        </is>
      </c>
      <c r="G239" t="n">
        <v>2.9</v>
      </c>
      <c r="H239" t="n">
        <v>0</v>
      </c>
      <c r="I239" t="n">
        <v>0</v>
      </c>
      <c r="J239" t="n">
        <v>0</v>
      </c>
      <c r="K239" t="n">
        <v>0</v>
      </c>
      <c r="L239" t="n">
        <v>0</v>
      </c>
      <c r="M239" t="n">
        <v>0</v>
      </c>
      <c r="N239" t="n">
        <v>0</v>
      </c>
      <c r="O239" t="n">
        <v>0</v>
      </c>
      <c r="P239" t="n">
        <v>0</v>
      </c>
      <c r="Q239" t="n">
        <v>0</v>
      </c>
      <c r="R239" s="2" t="inlineStr"/>
    </row>
    <row r="240" ht="15" customHeight="1">
      <c r="A240" t="inlineStr">
        <is>
          <t>A 20496-2023</t>
        </is>
      </c>
      <c r="B240" s="1" t="n">
        <v>45057.42894675926</v>
      </c>
      <c r="C240" s="1" t="n">
        <v>46047</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23204-2025</t>
        </is>
      </c>
      <c r="B241" s="1" t="n">
        <v>45791.46357638889</v>
      </c>
      <c r="C241" s="1" t="n">
        <v>46047</v>
      </c>
      <c r="D241" t="inlineStr">
        <is>
          <t>UPPSALA LÄN</t>
        </is>
      </c>
      <c r="E241" t="inlineStr">
        <is>
          <t>TIERP</t>
        </is>
      </c>
      <c r="G241" t="n">
        <v>3.3</v>
      </c>
      <c r="H241" t="n">
        <v>0</v>
      </c>
      <c r="I241" t="n">
        <v>0</v>
      </c>
      <c r="J241" t="n">
        <v>0</v>
      </c>
      <c r="K241" t="n">
        <v>0</v>
      </c>
      <c r="L241" t="n">
        <v>0</v>
      </c>
      <c r="M241" t="n">
        <v>0</v>
      </c>
      <c r="N241" t="n">
        <v>0</v>
      </c>
      <c r="O241" t="n">
        <v>0</v>
      </c>
      <c r="P241" t="n">
        <v>0</v>
      </c>
      <c r="Q241" t="n">
        <v>0</v>
      </c>
      <c r="R241" s="2" t="inlineStr"/>
    </row>
    <row r="242" ht="15" customHeight="1">
      <c r="A242" t="inlineStr">
        <is>
          <t>A 58772-2024</t>
        </is>
      </c>
      <c r="B242" s="1" t="n">
        <v>45635</v>
      </c>
      <c r="C242" s="1" t="n">
        <v>46047</v>
      </c>
      <c r="D242" t="inlineStr">
        <is>
          <t>UPPSALA LÄN</t>
        </is>
      </c>
      <c r="E242" t="inlineStr">
        <is>
          <t>TIERP</t>
        </is>
      </c>
      <c r="G242" t="n">
        <v>4.7</v>
      </c>
      <c r="H242" t="n">
        <v>0</v>
      </c>
      <c r="I242" t="n">
        <v>0</v>
      </c>
      <c r="J242" t="n">
        <v>0</v>
      </c>
      <c r="K242" t="n">
        <v>0</v>
      </c>
      <c r="L242" t="n">
        <v>0</v>
      </c>
      <c r="M242" t="n">
        <v>0</v>
      </c>
      <c r="N242" t="n">
        <v>0</v>
      </c>
      <c r="O242" t="n">
        <v>0</v>
      </c>
      <c r="P242" t="n">
        <v>0</v>
      </c>
      <c r="Q242" t="n">
        <v>0</v>
      </c>
      <c r="R242" s="2" t="inlineStr"/>
    </row>
    <row r="243" ht="15" customHeight="1">
      <c r="A243" t="inlineStr">
        <is>
          <t>A 57142-2023</t>
        </is>
      </c>
      <c r="B243" s="1" t="n">
        <v>45245.39725694444</v>
      </c>
      <c r="C243" s="1" t="n">
        <v>46047</v>
      </c>
      <c r="D243" t="inlineStr">
        <is>
          <t>UPPSALA LÄN</t>
        </is>
      </c>
      <c r="E243" t="inlineStr">
        <is>
          <t>TIERP</t>
        </is>
      </c>
      <c r="G243" t="n">
        <v>3.2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46047</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46047</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23201-2025</t>
        </is>
      </c>
      <c r="B246" s="1" t="n">
        <v>45791.4603587963</v>
      </c>
      <c r="C246" s="1" t="n">
        <v>46047</v>
      </c>
      <c r="D246" t="inlineStr">
        <is>
          <t>UPPSALA LÄN</t>
        </is>
      </c>
      <c r="E246" t="inlineStr">
        <is>
          <t>TIERP</t>
        </is>
      </c>
      <c r="G246" t="n">
        <v>0.9</v>
      </c>
      <c r="H246" t="n">
        <v>0</v>
      </c>
      <c r="I246" t="n">
        <v>0</v>
      </c>
      <c r="J246" t="n">
        <v>0</v>
      </c>
      <c r="K246" t="n">
        <v>0</v>
      </c>
      <c r="L246" t="n">
        <v>0</v>
      </c>
      <c r="M246" t="n">
        <v>0</v>
      </c>
      <c r="N246" t="n">
        <v>0</v>
      </c>
      <c r="O246" t="n">
        <v>0</v>
      </c>
      <c r="P246" t="n">
        <v>0</v>
      </c>
      <c r="Q246" t="n">
        <v>0</v>
      </c>
      <c r="R246" s="2" t="inlineStr"/>
    </row>
    <row r="247" ht="15" customHeight="1">
      <c r="A247" t="inlineStr">
        <is>
          <t>A 41389-2024</t>
        </is>
      </c>
      <c r="B247" s="1" t="n">
        <v>45560</v>
      </c>
      <c r="C247" s="1" t="n">
        <v>46047</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16124-2021</t>
        </is>
      </c>
      <c r="B248" s="1" t="n">
        <v>44291</v>
      </c>
      <c r="C248" s="1" t="n">
        <v>46047</v>
      </c>
      <c r="D248" t="inlineStr">
        <is>
          <t>UPPSALA LÄN</t>
        </is>
      </c>
      <c r="E248" t="inlineStr">
        <is>
          <t>TIERP</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31103-2022</t>
        </is>
      </c>
      <c r="B249" s="1" t="n">
        <v>44769.65189814815</v>
      </c>
      <c r="C249" s="1" t="n">
        <v>46047</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17579-2025</t>
        </is>
      </c>
      <c r="B250" s="1" t="n">
        <v>45757.65542824074</v>
      </c>
      <c r="C250" s="1" t="n">
        <v>46047</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23796-2025</t>
        </is>
      </c>
      <c r="B251" s="1" t="n">
        <v>45793.5515162037</v>
      </c>
      <c r="C251" s="1" t="n">
        <v>46047</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2838-2025</t>
        </is>
      </c>
      <c r="B252" s="1" t="n">
        <v>45677.64354166666</v>
      </c>
      <c r="C252" s="1" t="n">
        <v>46047</v>
      </c>
      <c r="D252" t="inlineStr">
        <is>
          <t>UPPSALA LÄN</t>
        </is>
      </c>
      <c r="E252" t="inlineStr">
        <is>
          <t>TIERP</t>
        </is>
      </c>
      <c r="F252" t="inlineStr">
        <is>
          <t>Bergvik skog väst AB</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2454-2024</t>
        </is>
      </c>
      <c r="B253" s="1" t="n">
        <v>45312</v>
      </c>
      <c r="C253" s="1" t="n">
        <v>46047</v>
      </c>
      <c r="D253" t="inlineStr">
        <is>
          <t>UPPSALA LÄN</t>
        </is>
      </c>
      <c r="E253" t="inlineStr">
        <is>
          <t>TIERP</t>
        </is>
      </c>
      <c r="G253" t="n">
        <v>2.4</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46047</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46047</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46047</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44946-2022</t>
        </is>
      </c>
      <c r="B257" s="1" t="n">
        <v>44841.57192129629</v>
      </c>
      <c r="C257" s="1" t="n">
        <v>46047</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57402-2024</t>
        </is>
      </c>
      <c r="B258" s="1" t="n">
        <v>45629</v>
      </c>
      <c r="C258" s="1" t="n">
        <v>46047</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34082-2023</t>
        </is>
      </c>
      <c r="B259" s="1" t="n">
        <v>45135</v>
      </c>
      <c r="C259" s="1" t="n">
        <v>46047</v>
      </c>
      <c r="D259" t="inlineStr">
        <is>
          <t>UPPSALA LÄN</t>
        </is>
      </c>
      <c r="E259" t="inlineStr">
        <is>
          <t>TIERP</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8879-2025</t>
        </is>
      </c>
      <c r="B260" s="1" t="n">
        <v>45713</v>
      </c>
      <c r="C260" s="1" t="n">
        <v>46047</v>
      </c>
      <c r="D260" t="inlineStr">
        <is>
          <t>UPPSALA LÄN</t>
        </is>
      </c>
      <c r="E260" t="inlineStr">
        <is>
          <t>TIERP</t>
        </is>
      </c>
      <c r="F260" t="inlineStr">
        <is>
          <t>Bergvik skog öst AB</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11570-2025</t>
        </is>
      </c>
      <c r="B261" s="1" t="n">
        <v>45727.37976851852</v>
      </c>
      <c r="C261" s="1" t="n">
        <v>46047</v>
      </c>
      <c r="D261" t="inlineStr">
        <is>
          <t>UPPSALA LÄN</t>
        </is>
      </c>
      <c r="E261" t="inlineStr">
        <is>
          <t>TIERP</t>
        </is>
      </c>
      <c r="F261" t="inlineStr">
        <is>
          <t>Bergvik skog öst AB</t>
        </is>
      </c>
      <c r="G261" t="n">
        <v>3.7</v>
      </c>
      <c r="H261" t="n">
        <v>0</v>
      </c>
      <c r="I261" t="n">
        <v>0</v>
      </c>
      <c r="J261" t="n">
        <v>0</v>
      </c>
      <c r="K261" t="n">
        <v>0</v>
      </c>
      <c r="L261" t="n">
        <v>0</v>
      </c>
      <c r="M261" t="n">
        <v>0</v>
      </c>
      <c r="N261" t="n">
        <v>0</v>
      </c>
      <c r="O261" t="n">
        <v>0</v>
      </c>
      <c r="P261" t="n">
        <v>0</v>
      </c>
      <c r="Q261" t="n">
        <v>0</v>
      </c>
      <c r="R261" s="2" t="inlineStr"/>
    </row>
    <row r="262" ht="15" customHeight="1">
      <c r="A262" t="inlineStr">
        <is>
          <t>A 33677-2023</t>
        </is>
      </c>
      <c r="B262" s="1" t="n">
        <v>45119</v>
      </c>
      <c r="C262" s="1" t="n">
        <v>46047</v>
      </c>
      <c r="D262" t="inlineStr">
        <is>
          <t>UPPSALA LÄN</t>
        </is>
      </c>
      <c r="E262" t="inlineStr">
        <is>
          <t>TIERP</t>
        </is>
      </c>
      <c r="F262" t="inlineStr">
        <is>
          <t>Bergvik skog väst AB</t>
        </is>
      </c>
      <c r="G262" t="n">
        <v>57.7</v>
      </c>
      <c r="H262" t="n">
        <v>0</v>
      </c>
      <c r="I262" t="n">
        <v>0</v>
      </c>
      <c r="J262" t="n">
        <v>0</v>
      </c>
      <c r="K262" t="n">
        <v>0</v>
      </c>
      <c r="L262" t="n">
        <v>0</v>
      </c>
      <c r="M262" t="n">
        <v>0</v>
      </c>
      <c r="N262" t="n">
        <v>0</v>
      </c>
      <c r="O262" t="n">
        <v>0</v>
      </c>
      <c r="P262" t="n">
        <v>0</v>
      </c>
      <c r="Q262" t="n">
        <v>0</v>
      </c>
      <c r="R262" s="2" t="inlineStr"/>
    </row>
    <row r="263" ht="15" customHeight="1">
      <c r="A263" t="inlineStr">
        <is>
          <t>A 60989-2023</t>
        </is>
      </c>
      <c r="B263" s="1" t="n">
        <v>45259</v>
      </c>
      <c r="C263" s="1" t="n">
        <v>46047</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5126-2024</t>
        </is>
      </c>
      <c r="B264" s="1" t="n">
        <v>45330.44269675926</v>
      </c>
      <c r="C264" s="1" t="n">
        <v>46047</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47422-2022</t>
        </is>
      </c>
      <c r="B265" s="1" t="n">
        <v>44853.57118055555</v>
      </c>
      <c r="C265" s="1" t="n">
        <v>46047</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3503-2024</t>
        </is>
      </c>
      <c r="B266" s="1" t="n">
        <v>45320</v>
      </c>
      <c r="C266" s="1" t="n">
        <v>46047</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54737-2023</t>
        </is>
      </c>
      <c r="B267" s="1" t="n">
        <v>45229</v>
      </c>
      <c r="C267" s="1" t="n">
        <v>46047</v>
      </c>
      <c r="D267" t="inlineStr">
        <is>
          <t>UPPSALA LÄN</t>
        </is>
      </c>
      <c r="E267" t="inlineStr">
        <is>
          <t>TIERP</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48736-2023</t>
        </is>
      </c>
      <c r="B268" s="1" t="n">
        <v>45203</v>
      </c>
      <c r="C268" s="1" t="n">
        <v>46047</v>
      </c>
      <c r="D268" t="inlineStr">
        <is>
          <t>UPPSALA LÄN</t>
        </is>
      </c>
      <c r="E268" t="inlineStr">
        <is>
          <t>TIERP</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12591-2021</t>
        </is>
      </c>
      <c r="B269" s="1" t="n">
        <v>44270</v>
      </c>
      <c r="C269" s="1" t="n">
        <v>46047</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52969-2023</t>
        </is>
      </c>
      <c r="B270" s="1" t="n">
        <v>45226.60010416667</v>
      </c>
      <c r="C270" s="1" t="n">
        <v>46047</v>
      </c>
      <c r="D270" t="inlineStr">
        <is>
          <t>UPPSALA LÄN</t>
        </is>
      </c>
      <c r="E270" t="inlineStr">
        <is>
          <t>TIERP</t>
        </is>
      </c>
      <c r="G270" t="n">
        <v>5.3</v>
      </c>
      <c r="H270" t="n">
        <v>0</v>
      </c>
      <c r="I270" t="n">
        <v>0</v>
      </c>
      <c r="J270" t="n">
        <v>0</v>
      </c>
      <c r="K270" t="n">
        <v>0</v>
      </c>
      <c r="L270" t="n">
        <v>0</v>
      </c>
      <c r="M270" t="n">
        <v>0</v>
      </c>
      <c r="N270" t="n">
        <v>0</v>
      </c>
      <c r="O270" t="n">
        <v>0</v>
      </c>
      <c r="P270" t="n">
        <v>0</v>
      </c>
      <c r="Q270" t="n">
        <v>0</v>
      </c>
      <c r="R270" s="2" t="inlineStr"/>
    </row>
    <row r="271" ht="15" customHeight="1">
      <c r="A271" t="inlineStr">
        <is>
          <t>A 32212-2024</t>
        </is>
      </c>
      <c r="B271" s="1" t="n">
        <v>45511</v>
      </c>
      <c r="C271" s="1" t="n">
        <v>46047</v>
      </c>
      <c r="D271" t="inlineStr">
        <is>
          <t>UPPSALA LÄN</t>
        </is>
      </c>
      <c r="E271" t="inlineStr">
        <is>
          <t>TIERP</t>
        </is>
      </c>
      <c r="G271" t="n">
        <v>3.5</v>
      </c>
      <c r="H271" t="n">
        <v>0</v>
      </c>
      <c r="I271" t="n">
        <v>0</v>
      </c>
      <c r="J271" t="n">
        <v>0</v>
      </c>
      <c r="K271" t="n">
        <v>0</v>
      </c>
      <c r="L271" t="n">
        <v>0</v>
      </c>
      <c r="M271" t="n">
        <v>0</v>
      </c>
      <c r="N271" t="n">
        <v>0</v>
      </c>
      <c r="O271" t="n">
        <v>0</v>
      </c>
      <c r="P271" t="n">
        <v>0</v>
      </c>
      <c r="Q271" t="n">
        <v>0</v>
      </c>
      <c r="R271" s="2" t="inlineStr"/>
    </row>
    <row r="272" ht="15" customHeight="1">
      <c r="A272" t="inlineStr">
        <is>
          <t>A 24150-2025</t>
        </is>
      </c>
      <c r="B272" s="1" t="n">
        <v>45796.65540509259</v>
      </c>
      <c r="C272" s="1" t="n">
        <v>46047</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44382-2024</t>
        </is>
      </c>
      <c r="B273" s="1" t="n">
        <v>45573.66729166666</v>
      </c>
      <c r="C273" s="1" t="n">
        <v>46047</v>
      </c>
      <c r="D273" t="inlineStr">
        <is>
          <t>UPPSALA LÄN</t>
        </is>
      </c>
      <c r="E273" t="inlineStr">
        <is>
          <t>TIERP</t>
        </is>
      </c>
      <c r="G273" t="n">
        <v>4.7</v>
      </c>
      <c r="H273" t="n">
        <v>0</v>
      </c>
      <c r="I273" t="n">
        <v>0</v>
      </c>
      <c r="J273" t="n">
        <v>0</v>
      </c>
      <c r="K273" t="n">
        <v>0</v>
      </c>
      <c r="L273" t="n">
        <v>0</v>
      </c>
      <c r="M273" t="n">
        <v>0</v>
      </c>
      <c r="N273" t="n">
        <v>0</v>
      </c>
      <c r="O273" t="n">
        <v>0</v>
      </c>
      <c r="P273" t="n">
        <v>0</v>
      </c>
      <c r="Q273" t="n">
        <v>0</v>
      </c>
      <c r="R273" s="2" t="inlineStr"/>
    </row>
    <row r="274" ht="15" customHeight="1">
      <c r="A274" t="inlineStr">
        <is>
          <t>A 24160-2025</t>
        </is>
      </c>
      <c r="B274" s="1" t="n">
        <v>45796.66336805555</v>
      </c>
      <c r="C274" s="1" t="n">
        <v>46047</v>
      </c>
      <c r="D274" t="inlineStr">
        <is>
          <t>UPPSALA LÄN</t>
        </is>
      </c>
      <c r="E274" t="inlineStr">
        <is>
          <t>TIERP</t>
        </is>
      </c>
      <c r="F274" t="inlineStr">
        <is>
          <t>Bergvik skog öst AB</t>
        </is>
      </c>
      <c r="G274" t="n">
        <v>6.4</v>
      </c>
      <c r="H274" t="n">
        <v>0</v>
      </c>
      <c r="I274" t="n">
        <v>0</v>
      </c>
      <c r="J274" t="n">
        <v>0</v>
      </c>
      <c r="K274" t="n">
        <v>0</v>
      </c>
      <c r="L274" t="n">
        <v>0</v>
      </c>
      <c r="M274" t="n">
        <v>0</v>
      </c>
      <c r="N274" t="n">
        <v>0</v>
      </c>
      <c r="O274" t="n">
        <v>0</v>
      </c>
      <c r="P274" t="n">
        <v>0</v>
      </c>
      <c r="Q274" t="n">
        <v>0</v>
      </c>
      <c r="R274" s="2" t="inlineStr"/>
    </row>
    <row r="275" ht="15" customHeight="1">
      <c r="A275" t="inlineStr">
        <is>
          <t>A 437-2023</t>
        </is>
      </c>
      <c r="B275" s="1" t="n">
        <v>44924</v>
      </c>
      <c r="C275" s="1" t="n">
        <v>46047</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43640-2024</t>
        </is>
      </c>
      <c r="B276" s="1" t="n">
        <v>45569</v>
      </c>
      <c r="C276" s="1" t="n">
        <v>46047</v>
      </c>
      <c r="D276" t="inlineStr">
        <is>
          <t>UPPSALA LÄN</t>
        </is>
      </c>
      <c r="E276" t="inlineStr">
        <is>
          <t>TIERP</t>
        </is>
      </c>
      <c r="F276" t="inlineStr">
        <is>
          <t>Bergvik skog öst AB</t>
        </is>
      </c>
      <c r="G276" t="n">
        <v>2.1</v>
      </c>
      <c r="H276" t="n">
        <v>0</v>
      </c>
      <c r="I276" t="n">
        <v>0</v>
      </c>
      <c r="J276" t="n">
        <v>0</v>
      </c>
      <c r="K276" t="n">
        <v>0</v>
      </c>
      <c r="L276" t="n">
        <v>0</v>
      </c>
      <c r="M276" t="n">
        <v>0</v>
      </c>
      <c r="N276" t="n">
        <v>0</v>
      </c>
      <c r="O276" t="n">
        <v>0</v>
      </c>
      <c r="P276" t="n">
        <v>0</v>
      </c>
      <c r="Q276" t="n">
        <v>0</v>
      </c>
      <c r="R276" s="2" t="inlineStr"/>
    </row>
    <row r="277" ht="15" customHeight="1">
      <c r="A277" t="inlineStr">
        <is>
          <t>A 8772-2023</t>
        </is>
      </c>
      <c r="B277" s="1" t="n">
        <v>44978.5591087963</v>
      </c>
      <c r="C277" s="1" t="n">
        <v>46047</v>
      </c>
      <c r="D277" t="inlineStr">
        <is>
          <t>UPPSALA LÄN</t>
        </is>
      </c>
      <c r="E277" t="inlineStr">
        <is>
          <t>TIERP</t>
        </is>
      </c>
      <c r="G277" t="n">
        <v>2.4</v>
      </c>
      <c r="H277" t="n">
        <v>0</v>
      </c>
      <c r="I277" t="n">
        <v>0</v>
      </c>
      <c r="J277" t="n">
        <v>0</v>
      </c>
      <c r="K277" t="n">
        <v>0</v>
      </c>
      <c r="L277" t="n">
        <v>0</v>
      </c>
      <c r="M277" t="n">
        <v>0</v>
      </c>
      <c r="N277" t="n">
        <v>0</v>
      </c>
      <c r="O277" t="n">
        <v>0</v>
      </c>
      <c r="P277" t="n">
        <v>0</v>
      </c>
      <c r="Q277" t="n">
        <v>0</v>
      </c>
      <c r="R277" s="2" t="inlineStr"/>
    </row>
    <row r="278" ht="15" customHeight="1">
      <c r="A278" t="inlineStr">
        <is>
          <t>A 8774-2023</t>
        </is>
      </c>
      <c r="B278" s="1" t="n">
        <v>44978.56202546296</v>
      </c>
      <c r="C278" s="1" t="n">
        <v>46047</v>
      </c>
      <c r="D278" t="inlineStr">
        <is>
          <t>UPPSALA LÄN</t>
        </is>
      </c>
      <c r="E278" t="inlineStr">
        <is>
          <t>TIERP</t>
        </is>
      </c>
      <c r="G278" t="n">
        <v>0.9</v>
      </c>
      <c r="H278" t="n">
        <v>0</v>
      </c>
      <c r="I278" t="n">
        <v>0</v>
      </c>
      <c r="J278" t="n">
        <v>0</v>
      </c>
      <c r="K278" t="n">
        <v>0</v>
      </c>
      <c r="L278" t="n">
        <v>0</v>
      </c>
      <c r="M278" t="n">
        <v>0</v>
      </c>
      <c r="N278" t="n">
        <v>0</v>
      </c>
      <c r="O278" t="n">
        <v>0</v>
      </c>
      <c r="P278" t="n">
        <v>0</v>
      </c>
      <c r="Q278" t="n">
        <v>0</v>
      </c>
      <c r="R278" s="2" t="inlineStr"/>
    </row>
    <row r="279" ht="15" customHeight="1">
      <c r="A279" t="inlineStr">
        <is>
          <t>A 24124-2025</t>
        </is>
      </c>
      <c r="B279" s="1" t="n">
        <v>45796.6252662037</v>
      </c>
      <c r="C279" s="1" t="n">
        <v>46047</v>
      </c>
      <c r="D279" t="inlineStr">
        <is>
          <t>UPPSALA LÄN</t>
        </is>
      </c>
      <c r="E279" t="inlineStr">
        <is>
          <t>TIERP</t>
        </is>
      </c>
      <c r="F279" t="inlineStr">
        <is>
          <t>Bergvik skog öst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26656-2022</t>
        </is>
      </c>
      <c r="B280" s="1" t="n">
        <v>44739</v>
      </c>
      <c r="C280" s="1" t="n">
        <v>46047</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18544-2025</t>
        </is>
      </c>
      <c r="B281" s="1" t="n">
        <v>45763.42081018518</v>
      </c>
      <c r="C281" s="1" t="n">
        <v>46047</v>
      </c>
      <c r="D281" t="inlineStr">
        <is>
          <t>UPPSALA LÄN</t>
        </is>
      </c>
      <c r="E281" t="inlineStr">
        <is>
          <t>TIERP</t>
        </is>
      </c>
      <c r="G281" t="n">
        <v>1.2</v>
      </c>
      <c r="H281" t="n">
        <v>0</v>
      </c>
      <c r="I281" t="n">
        <v>0</v>
      </c>
      <c r="J281" t="n">
        <v>0</v>
      </c>
      <c r="K281" t="n">
        <v>0</v>
      </c>
      <c r="L281" t="n">
        <v>0</v>
      </c>
      <c r="M281" t="n">
        <v>0</v>
      </c>
      <c r="N281" t="n">
        <v>0</v>
      </c>
      <c r="O281" t="n">
        <v>0</v>
      </c>
      <c r="P281" t="n">
        <v>0</v>
      </c>
      <c r="Q281" t="n">
        <v>0</v>
      </c>
      <c r="R281" s="2" t="inlineStr"/>
    </row>
    <row r="282" ht="15" customHeight="1">
      <c r="A282" t="inlineStr">
        <is>
          <t>A 61156-2024</t>
        </is>
      </c>
      <c r="B282" s="1" t="n">
        <v>45645.59362268518</v>
      </c>
      <c r="C282" s="1" t="n">
        <v>46047</v>
      </c>
      <c r="D282" t="inlineStr">
        <is>
          <t>UPPSALA LÄN</t>
        </is>
      </c>
      <c r="E282" t="inlineStr">
        <is>
          <t>TIERP</t>
        </is>
      </c>
      <c r="F282" t="inlineStr">
        <is>
          <t>Bergvik skog väst AB</t>
        </is>
      </c>
      <c r="G282" t="n">
        <v>10.6</v>
      </c>
      <c r="H282" t="n">
        <v>0</v>
      </c>
      <c r="I282" t="n">
        <v>0</v>
      </c>
      <c r="J282" t="n">
        <v>0</v>
      </c>
      <c r="K282" t="n">
        <v>0</v>
      </c>
      <c r="L282" t="n">
        <v>0</v>
      </c>
      <c r="M282" t="n">
        <v>0</v>
      </c>
      <c r="N282" t="n">
        <v>0</v>
      </c>
      <c r="O282" t="n">
        <v>0</v>
      </c>
      <c r="P282" t="n">
        <v>0</v>
      </c>
      <c r="Q282" t="n">
        <v>0</v>
      </c>
      <c r="R282" s="2" t="inlineStr"/>
    </row>
    <row r="283" ht="15" customHeight="1">
      <c r="A283" t="inlineStr">
        <is>
          <t>A 34835-2024</t>
        </is>
      </c>
      <c r="B283" s="1" t="n">
        <v>45526</v>
      </c>
      <c r="C283" s="1" t="n">
        <v>46047</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24807-2025</t>
        </is>
      </c>
      <c r="B284" s="1" t="n">
        <v>45799.44140046297</v>
      </c>
      <c r="C284" s="1" t="n">
        <v>46047</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408-2024</t>
        </is>
      </c>
      <c r="B285" s="1" t="n">
        <v>45296</v>
      </c>
      <c r="C285" s="1" t="n">
        <v>46047</v>
      </c>
      <c r="D285" t="inlineStr">
        <is>
          <t>UPPSALA LÄN</t>
        </is>
      </c>
      <c r="E285" t="inlineStr">
        <is>
          <t>TIERP</t>
        </is>
      </c>
      <c r="G285" t="n">
        <v>2</v>
      </c>
      <c r="H285" t="n">
        <v>0</v>
      </c>
      <c r="I285" t="n">
        <v>0</v>
      </c>
      <c r="J285" t="n">
        <v>0</v>
      </c>
      <c r="K285" t="n">
        <v>0</v>
      </c>
      <c r="L285" t="n">
        <v>0</v>
      </c>
      <c r="M285" t="n">
        <v>0</v>
      </c>
      <c r="N285" t="n">
        <v>0</v>
      </c>
      <c r="O285" t="n">
        <v>0</v>
      </c>
      <c r="P285" t="n">
        <v>0</v>
      </c>
      <c r="Q285" t="n">
        <v>0</v>
      </c>
      <c r="R285" s="2" t="inlineStr"/>
    </row>
    <row r="286" ht="15" customHeight="1">
      <c r="A286" t="inlineStr">
        <is>
          <t>A 12449-2022</t>
        </is>
      </c>
      <c r="B286" s="1" t="n">
        <v>44638.40253472222</v>
      </c>
      <c r="C286" s="1" t="n">
        <v>46047</v>
      </c>
      <c r="D286" t="inlineStr">
        <is>
          <t>UPPSALA LÄN</t>
        </is>
      </c>
      <c r="E286" t="inlineStr">
        <is>
          <t>TIERP</t>
        </is>
      </c>
      <c r="G286" t="n">
        <v>1.5</v>
      </c>
      <c r="H286" t="n">
        <v>0</v>
      </c>
      <c r="I286" t="n">
        <v>0</v>
      </c>
      <c r="J286" t="n">
        <v>0</v>
      </c>
      <c r="K286" t="n">
        <v>0</v>
      </c>
      <c r="L286" t="n">
        <v>0</v>
      </c>
      <c r="M286" t="n">
        <v>0</v>
      </c>
      <c r="N286" t="n">
        <v>0</v>
      </c>
      <c r="O286" t="n">
        <v>0</v>
      </c>
      <c r="P286" t="n">
        <v>0</v>
      </c>
      <c r="Q286" t="n">
        <v>0</v>
      </c>
      <c r="R286" s="2" t="inlineStr"/>
    </row>
    <row r="287" ht="15" customHeight="1">
      <c r="A287" t="inlineStr">
        <is>
          <t>A 38298-2023</t>
        </is>
      </c>
      <c r="B287" s="1" t="n">
        <v>45161.64891203704</v>
      </c>
      <c r="C287" s="1" t="n">
        <v>46047</v>
      </c>
      <c r="D287" t="inlineStr">
        <is>
          <t>UPPSALA LÄN</t>
        </is>
      </c>
      <c r="E287" t="inlineStr">
        <is>
          <t>TIERP</t>
        </is>
      </c>
      <c r="G287" t="n">
        <v>0.5</v>
      </c>
      <c r="H287" t="n">
        <v>0</v>
      </c>
      <c r="I287" t="n">
        <v>0</v>
      </c>
      <c r="J287" t="n">
        <v>0</v>
      </c>
      <c r="K287" t="n">
        <v>0</v>
      </c>
      <c r="L287" t="n">
        <v>0</v>
      </c>
      <c r="M287" t="n">
        <v>0</v>
      </c>
      <c r="N287" t="n">
        <v>0</v>
      </c>
      <c r="O287" t="n">
        <v>0</v>
      </c>
      <c r="P287" t="n">
        <v>0</v>
      </c>
      <c r="Q287" t="n">
        <v>0</v>
      </c>
      <c r="R287" s="2" t="inlineStr"/>
    </row>
    <row r="288" ht="15" customHeight="1">
      <c r="A288" t="inlineStr">
        <is>
          <t>A 24975-2025</t>
        </is>
      </c>
      <c r="B288" s="1" t="n">
        <v>45799.59126157407</v>
      </c>
      <c r="C288" s="1" t="n">
        <v>46047</v>
      </c>
      <c r="D288" t="inlineStr">
        <is>
          <t>UPPSALA LÄN</t>
        </is>
      </c>
      <c r="E288" t="inlineStr">
        <is>
          <t>TIERP</t>
        </is>
      </c>
      <c r="G288" t="n">
        <v>5.7</v>
      </c>
      <c r="H288" t="n">
        <v>0</v>
      </c>
      <c r="I288" t="n">
        <v>0</v>
      </c>
      <c r="J288" t="n">
        <v>0</v>
      </c>
      <c r="K288" t="n">
        <v>0</v>
      </c>
      <c r="L288" t="n">
        <v>0</v>
      </c>
      <c r="M288" t="n">
        <v>0</v>
      </c>
      <c r="N288" t="n">
        <v>0</v>
      </c>
      <c r="O288" t="n">
        <v>0</v>
      </c>
      <c r="P288" t="n">
        <v>0</v>
      </c>
      <c r="Q288" t="n">
        <v>0</v>
      </c>
      <c r="R288" s="2" t="inlineStr"/>
    </row>
    <row r="289" ht="15" customHeight="1">
      <c r="A289" t="inlineStr">
        <is>
          <t>A 29115-2023</t>
        </is>
      </c>
      <c r="B289" s="1" t="n">
        <v>45105.39783564815</v>
      </c>
      <c r="C289" s="1" t="n">
        <v>46047</v>
      </c>
      <c r="D289" t="inlineStr">
        <is>
          <t>UPPSALA LÄN</t>
        </is>
      </c>
      <c r="E289" t="inlineStr">
        <is>
          <t>TIERP</t>
        </is>
      </c>
      <c r="G289" t="n">
        <v>3.1</v>
      </c>
      <c r="H289" t="n">
        <v>0</v>
      </c>
      <c r="I289" t="n">
        <v>0</v>
      </c>
      <c r="J289" t="n">
        <v>0</v>
      </c>
      <c r="K289" t="n">
        <v>0</v>
      </c>
      <c r="L289" t="n">
        <v>0</v>
      </c>
      <c r="M289" t="n">
        <v>0</v>
      </c>
      <c r="N289" t="n">
        <v>0</v>
      </c>
      <c r="O289" t="n">
        <v>0</v>
      </c>
      <c r="P289" t="n">
        <v>0</v>
      </c>
      <c r="Q289" t="n">
        <v>0</v>
      </c>
      <c r="R289" s="2" t="inlineStr"/>
    </row>
    <row r="290" ht="15" customHeight="1">
      <c r="A290" t="inlineStr">
        <is>
          <t>A 60011-2024</t>
        </is>
      </c>
      <c r="B290" s="1" t="n">
        <v>45642</v>
      </c>
      <c r="C290" s="1" t="n">
        <v>46047</v>
      </c>
      <c r="D290" t="inlineStr">
        <is>
          <t>UPPSALA LÄN</t>
        </is>
      </c>
      <c r="E290" t="inlineStr">
        <is>
          <t>TIERP</t>
        </is>
      </c>
      <c r="G290" t="n">
        <v>1.6</v>
      </c>
      <c r="H290" t="n">
        <v>0</v>
      </c>
      <c r="I290" t="n">
        <v>0</v>
      </c>
      <c r="J290" t="n">
        <v>0</v>
      </c>
      <c r="K290" t="n">
        <v>0</v>
      </c>
      <c r="L290" t="n">
        <v>0</v>
      </c>
      <c r="M290" t="n">
        <v>0</v>
      </c>
      <c r="N290" t="n">
        <v>0</v>
      </c>
      <c r="O290" t="n">
        <v>0</v>
      </c>
      <c r="P290" t="n">
        <v>0</v>
      </c>
      <c r="Q290" t="n">
        <v>0</v>
      </c>
      <c r="R290" s="2" t="inlineStr"/>
    </row>
    <row r="291" ht="15" customHeight="1">
      <c r="A291" t="inlineStr">
        <is>
          <t>A 18110-2025</t>
        </is>
      </c>
      <c r="B291" s="1" t="n">
        <v>45761.56990740741</v>
      </c>
      <c r="C291" s="1" t="n">
        <v>46047</v>
      </c>
      <c r="D291" t="inlineStr">
        <is>
          <t>UPPSALA LÄN</t>
        </is>
      </c>
      <c r="E291" t="inlineStr">
        <is>
          <t>TIERP</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37476-2024</t>
        </is>
      </c>
      <c r="B292" s="1" t="n">
        <v>45541.29972222223</v>
      </c>
      <c r="C292" s="1" t="n">
        <v>46047</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13460-2024</t>
        </is>
      </c>
      <c r="B293" s="1" t="n">
        <v>45387.55097222222</v>
      </c>
      <c r="C293" s="1" t="n">
        <v>46047</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20750-2023</t>
        </is>
      </c>
      <c r="B294" s="1" t="n">
        <v>45058.53024305555</v>
      </c>
      <c r="C294" s="1" t="n">
        <v>46047</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25671-2025</t>
        </is>
      </c>
      <c r="B295" s="1" t="n">
        <v>45803.63006944444</v>
      </c>
      <c r="C295" s="1" t="n">
        <v>46047</v>
      </c>
      <c r="D295" t="inlineStr">
        <is>
          <t>UPPSALA LÄN</t>
        </is>
      </c>
      <c r="E295" t="inlineStr">
        <is>
          <t>TIERP</t>
        </is>
      </c>
      <c r="G295" t="n">
        <v>1.8</v>
      </c>
      <c r="H295" t="n">
        <v>0</v>
      </c>
      <c r="I295" t="n">
        <v>0</v>
      </c>
      <c r="J295" t="n">
        <v>0</v>
      </c>
      <c r="K295" t="n">
        <v>0</v>
      </c>
      <c r="L295" t="n">
        <v>0</v>
      </c>
      <c r="M295" t="n">
        <v>0</v>
      </c>
      <c r="N295" t="n">
        <v>0</v>
      </c>
      <c r="O295" t="n">
        <v>0</v>
      </c>
      <c r="P295" t="n">
        <v>0</v>
      </c>
      <c r="Q295" t="n">
        <v>0</v>
      </c>
      <c r="R295" s="2" t="inlineStr"/>
    </row>
    <row r="296" ht="15" customHeight="1">
      <c r="A296" t="inlineStr">
        <is>
          <t>A 48970-2021</t>
        </is>
      </c>
      <c r="B296" s="1" t="n">
        <v>44453</v>
      </c>
      <c r="C296" s="1" t="n">
        <v>46047</v>
      </c>
      <c r="D296" t="inlineStr">
        <is>
          <t>UPPSALA LÄN</t>
        </is>
      </c>
      <c r="E296" t="inlineStr">
        <is>
          <t>TIERP</t>
        </is>
      </c>
      <c r="G296" t="n">
        <v>4.5</v>
      </c>
      <c r="H296" t="n">
        <v>0</v>
      </c>
      <c r="I296" t="n">
        <v>0</v>
      </c>
      <c r="J296" t="n">
        <v>0</v>
      </c>
      <c r="K296" t="n">
        <v>0</v>
      </c>
      <c r="L296" t="n">
        <v>0</v>
      </c>
      <c r="M296" t="n">
        <v>0</v>
      </c>
      <c r="N296" t="n">
        <v>0</v>
      </c>
      <c r="O296" t="n">
        <v>0</v>
      </c>
      <c r="P296" t="n">
        <v>0</v>
      </c>
      <c r="Q296" t="n">
        <v>0</v>
      </c>
      <c r="R296" s="2" t="inlineStr"/>
    </row>
    <row r="297" ht="15" customHeight="1">
      <c r="A297" t="inlineStr">
        <is>
          <t>A 28538-2024</t>
        </is>
      </c>
      <c r="B297" s="1" t="n">
        <v>45478</v>
      </c>
      <c r="C297" s="1" t="n">
        <v>46047</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11306-2025</t>
        </is>
      </c>
      <c r="B298" s="1" t="n">
        <v>45726.44540509259</v>
      </c>
      <c r="C298" s="1" t="n">
        <v>46047</v>
      </c>
      <c r="D298" t="inlineStr">
        <is>
          <t>UPPSALA LÄN</t>
        </is>
      </c>
      <c r="E298" t="inlineStr">
        <is>
          <t>TIERP</t>
        </is>
      </c>
      <c r="F298" t="inlineStr">
        <is>
          <t>Bergvik skog öst AB</t>
        </is>
      </c>
      <c r="G298" t="n">
        <v>5.7</v>
      </c>
      <c r="H298" t="n">
        <v>0</v>
      </c>
      <c r="I298" t="n">
        <v>0</v>
      </c>
      <c r="J298" t="n">
        <v>0</v>
      </c>
      <c r="K298" t="n">
        <v>0</v>
      </c>
      <c r="L298" t="n">
        <v>0</v>
      </c>
      <c r="M298" t="n">
        <v>0</v>
      </c>
      <c r="N298" t="n">
        <v>0</v>
      </c>
      <c r="O298" t="n">
        <v>0</v>
      </c>
      <c r="P298" t="n">
        <v>0</v>
      </c>
      <c r="Q298" t="n">
        <v>0</v>
      </c>
      <c r="R298" s="2" t="inlineStr"/>
    </row>
    <row r="299" ht="15" customHeight="1">
      <c r="A299" t="inlineStr">
        <is>
          <t>A 10551-2024</t>
        </is>
      </c>
      <c r="B299" s="1" t="n">
        <v>45366.58351851852</v>
      </c>
      <c r="C299" s="1" t="n">
        <v>46047</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22274-2025</t>
        </is>
      </c>
      <c r="B300" s="1" t="n">
        <v>45786</v>
      </c>
      <c r="C300" s="1" t="n">
        <v>46047</v>
      </c>
      <c r="D300" t="inlineStr">
        <is>
          <t>UPPSALA LÄN</t>
        </is>
      </c>
      <c r="E300" t="inlineStr">
        <is>
          <t>TIERP</t>
        </is>
      </c>
      <c r="G300" t="n">
        <v>3.1</v>
      </c>
      <c r="H300" t="n">
        <v>0</v>
      </c>
      <c r="I300" t="n">
        <v>0</v>
      </c>
      <c r="J300" t="n">
        <v>0</v>
      </c>
      <c r="K300" t="n">
        <v>0</v>
      </c>
      <c r="L300" t="n">
        <v>0</v>
      </c>
      <c r="M300" t="n">
        <v>0</v>
      </c>
      <c r="N300" t="n">
        <v>0</v>
      </c>
      <c r="O300" t="n">
        <v>0</v>
      </c>
      <c r="P300" t="n">
        <v>0</v>
      </c>
      <c r="Q300" t="n">
        <v>0</v>
      </c>
      <c r="R300" s="2" t="inlineStr"/>
    </row>
    <row r="301" ht="15" customHeight="1">
      <c r="A301" t="inlineStr">
        <is>
          <t>A 61152-2024</t>
        </is>
      </c>
      <c r="B301" s="1" t="n">
        <v>45645</v>
      </c>
      <c r="C301" s="1" t="n">
        <v>46047</v>
      </c>
      <c r="D301" t="inlineStr">
        <is>
          <t>UPPSALA LÄN</t>
        </is>
      </c>
      <c r="E301" t="inlineStr">
        <is>
          <t>TIERP</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51756-2023</t>
        </is>
      </c>
      <c r="B302" s="1" t="n">
        <v>45222.6916550926</v>
      </c>
      <c r="C302" s="1" t="n">
        <v>46047</v>
      </c>
      <c r="D302" t="inlineStr">
        <is>
          <t>UPPSALA LÄN</t>
        </is>
      </c>
      <c r="E302" t="inlineStr">
        <is>
          <t>TIERP</t>
        </is>
      </c>
      <c r="G302" t="n">
        <v>0.3</v>
      </c>
      <c r="H302" t="n">
        <v>0</v>
      </c>
      <c r="I302" t="n">
        <v>0</v>
      </c>
      <c r="J302" t="n">
        <v>0</v>
      </c>
      <c r="K302" t="n">
        <v>0</v>
      </c>
      <c r="L302" t="n">
        <v>0</v>
      </c>
      <c r="M302" t="n">
        <v>0</v>
      </c>
      <c r="N302" t="n">
        <v>0</v>
      </c>
      <c r="O302" t="n">
        <v>0</v>
      </c>
      <c r="P302" t="n">
        <v>0</v>
      </c>
      <c r="Q302" t="n">
        <v>0</v>
      </c>
      <c r="R302" s="2" t="inlineStr"/>
    </row>
    <row r="303" ht="15" customHeight="1">
      <c r="A303" t="inlineStr">
        <is>
          <t>A 4409-2023</t>
        </is>
      </c>
      <c r="B303" s="1" t="n">
        <v>44956.36935185185</v>
      </c>
      <c r="C303" s="1" t="n">
        <v>46047</v>
      </c>
      <c r="D303" t="inlineStr">
        <is>
          <t>UPPSALA LÄN</t>
        </is>
      </c>
      <c r="E303" t="inlineStr">
        <is>
          <t>TIERP</t>
        </is>
      </c>
      <c r="F303" t="inlineStr">
        <is>
          <t>Bergvik skog öst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15055-2024</t>
        </is>
      </c>
      <c r="B304" s="1" t="n">
        <v>45399</v>
      </c>
      <c r="C304" s="1" t="n">
        <v>46047</v>
      </c>
      <c r="D304" t="inlineStr">
        <is>
          <t>UPPSALA LÄN</t>
        </is>
      </c>
      <c r="E304" t="inlineStr">
        <is>
          <t>TIERP</t>
        </is>
      </c>
      <c r="G304" t="n">
        <v>2.9</v>
      </c>
      <c r="H304" t="n">
        <v>0</v>
      </c>
      <c r="I304" t="n">
        <v>0</v>
      </c>
      <c r="J304" t="n">
        <v>0</v>
      </c>
      <c r="K304" t="n">
        <v>0</v>
      </c>
      <c r="L304" t="n">
        <v>0</v>
      </c>
      <c r="M304" t="n">
        <v>0</v>
      </c>
      <c r="N304" t="n">
        <v>0</v>
      </c>
      <c r="O304" t="n">
        <v>0</v>
      </c>
      <c r="P304" t="n">
        <v>0</v>
      </c>
      <c r="Q304" t="n">
        <v>0</v>
      </c>
      <c r="R304" s="2" t="inlineStr"/>
    </row>
    <row r="305" ht="15" customHeight="1">
      <c r="A305" t="inlineStr">
        <is>
          <t>A 15655-2025</t>
        </is>
      </c>
      <c r="B305" s="1" t="n">
        <v>45748</v>
      </c>
      <c r="C305" s="1" t="n">
        <v>46047</v>
      </c>
      <c r="D305" t="inlineStr">
        <is>
          <t>UPPSALA LÄN</t>
        </is>
      </c>
      <c r="E305" t="inlineStr">
        <is>
          <t>TIERP</t>
        </is>
      </c>
      <c r="F305" t="inlineStr">
        <is>
          <t>Kyrkan</t>
        </is>
      </c>
      <c r="G305" t="n">
        <v>4.5</v>
      </c>
      <c r="H305" t="n">
        <v>0</v>
      </c>
      <c r="I305" t="n">
        <v>0</v>
      </c>
      <c r="J305" t="n">
        <v>0</v>
      </c>
      <c r="K305" t="n">
        <v>0</v>
      </c>
      <c r="L305" t="n">
        <v>0</v>
      </c>
      <c r="M305" t="n">
        <v>0</v>
      </c>
      <c r="N305" t="n">
        <v>0</v>
      </c>
      <c r="O305" t="n">
        <v>0</v>
      </c>
      <c r="P305" t="n">
        <v>0</v>
      </c>
      <c r="Q305" t="n">
        <v>0</v>
      </c>
      <c r="R305" s="2" t="inlineStr"/>
    </row>
    <row r="306" ht="15" customHeight="1">
      <c r="A306" t="inlineStr">
        <is>
          <t>A 51716-2023</t>
        </is>
      </c>
      <c r="B306" s="1" t="n">
        <v>45222</v>
      </c>
      <c r="C306" s="1" t="n">
        <v>46047</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59658-2024</t>
        </is>
      </c>
      <c r="B307" s="1" t="n">
        <v>45639</v>
      </c>
      <c r="C307" s="1" t="n">
        <v>46047</v>
      </c>
      <c r="D307" t="inlineStr">
        <is>
          <t>UPPSALA LÄN</t>
        </is>
      </c>
      <c r="E307" t="inlineStr">
        <is>
          <t>TIERP</t>
        </is>
      </c>
      <c r="G307" t="n">
        <v>4.9</v>
      </c>
      <c r="H307" t="n">
        <v>0</v>
      </c>
      <c r="I307" t="n">
        <v>0</v>
      </c>
      <c r="J307" t="n">
        <v>0</v>
      </c>
      <c r="K307" t="n">
        <v>0</v>
      </c>
      <c r="L307" t="n">
        <v>0</v>
      </c>
      <c r="M307" t="n">
        <v>0</v>
      </c>
      <c r="N307" t="n">
        <v>0</v>
      </c>
      <c r="O307" t="n">
        <v>0</v>
      </c>
      <c r="P307" t="n">
        <v>0</v>
      </c>
      <c r="Q307" t="n">
        <v>0</v>
      </c>
      <c r="R307" s="2" t="inlineStr"/>
    </row>
    <row r="308" ht="15" customHeight="1">
      <c r="A308" t="inlineStr">
        <is>
          <t>A 25927-2025</t>
        </is>
      </c>
      <c r="B308" s="1" t="n">
        <v>45804.57641203704</v>
      </c>
      <c r="C308" s="1" t="n">
        <v>46047</v>
      </c>
      <c r="D308" t="inlineStr">
        <is>
          <t>UPPSALA LÄN</t>
        </is>
      </c>
      <c r="E308" t="inlineStr">
        <is>
          <t>TIERP</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26040-2025</t>
        </is>
      </c>
      <c r="B309" s="1" t="n">
        <v>45804.69550925926</v>
      </c>
      <c r="C309" s="1" t="n">
        <v>46047</v>
      </c>
      <c r="D309" t="inlineStr">
        <is>
          <t>UPPSALA LÄN</t>
        </is>
      </c>
      <c r="E309" t="inlineStr">
        <is>
          <t>TIERP</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7732-2025</t>
        </is>
      </c>
      <c r="B310" s="1" t="n">
        <v>45706</v>
      </c>
      <c r="C310" s="1" t="n">
        <v>46047</v>
      </c>
      <c r="D310" t="inlineStr">
        <is>
          <t>UPPSALA LÄN</t>
        </is>
      </c>
      <c r="E310" t="inlineStr">
        <is>
          <t>TIERP</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59731-2022</t>
        </is>
      </c>
      <c r="B311" s="1" t="n">
        <v>44908</v>
      </c>
      <c r="C311" s="1" t="n">
        <v>46047</v>
      </c>
      <c r="D311" t="inlineStr">
        <is>
          <t>UPPSALA LÄN</t>
        </is>
      </c>
      <c r="E311" t="inlineStr">
        <is>
          <t>TIERP</t>
        </is>
      </c>
      <c r="F311" t="inlineStr">
        <is>
          <t>Kyrkan</t>
        </is>
      </c>
      <c r="G311" t="n">
        <v>0.4</v>
      </c>
      <c r="H311" t="n">
        <v>0</v>
      </c>
      <c r="I311" t="n">
        <v>0</v>
      </c>
      <c r="J311" t="n">
        <v>0</v>
      </c>
      <c r="K311" t="n">
        <v>0</v>
      </c>
      <c r="L311" t="n">
        <v>0</v>
      </c>
      <c r="M311" t="n">
        <v>0</v>
      </c>
      <c r="N311" t="n">
        <v>0</v>
      </c>
      <c r="O311" t="n">
        <v>0</v>
      </c>
      <c r="P311" t="n">
        <v>0</v>
      </c>
      <c r="Q311" t="n">
        <v>0</v>
      </c>
      <c r="R311" s="2" t="inlineStr"/>
    </row>
    <row r="312" ht="15" customHeight="1">
      <c r="A312" t="inlineStr">
        <is>
          <t>A 26321-2025</t>
        </is>
      </c>
      <c r="B312" s="1" t="n">
        <v>45805</v>
      </c>
      <c r="C312" s="1" t="n">
        <v>46047</v>
      </c>
      <c r="D312" t="inlineStr">
        <is>
          <t>UPPSALA LÄN</t>
        </is>
      </c>
      <c r="E312" t="inlineStr">
        <is>
          <t>TIERP</t>
        </is>
      </c>
      <c r="G312" t="n">
        <v>3.8</v>
      </c>
      <c r="H312" t="n">
        <v>0</v>
      </c>
      <c r="I312" t="n">
        <v>0</v>
      </c>
      <c r="J312" t="n">
        <v>0</v>
      </c>
      <c r="K312" t="n">
        <v>0</v>
      </c>
      <c r="L312" t="n">
        <v>0</v>
      </c>
      <c r="M312" t="n">
        <v>0</v>
      </c>
      <c r="N312" t="n">
        <v>0</v>
      </c>
      <c r="O312" t="n">
        <v>0</v>
      </c>
      <c r="P312" t="n">
        <v>0</v>
      </c>
      <c r="Q312" t="n">
        <v>0</v>
      </c>
      <c r="R312" s="2" t="inlineStr"/>
    </row>
    <row r="313" ht="15" customHeight="1">
      <c r="A313" t="inlineStr">
        <is>
          <t>A 25953-2025</t>
        </is>
      </c>
      <c r="B313" s="1" t="n">
        <v>45804.60184027778</v>
      </c>
      <c r="C313" s="1" t="n">
        <v>46047</v>
      </c>
      <c r="D313" t="inlineStr">
        <is>
          <t>UPPSALA LÄN</t>
        </is>
      </c>
      <c r="E313" t="inlineStr">
        <is>
          <t>TIERP</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7370-2023</t>
        </is>
      </c>
      <c r="B314" s="1" t="n">
        <v>44971</v>
      </c>
      <c r="C314" s="1" t="n">
        <v>46047</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25900-2025</t>
        </is>
      </c>
      <c r="B315" s="1" t="n">
        <v>45804.54819444445</v>
      </c>
      <c r="C315" s="1" t="n">
        <v>46047</v>
      </c>
      <c r="D315" t="inlineStr">
        <is>
          <t>UPPSALA LÄN</t>
        </is>
      </c>
      <c r="E315" t="inlineStr">
        <is>
          <t>TIERP</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19339-2025</t>
        </is>
      </c>
      <c r="B316" s="1" t="n">
        <v>45769.59454861111</v>
      </c>
      <c r="C316" s="1" t="n">
        <v>46047</v>
      </c>
      <c r="D316" t="inlineStr">
        <is>
          <t>UPPSALA LÄN</t>
        </is>
      </c>
      <c r="E316" t="inlineStr">
        <is>
          <t>TIERP</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23759-2024</t>
        </is>
      </c>
      <c r="B317" s="1" t="n">
        <v>45455</v>
      </c>
      <c r="C317" s="1" t="n">
        <v>46047</v>
      </c>
      <c r="D317" t="inlineStr">
        <is>
          <t>UPPSALA LÄN</t>
        </is>
      </c>
      <c r="E317" t="inlineStr">
        <is>
          <t>TIERP</t>
        </is>
      </c>
      <c r="G317" t="n">
        <v>1.5</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44956.62740740741</v>
      </c>
      <c r="C318" s="1" t="n">
        <v>46047</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6254-2022</t>
        </is>
      </c>
      <c r="B319" s="1" t="n">
        <v>44600.44900462963</v>
      </c>
      <c r="C319" s="1" t="n">
        <v>46047</v>
      </c>
      <c r="D319" t="inlineStr">
        <is>
          <t>UPPSALA LÄN</t>
        </is>
      </c>
      <c r="E319" t="inlineStr">
        <is>
          <t>TIERP</t>
        </is>
      </c>
      <c r="F319" t="inlineStr">
        <is>
          <t>Bergvik skog öst AB</t>
        </is>
      </c>
      <c r="G319" t="n">
        <v>6.1</v>
      </c>
      <c r="H319" t="n">
        <v>0</v>
      </c>
      <c r="I319" t="n">
        <v>0</v>
      </c>
      <c r="J319" t="n">
        <v>0</v>
      </c>
      <c r="K319" t="n">
        <v>0</v>
      </c>
      <c r="L319" t="n">
        <v>0</v>
      </c>
      <c r="M319" t="n">
        <v>0</v>
      </c>
      <c r="N319" t="n">
        <v>0</v>
      </c>
      <c r="O319" t="n">
        <v>0</v>
      </c>
      <c r="P319" t="n">
        <v>0</v>
      </c>
      <c r="Q319" t="n">
        <v>0</v>
      </c>
      <c r="R319" s="2" t="inlineStr"/>
    </row>
    <row r="320" ht="15" customHeight="1">
      <c r="A320" t="inlineStr">
        <is>
          <t>A 7359-2023</t>
        </is>
      </c>
      <c r="B320" s="1" t="n">
        <v>44966</v>
      </c>
      <c r="C320" s="1" t="n">
        <v>46047</v>
      </c>
      <c r="D320" t="inlineStr">
        <is>
          <t>UPPSALA LÄN</t>
        </is>
      </c>
      <c r="E320" t="inlineStr">
        <is>
          <t>TIERP</t>
        </is>
      </c>
      <c r="G320" t="n">
        <v>3.4</v>
      </c>
      <c r="H320" t="n">
        <v>0</v>
      </c>
      <c r="I320" t="n">
        <v>0</v>
      </c>
      <c r="J320" t="n">
        <v>0</v>
      </c>
      <c r="K320" t="n">
        <v>0</v>
      </c>
      <c r="L320" t="n">
        <v>0</v>
      </c>
      <c r="M320" t="n">
        <v>0</v>
      </c>
      <c r="N320" t="n">
        <v>0</v>
      </c>
      <c r="O320" t="n">
        <v>0</v>
      </c>
      <c r="P320" t="n">
        <v>0</v>
      </c>
      <c r="Q320" t="n">
        <v>0</v>
      </c>
      <c r="R320" s="2" t="inlineStr"/>
    </row>
    <row r="321" ht="15" customHeight="1">
      <c r="A321" t="inlineStr">
        <is>
          <t>A 23312-2025</t>
        </is>
      </c>
      <c r="B321" s="1" t="n">
        <v>45791</v>
      </c>
      <c r="C321" s="1" t="n">
        <v>46047</v>
      </c>
      <c r="D321" t="inlineStr">
        <is>
          <t>UPPSALA LÄN</t>
        </is>
      </c>
      <c r="E321" t="inlineStr">
        <is>
          <t>TIERP</t>
        </is>
      </c>
      <c r="G321" t="n">
        <v>3</v>
      </c>
      <c r="H321" t="n">
        <v>0</v>
      </c>
      <c r="I321" t="n">
        <v>0</v>
      </c>
      <c r="J321" t="n">
        <v>0</v>
      </c>
      <c r="K321" t="n">
        <v>0</v>
      </c>
      <c r="L321" t="n">
        <v>0</v>
      </c>
      <c r="M321" t="n">
        <v>0</v>
      </c>
      <c r="N321" t="n">
        <v>0</v>
      </c>
      <c r="O321" t="n">
        <v>0</v>
      </c>
      <c r="P321" t="n">
        <v>0</v>
      </c>
      <c r="Q321" t="n">
        <v>0</v>
      </c>
      <c r="R321" s="2" t="inlineStr"/>
    </row>
    <row r="322" ht="15" customHeight="1">
      <c r="A322" t="inlineStr">
        <is>
          <t>A 34980-2024</t>
        </is>
      </c>
      <c r="B322" s="1" t="n">
        <v>45527</v>
      </c>
      <c r="C322" s="1" t="n">
        <v>46047</v>
      </c>
      <c r="D322" t="inlineStr">
        <is>
          <t>UPPSALA LÄN</t>
        </is>
      </c>
      <c r="E322" t="inlineStr">
        <is>
          <t>TIERP</t>
        </is>
      </c>
      <c r="G322" t="n">
        <v>4.6</v>
      </c>
      <c r="H322" t="n">
        <v>0</v>
      </c>
      <c r="I322" t="n">
        <v>0</v>
      </c>
      <c r="J322" t="n">
        <v>0</v>
      </c>
      <c r="K322" t="n">
        <v>0</v>
      </c>
      <c r="L322" t="n">
        <v>0</v>
      </c>
      <c r="M322" t="n">
        <v>0</v>
      </c>
      <c r="N322" t="n">
        <v>0</v>
      </c>
      <c r="O322" t="n">
        <v>0</v>
      </c>
      <c r="P322" t="n">
        <v>0</v>
      </c>
      <c r="Q322" t="n">
        <v>0</v>
      </c>
      <c r="R322" s="2" t="inlineStr"/>
    </row>
    <row r="323" ht="15" customHeight="1">
      <c r="A323" t="inlineStr">
        <is>
          <t>A 44505-2023</t>
        </is>
      </c>
      <c r="B323" s="1" t="n">
        <v>45184</v>
      </c>
      <c r="C323" s="1" t="n">
        <v>46047</v>
      </c>
      <c r="D323" t="inlineStr">
        <is>
          <t>UPPSALA LÄN</t>
        </is>
      </c>
      <c r="E323" t="inlineStr">
        <is>
          <t>TIERP</t>
        </is>
      </c>
      <c r="G323" t="n">
        <v>1.9</v>
      </c>
      <c r="H323" t="n">
        <v>0</v>
      </c>
      <c r="I323" t="n">
        <v>0</v>
      </c>
      <c r="J323" t="n">
        <v>0</v>
      </c>
      <c r="K323" t="n">
        <v>0</v>
      </c>
      <c r="L323" t="n">
        <v>0</v>
      </c>
      <c r="M323" t="n">
        <v>0</v>
      </c>
      <c r="N323" t="n">
        <v>0</v>
      </c>
      <c r="O323" t="n">
        <v>0</v>
      </c>
      <c r="P323" t="n">
        <v>0</v>
      </c>
      <c r="Q323" t="n">
        <v>0</v>
      </c>
      <c r="R323" s="2" t="inlineStr"/>
    </row>
    <row r="324" ht="15" customHeight="1">
      <c r="A324" t="inlineStr">
        <is>
          <t>A 26771-2024</t>
        </is>
      </c>
      <c r="B324" s="1" t="n">
        <v>45470</v>
      </c>
      <c r="C324" s="1" t="n">
        <v>46047</v>
      </c>
      <c r="D324" t="inlineStr">
        <is>
          <t>UPPSALA LÄN</t>
        </is>
      </c>
      <c r="E324" t="inlineStr">
        <is>
          <t>TIERP</t>
        </is>
      </c>
      <c r="G324" t="n">
        <v>1.2</v>
      </c>
      <c r="H324" t="n">
        <v>0</v>
      </c>
      <c r="I324" t="n">
        <v>0</v>
      </c>
      <c r="J324" t="n">
        <v>0</v>
      </c>
      <c r="K324" t="n">
        <v>0</v>
      </c>
      <c r="L324" t="n">
        <v>0</v>
      </c>
      <c r="M324" t="n">
        <v>0</v>
      </c>
      <c r="N324" t="n">
        <v>0</v>
      </c>
      <c r="O324" t="n">
        <v>0</v>
      </c>
      <c r="P324" t="n">
        <v>0</v>
      </c>
      <c r="Q324" t="n">
        <v>0</v>
      </c>
      <c r="R324" s="2" t="inlineStr"/>
    </row>
    <row r="325" ht="15" customHeight="1">
      <c r="A325" t="inlineStr">
        <is>
          <t>A 18781-2022</t>
        </is>
      </c>
      <c r="B325" s="1" t="n">
        <v>44689</v>
      </c>
      <c r="C325" s="1" t="n">
        <v>46047</v>
      </c>
      <c r="D325" t="inlineStr">
        <is>
          <t>UPPSALA LÄN</t>
        </is>
      </c>
      <c r="E325" t="inlineStr">
        <is>
          <t>TIERP</t>
        </is>
      </c>
      <c r="F325" t="inlineStr">
        <is>
          <t>Kyrkan</t>
        </is>
      </c>
      <c r="G325" t="n">
        <v>8.4</v>
      </c>
      <c r="H325" t="n">
        <v>0</v>
      </c>
      <c r="I325" t="n">
        <v>0</v>
      </c>
      <c r="J325" t="n">
        <v>0</v>
      </c>
      <c r="K325" t="n">
        <v>0</v>
      </c>
      <c r="L325" t="n">
        <v>0</v>
      </c>
      <c r="M325" t="n">
        <v>0</v>
      </c>
      <c r="N325" t="n">
        <v>0</v>
      </c>
      <c r="O325" t="n">
        <v>0</v>
      </c>
      <c r="P325" t="n">
        <v>0</v>
      </c>
      <c r="Q325" t="n">
        <v>0</v>
      </c>
      <c r="R325" s="2" t="inlineStr"/>
    </row>
    <row r="326" ht="15" customHeight="1">
      <c r="A326" t="inlineStr">
        <is>
          <t>A 26714-2025</t>
        </is>
      </c>
      <c r="B326" s="1" t="n">
        <v>45810.47152777778</v>
      </c>
      <c r="C326" s="1" t="n">
        <v>46047</v>
      </c>
      <c r="D326" t="inlineStr">
        <is>
          <t>UPPSALA LÄN</t>
        </is>
      </c>
      <c r="E326" t="inlineStr">
        <is>
          <t>TIERP</t>
        </is>
      </c>
      <c r="G326" t="n">
        <v>2.2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46047</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61827-2024</t>
        </is>
      </c>
      <c r="B328" s="1" t="n">
        <v>45649.6225</v>
      </c>
      <c r="C328" s="1" t="n">
        <v>46047</v>
      </c>
      <c r="D328" t="inlineStr">
        <is>
          <t>UPPSALA LÄN</t>
        </is>
      </c>
      <c r="E328" t="inlineStr">
        <is>
          <t>TIERP</t>
        </is>
      </c>
      <c r="G328" t="n">
        <v>2.5</v>
      </c>
      <c r="H328" t="n">
        <v>0</v>
      </c>
      <c r="I328" t="n">
        <v>0</v>
      </c>
      <c r="J328" t="n">
        <v>0</v>
      </c>
      <c r="K328" t="n">
        <v>0</v>
      </c>
      <c r="L328" t="n">
        <v>0</v>
      </c>
      <c r="M328" t="n">
        <v>0</v>
      </c>
      <c r="N328" t="n">
        <v>0</v>
      </c>
      <c r="O328" t="n">
        <v>0</v>
      </c>
      <c r="P328" t="n">
        <v>0</v>
      </c>
      <c r="Q328" t="n">
        <v>0</v>
      </c>
      <c r="R328" s="2" t="inlineStr"/>
    </row>
    <row r="329" ht="15" customHeight="1">
      <c r="A329" t="inlineStr">
        <is>
          <t>A 32207-2021</t>
        </is>
      </c>
      <c r="B329" s="1" t="n">
        <v>44371</v>
      </c>
      <c r="C329" s="1" t="n">
        <v>46047</v>
      </c>
      <c r="D329" t="inlineStr">
        <is>
          <t>UPPSALA LÄN</t>
        </is>
      </c>
      <c r="E329" t="inlineStr">
        <is>
          <t>TIERP</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7065-2024</t>
        </is>
      </c>
      <c r="B330" s="1" t="n">
        <v>45343.66717592593</v>
      </c>
      <c r="C330" s="1" t="n">
        <v>46047</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60985-2024</t>
        </is>
      </c>
      <c r="B331" s="1" t="n">
        <v>45645.41540509259</v>
      </c>
      <c r="C331" s="1" t="n">
        <v>46047</v>
      </c>
      <c r="D331" t="inlineStr">
        <is>
          <t>UPPSALA LÄN</t>
        </is>
      </c>
      <c r="E331" t="inlineStr">
        <is>
          <t>TIERP</t>
        </is>
      </c>
      <c r="G331" t="n">
        <v>5.5</v>
      </c>
      <c r="H331" t="n">
        <v>0</v>
      </c>
      <c r="I331" t="n">
        <v>0</v>
      </c>
      <c r="J331" t="n">
        <v>0</v>
      </c>
      <c r="K331" t="n">
        <v>0</v>
      </c>
      <c r="L331" t="n">
        <v>0</v>
      </c>
      <c r="M331" t="n">
        <v>0</v>
      </c>
      <c r="N331" t="n">
        <v>0</v>
      </c>
      <c r="O331" t="n">
        <v>0</v>
      </c>
      <c r="P331" t="n">
        <v>0</v>
      </c>
      <c r="Q331" t="n">
        <v>0</v>
      </c>
      <c r="R331" s="2" t="inlineStr"/>
    </row>
    <row r="332" ht="15" customHeight="1">
      <c r="A332" t="inlineStr">
        <is>
          <t>A 3561-2023</t>
        </is>
      </c>
      <c r="B332" s="1" t="n">
        <v>44950.47427083334</v>
      </c>
      <c r="C332" s="1" t="n">
        <v>46047</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5918-2022</t>
        </is>
      </c>
      <c r="B333" s="1" t="n">
        <v>44597.83796296296</v>
      </c>
      <c r="C333" s="1" t="n">
        <v>46047</v>
      </c>
      <c r="D333" t="inlineStr">
        <is>
          <t>UPPSALA LÄN</t>
        </is>
      </c>
      <c r="E333" t="inlineStr">
        <is>
          <t>TIERP</t>
        </is>
      </c>
      <c r="G333" t="n">
        <v>4.7</v>
      </c>
      <c r="H333" t="n">
        <v>0</v>
      </c>
      <c r="I333" t="n">
        <v>0</v>
      </c>
      <c r="J333" t="n">
        <v>0</v>
      </c>
      <c r="K333" t="n">
        <v>0</v>
      </c>
      <c r="L333" t="n">
        <v>0</v>
      </c>
      <c r="M333" t="n">
        <v>0</v>
      </c>
      <c r="N333" t="n">
        <v>0</v>
      </c>
      <c r="O333" t="n">
        <v>0</v>
      </c>
      <c r="P333" t="n">
        <v>0</v>
      </c>
      <c r="Q333" t="n">
        <v>0</v>
      </c>
      <c r="R333" s="2" t="inlineStr"/>
    </row>
    <row r="334" ht="15" customHeight="1">
      <c r="A334" t="inlineStr">
        <is>
          <t>A 49111-2024</t>
        </is>
      </c>
      <c r="B334" s="1" t="n">
        <v>45594.65586805555</v>
      </c>
      <c r="C334" s="1" t="n">
        <v>46047</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55818-2023</t>
        </is>
      </c>
      <c r="B335" s="1" t="n">
        <v>45239.58409722222</v>
      </c>
      <c r="C335" s="1" t="n">
        <v>46047</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27382-2025</t>
        </is>
      </c>
      <c r="B336" s="1" t="n">
        <v>45812.66421296296</v>
      </c>
      <c r="C336" s="1" t="n">
        <v>46047</v>
      </c>
      <c r="D336" t="inlineStr">
        <is>
          <t>UPPSALA LÄN</t>
        </is>
      </c>
      <c r="E336" t="inlineStr">
        <is>
          <t>TIERP</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60314-2024</t>
        </is>
      </c>
      <c r="B337" s="1" t="n">
        <v>45643</v>
      </c>
      <c r="C337" s="1" t="n">
        <v>46047</v>
      </c>
      <c r="D337" t="inlineStr">
        <is>
          <t>UPPSALA LÄN</t>
        </is>
      </c>
      <c r="E337" t="inlineStr">
        <is>
          <t>TIERP</t>
        </is>
      </c>
      <c r="F337" t="inlineStr">
        <is>
          <t>Bergvik skog öst AB</t>
        </is>
      </c>
      <c r="G337" t="n">
        <v>4.4</v>
      </c>
      <c r="H337" t="n">
        <v>0</v>
      </c>
      <c r="I337" t="n">
        <v>0</v>
      </c>
      <c r="J337" t="n">
        <v>0</v>
      </c>
      <c r="K337" t="n">
        <v>0</v>
      </c>
      <c r="L337" t="n">
        <v>0</v>
      </c>
      <c r="M337" t="n">
        <v>0</v>
      </c>
      <c r="N337" t="n">
        <v>0</v>
      </c>
      <c r="O337" t="n">
        <v>0</v>
      </c>
      <c r="P337" t="n">
        <v>0</v>
      </c>
      <c r="Q337" t="n">
        <v>0</v>
      </c>
      <c r="R337" s="2" t="inlineStr"/>
    </row>
    <row r="338" ht="15" customHeight="1">
      <c r="A338" t="inlineStr">
        <is>
          <t>A 27360-2025</t>
        </is>
      </c>
      <c r="B338" s="1" t="n">
        <v>45812.63758101852</v>
      </c>
      <c r="C338" s="1" t="n">
        <v>46047</v>
      </c>
      <c r="D338" t="inlineStr">
        <is>
          <t>UPPSALA LÄN</t>
        </is>
      </c>
      <c r="E338" t="inlineStr">
        <is>
          <t>TIERP</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59244-2024</t>
        </is>
      </c>
      <c r="B339" s="1" t="n">
        <v>45637</v>
      </c>
      <c r="C339" s="1" t="n">
        <v>46047</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13368-2024</t>
        </is>
      </c>
      <c r="B340" s="1" t="n">
        <v>45387</v>
      </c>
      <c r="C340" s="1" t="n">
        <v>46047</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45848-2024</t>
        </is>
      </c>
      <c r="B341" s="1" t="n">
        <v>45580</v>
      </c>
      <c r="C341" s="1" t="n">
        <v>46047</v>
      </c>
      <c r="D341" t="inlineStr">
        <is>
          <t>UPPSALA LÄN</t>
        </is>
      </c>
      <c r="E341" t="inlineStr">
        <is>
          <t>TIERP</t>
        </is>
      </c>
      <c r="G341" t="n">
        <v>6.4</v>
      </c>
      <c r="H341" t="n">
        <v>0</v>
      </c>
      <c r="I341" t="n">
        <v>0</v>
      </c>
      <c r="J341" t="n">
        <v>0</v>
      </c>
      <c r="K341" t="n">
        <v>0</v>
      </c>
      <c r="L341" t="n">
        <v>0</v>
      </c>
      <c r="M341" t="n">
        <v>0</v>
      </c>
      <c r="N341" t="n">
        <v>0</v>
      </c>
      <c r="O341" t="n">
        <v>0</v>
      </c>
      <c r="P341" t="n">
        <v>0</v>
      </c>
      <c r="Q341" t="n">
        <v>0</v>
      </c>
      <c r="R341" s="2" t="inlineStr"/>
    </row>
    <row r="342" ht="15" customHeight="1">
      <c r="A342" t="inlineStr">
        <is>
          <t>A 27270-2025</t>
        </is>
      </c>
      <c r="B342" s="1" t="n">
        <v>45812.4972337963</v>
      </c>
      <c r="C342" s="1" t="n">
        <v>46047</v>
      </c>
      <c r="D342" t="inlineStr">
        <is>
          <t>UPPSALA LÄN</t>
        </is>
      </c>
      <c r="E342" t="inlineStr">
        <is>
          <t>TIERP</t>
        </is>
      </c>
      <c r="G342" t="n">
        <v>1.1</v>
      </c>
      <c r="H342" t="n">
        <v>0</v>
      </c>
      <c r="I342" t="n">
        <v>0</v>
      </c>
      <c r="J342" t="n">
        <v>0</v>
      </c>
      <c r="K342" t="n">
        <v>0</v>
      </c>
      <c r="L342" t="n">
        <v>0</v>
      </c>
      <c r="M342" t="n">
        <v>0</v>
      </c>
      <c r="N342" t="n">
        <v>0</v>
      </c>
      <c r="O342" t="n">
        <v>0</v>
      </c>
      <c r="P342" t="n">
        <v>0</v>
      </c>
      <c r="Q342" t="n">
        <v>0</v>
      </c>
      <c r="R342" s="2" t="inlineStr"/>
    </row>
    <row r="343" ht="15" customHeight="1">
      <c r="A343" t="inlineStr">
        <is>
          <t>A 27629-2025</t>
        </is>
      </c>
      <c r="B343" s="1" t="n">
        <v>45813.55859953703</v>
      </c>
      <c r="C343" s="1" t="n">
        <v>46047</v>
      </c>
      <c r="D343" t="inlineStr">
        <is>
          <t>UPPSALA LÄN</t>
        </is>
      </c>
      <c r="E343" t="inlineStr">
        <is>
          <t>TIERP</t>
        </is>
      </c>
      <c r="F343" t="inlineStr">
        <is>
          <t>Bergvik skog väst AB</t>
        </is>
      </c>
      <c r="G343" t="n">
        <v>24.6</v>
      </c>
      <c r="H343" t="n">
        <v>0</v>
      </c>
      <c r="I343" t="n">
        <v>0</v>
      </c>
      <c r="J343" t="n">
        <v>0</v>
      </c>
      <c r="K343" t="n">
        <v>0</v>
      </c>
      <c r="L343" t="n">
        <v>0</v>
      </c>
      <c r="M343" t="n">
        <v>0</v>
      </c>
      <c r="N343" t="n">
        <v>0</v>
      </c>
      <c r="O343" t="n">
        <v>0</v>
      </c>
      <c r="P343" t="n">
        <v>0</v>
      </c>
      <c r="Q343" t="n">
        <v>0</v>
      </c>
      <c r="R343" s="2" t="inlineStr"/>
    </row>
    <row r="344" ht="15" customHeight="1">
      <c r="A344" t="inlineStr">
        <is>
          <t>A 52388-2022</t>
        </is>
      </c>
      <c r="B344" s="1" t="n">
        <v>44874</v>
      </c>
      <c r="C344" s="1" t="n">
        <v>46047</v>
      </c>
      <c r="D344" t="inlineStr">
        <is>
          <t>UPPSALA LÄN</t>
        </is>
      </c>
      <c r="E344" t="inlineStr">
        <is>
          <t>TIERP</t>
        </is>
      </c>
      <c r="G344" t="n">
        <v>1</v>
      </c>
      <c r="H344" t="n">
        <v>0</v>
      </c>
      <c r="I344" t="n">
        <v>0</v>
      </c>
      <c r="J344" t="n">
        <v>0</v>
      </c>
      <c r="K344" t="n">
        <v>0</v>
      </c>
      <c r="L344" t="n">
        <v>0</v>
      </c>
      <c r="M344" t="n">
        <v>0</v>
      </c>
      <c r="N344" t="n">
        <v>0</v>
      </c>
      <c r="O344" t="n">
        <v>0</v>
      </c>
      <c r="P344" t="n">
        <v>0</v>
      </c>
      <c r="Q344" t="n">
        <v>0</v>
      </c>
      <c r="R344" s="2" t="inlineStr"/>
    </row>
    <row r="345" ht="15" customHeight="1">
      <c r="A345" t="inlineStr">
        <is>
          <t>A 37053-2024</t>
        </is>
      </c>
      <c r="B345" s="1" t="n">
        <v>45539.43512731481</v>
      </c>
      <c r="C345" s="1" t="n">
        <v>46047</v>
      </c>
      <c r="D345" t="inlineStr">
        <is>
          <t>UPPSALA LÄN</t>
        </is>
      </c>
      <c r="E345" t="inlineStr">
        <is>
          <t>TIERP</t>
        </is>
      </c>
      <c r="G345" t="n">
        <v>1.7</v>
      </c>
      <c r="H345" t="n">
        <v>0</v>
      </c>
      <c r="I345" t="n">
        <v>0</v>
      </c>
      <c r="J345" t="n">
        <v>0</v>
      </c>
      <c r="K345" t="n">
        <v>0</v>
      </c>
      <c r="L345" t="n">
        <v>0</v>
      </c>
      <c r="M345" t="n">
        <v>0</v>
      </c>
      <c r="N345" t="n">
        <v>0</v>
      </c>
      <c r="O345" t="n">
        <v>0</v>
      </c>
      <c r="P345" t="n">
        <v>0</v>
      </c>
      <c r="Q345" t="n">
        <v>0</v>
      </c>
      <c r="R345" s="2" t="inlineStr"/>
    </row>
    <row r="346" ht="15" customHeight="1">
      <c r="A346" t="inlineStr">
        <is>
          <t>A 27252-2025</t>
        </is>
      </c>
      <c r="B346" s="1" t="n">
        <v>45812.47153935185</v>
      </c>
      <c r="C346" s="1" t="n">
        <v>46047</v>
      </c>
      <c r="D346" t="inlineStr">
        <is>
          <t>UPPSALA LÄN</t>
        </is>
      </c>
      <c r="E346" t="inlineStr">
        <is>
          <t>TIERP</t>
        </is>
      </c>
      <c r="F346" t="inlineStr">
        <is>
          <t>Bergvik skog öst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44774-2024</t>
        </is>
      </c>
      <c r="B347" s="1" t="n">
        <v>45574</v>
      </c>
      <c r="C347" s="1" t="n">
        <v>46047</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19138-2025</t>
        </is>
      </c>
      <c r="B348" s="1" t="n">
        <v>45769.3231712963</v>
      </c>
      <c r="C348" s="1" t="n">
        <v>46047</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22393-2024</t>
        </is>
      </c>
      <c r="B349" s="1" t="n">
        <v>45446</v>
      </c>
      <c r="C349" s="1" t="n">
        <v>46047</v>
      </c>
      <c r="D349" t="inlineStr">
        <is>
          <t>UPPSALA LÄN</t>
        </is>
      </c>
      <c r="E349" t="inlineStr">
        <is>
          <t>TIERP</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14086-2023</t>
        </is>
      </c>
      <c r="B350" s="1" t="n">
        <v>45009.33243055556</v>
      </c>
      <c r="C350" s="1" t="n">
        <v>46047</v>
      </c>
      <c r="D350" t="inlineStr">
        <is>
          <t>UPPSALA LÄN</t>
        </is>
      </c>
      <c r="E350" t="inlineStr">
        <is>
          <t>TIERP</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36561-2022</t>
        </is>
      </c>
      <c r="B351" s="1" t="n">
        <v>44804</v>
      </c>
      <c r="C351" s="1" t="n">
        <v>46047</v>
      </c>
      <c r="D351" t="inlineStr">
        <is>
          <t>UPPSALA LÄN</t>
        </is>
      </c>
      <c r="E351" t="inlineStr">
        <is>
          <t>TIERP</t>
        </is>
      </c>
      <c r="G351" t="n">
        <v>4.6</v>
      </c>
      <c r="H351" t="n">
        <v>0</v>
      </c>
      <c r="I351" t="n">
        <v>0</v>
      </c>
      <c r="J351" t="n">
        <v>0</v>
      </c>
      <c r="K351" t="n">
        <v>0</v>
      </c>
      <c r="L351" t="n">
        <v>0</v>
      </c>
      <c r="M351" t="n">
        <v>0</v>
      </c>
      <c r="N351" t="n">
        <v>0</v>
      </c>
      <c r="O351" t="n">
        <v>0</v>
      </c>
      <c r="P351" t="n">
        <v>0</v>
      </c>
      <c r="Q351" t="n">
        <v>0</v>
      </c>
      <c r="R351" s="2" t="inlineStr"/>
    </row>
    <row r="352" ht="15" customHeight="1">
      <c r="A352" t="inlineStr">
        <is>
          <t>A 38464-2023</t>
        </is>
      </c>
      <c r="B352" s="1" t="n">
        <v>45162.44894675926</v>
      </c>
      <c r="C352" s="1" t="n">
        <v>46047</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28223-2025</t>
        </is>
      </c>
      <c r="B353" s="1" t="n">
        <v>45818.47733796296</v>
      </c>
      <c r="C353" s="1" t="n">
        <v>46047</v>
      </c>
      <c r="D353" t="inlineStr">
        <is>
          <t>UPPSALA LÄN</t>
        </is>
      </c>
      <c r="E353" t="inlineStr">
        <is>
          <t>TIERP</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28285-2025</t>
        </is>
      </c>
      <c r="B354" s="1" t="n">
        <v>45818.58984953703</v>
      </c>
      <c r="C354" s="1" t="n">
        <v>46047</v>
      </c>
      <c r="D354" t="inlineStr">
        <is>
          <t>UPPSALA LÄN</t>
        </is>
      </c>
      <c r="E354" t="inlineStr">
        <is>
          <t>TIERP</t>
        </is>
      </c>
      <c r="F354" t="inlineStr">
        <is>
          <t>Bergvik skog öst AB</t>
        </is>
      </c>
      <c r="G354" t="n">
        <v>2</v>
      </c>
      <c r="H354" t="n">
        <v>0</v>
      </c>
      <c r="I354" t="n">
        <v>0</v>
      </c>
      <c r="J354" t="n">
        <v>0</v>
      </c>
      <c r="K354" t="n">
        <v>0</v>
      </c>
      <c r="L354" t="n">
        <v>0</v>
      </c>
      <c r="M354" t="n">
        <v>0</v>
      </c>
      <c r="N354" t="n">
        <v>0</v>
      </c>
      <c r="O354" t="n">
        <v>0</v>
      </c>
      <c r="P354" t="n">
        <v>0</v>
      </c>
      <c r="Q354" t="n">
        <v>0</v>
      </c>
      <c r="R354" s="2" t="inlineStr"/>
    </row>
    <row r="355" ht="15" customHeight="1">
      <c r="A355" t="inlineStr">
        <is>
          <t>A 48483-2022</t>
        </is>
      </c>
      <c r="B355" s="1" t="n">
        <v>44858</v>
      </c>
      <c r="C355" s="1" t="n">
        <v>46047</v>
      </c>
      <c r="D355" t="inlineStr">
        <is>
          <t>UPPSALA LÄN</t>
        </is>
      </c>
      <c r="E355" t="inlineStr">
        <is>
          <t>TIERP</t>
        </is>
      </c>
      <c r="G355" t="n">
        <v>0.7</v>
      </c>
      <c r="H355" t="n">
        <v>0</v>
      </c>
      <c r="I355" t="n">
        <v>0</v>
      </c>
      <c r="J355" t="n">
        <v>0</v>
      </c>
      <c r="K355" t="n">
        <v>0</v>
      </c>
      <c r="L355" t="n">
        <v>0</v>
      </c>
      <c r="M355" t="n">
        <v>0</v>
      </c>
      <c r="N355" t="n">
        <v>0</v>
      </c>
      <c r="O355" t="n">
        <v>0</v>
      </c>
      <c r="P355" t="n">
        <v>0</v>
      </c>
      <c r="Q355" t="n">
        <v>0</v>
      </c>
      <c r="R355" s="2" t="inlineStr"/>
    </row>
    <row r="356" ht="15" customHeight="1">
      <c r="A356" t="inlineStr">
        <is>
          <t>A 28252-2025</t>
        </is>
      </c>
      <c r="B356" s="1" t="n">
        <v>45818.54159722223</v>
      </c>
      <c r="C356" s="1" t="n">
        <v>46047</v>
      </c>
      <c r="D356" t="inlineStr">
        <is>
          <t>UPPSALA LÄN</t>
        </is>
      </c>
      <c r="E356" t="inlineStr">
        <is>
          <t>TIERP</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20860-2024</t>
        </is>
      </c>
      <c r="B357" s="1" t="n">
        <v>45439</v>
      </c>
      <c r="C357" s="1" t="n">
        <v>46047</v>
      </c>
      <c r="D357" t="inlineStr">
        <is>
          <t>UPPSALA LÄN</t>
        </is>
      </c>
      <c r="E357" t="inlineStr">
        <is>
          <t>TIERP</t>
        </is>
      </c>
      <c r="G357" t="n">
        <v>1.6</v>
      </c>
      <c r="H357" t="n">
        <v>0</v>
      </c>
      <c r="I357" t="n">
        <v>0</v>
      </c>
      <c r="J357" t="n">
        <v>0</v>
      </c>
      <c r="K357" t="n">
        <v>0</v>
      </c>
      <c r="L357" t="n">
        <v>0</v>
      </c>
      <c r="M357" t="n">
        <v>0</v>
      </c>
      <c r="N357" t="n">
        <v>0</v>
      </c>
      <c r="O357" t="n">
        <v>0</v>
      </c>
      <c r="P357" t="n">
        <v>0</v>
      </c>
      <c r="Q357" t="n">
        <v>0</v>
      </c>
      <c r="R357" s="2" t="inlineStr"/>
    </row>
    <row r="358" ht="15" customHeight="1">
      <c r="A358" t="inlineStr">
        <is>
          <t>A 17642-2025</t>
        </is>
      </c>
      <c r="B358" s="1" t="n">
        <v>45758</v>
      </c>
      <c r="C358" s="1" t="n">
        <v>46047</v>
      </c>
      <c r="D358" t="inlineStr">
        <is>
          <t>UPPSALA LÄN</t>
        </is>
      </c>
      <c r="E358" t="inlineStr">
        <is>
          <t>TIERP</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7068-2022</t>
        </is>
      </c>
      <c r="B359" s="1" t="n">
        <v>44603</v>
      </c>
      <c r="C359" s="1" t="n">
        <v>46047</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19026-2025</t>
        </is>
      </c>
      <c r="B360" s="1" t="n">
        <v>45764.63778935185</v>
      </c>
      <c r="C360" s="1" t="n">
        <v>46047</v>
      </c>
      <c r="D360" t="inlineStr">
        <is>
          <t>UPPSALA LÄN</t>
        </is>
      </c>
      <c r="E360" t="inlineStr">
        <is>
          <t>TIERP</t>
        </is>
      </c>
      <c r="F360" t="inlineStr">
        <is>
          <t>Bergvik skog öst AB</t>
        </is>
      </c>
      <c r="G360" t="n">
        <v>3.3</v>
      </c>
      <c r="H360" t="n">
        <v>0</v>
      </c>
      <c r="I360" t="n">
        <v>0</v>
      </c>
      <c r="J360" t="n">
        <v>0</v>
      </c>
      <c r="K360" t="n">
        <v>0</v>
      </c>
      <c r="L360" t="n">
        <v>0</v>
      </c>
      <c r="M360" t="n">
        <v>0</v>
      </c>
      <c r="N360" t="n">
        <v>0</v>
      </c>
      <c r="O360" t="n">
        <v>0</v>
      </c>
      <c r="P360" t="n">
        <v>0</v>
      </c>
      <c r="Q360" t="n">
        <v>0</v>
      </c>
      <c r="R360" s="2" t="inlineStr"/>
    </row>
    <row r="361" ht="15" customHeight="1">
      <c r="A361" t="inlineStr">
        <is>
          <t>A 11529-2022</t>
        </is>
      </c>
      <c r="B361" s="1" t="n">
        <v>44631.38126157408</v>
      </c>
      <c r="C361" s="1" t="n">
        <v>46047</v>
      </c>
      <c r="D361" t="inlineStr">
        <is>
          <t>UPPSALA LÄN</t>
        </is>
      </c>
      <c r="E361" t="inlineStr">
        <is>
          <t>TIERP</t>
        </is>
      </c>
      <c r="G361" t="n">
        <v>2.4</v>
      </c>
      <c r="H361" t="n">
        <v>0</v>
      </c>
      <c r="I361" t="n">
        <v>0</v>
      </c>
      <c r="J361" t="n">
        <v>0</v>
      </c>
      <c r="K361" t="n">
        <v>0</v>
      </c>
      <c r="L361" t="n">
        <v>0</v>
      </c>
      <c r="M361" t="n">
        <v>0</v>
      </c>
      <c r="N361" t="n">
        <v>0</v>
      </c>
      <c r="O361" t="n">
        <v>0</v>
      </c>
      <c r="P361" t="n">
        <v>0</v>
      </c>
      <c r="Q361" t="n">
        <v>0</v>
      </c>
      <c r="R361" s="2" t="inlineStr"/>
    </row>
    <row r="362" ht="15" customHeight="1">
      <c r="A362" t="inlineStr">
        <is>
          <t>A 29282-2025</t>
        </is>
      </c>
      <c r="B362" s="1" t="n">
        <v>45824.42741898148</v>
      </c>
      <c r="C362" s="1" t="n">
        <v>46047</v>
      </c>
      <c r="D362" t="inlineStr">
        <is>
          <t>UPPSALA LÄN</t>
        </is>
      </c>
      <c r="E362" t="inlineStr">
        <is>
          <t>TIERP</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58252-2024</t>
        </is>
      </c>
      <c r="B363" s="1" t="n">
        <v>45632.55709490741</v>
      </c>
      <c r="C363" s="1" t="n">
        <v>46047</v>
      </c>
      <c r="D363" t="inlineStr">
        <is>
          <t>UPPSALA LÄN</t>
        </is>
      </c>
      <c r="E363" t="inlineStr">
        <is>
          <t>TIERP</t>
        </is>
      </c>
      <c r="G363" t="n">
        <v>3.2</v>
      </c>
      <c r="H363" t="n">
        <v>0</v>
      </c>
      <c r="I363" t="n">
        <v>0</v>
      </c>
      <c r="J363" t="n">
        <v>0</v>
      </c>
      <c r="K363" t="n">
        <v>0</v>
      </c>
      <c r="L363" t="n">
        <v>0</v>
      </c>
      <c r="M363" t="n">
        <v>0</v>
      </c>
      <c r="N363" t="n">
        <v>0</v>
      </c>
      <c r="O363" t="n">
        <v>0</v>
      </c>
      <c r="P363" t="n">
        <v>0</v>
      </c>
      <c r="Q363" t="n">
        <v>0</v>
      </c>
      <c r="R363" s="2" t="inlineStr"/>
    </row>
    <row r="364" ht="15" customHeight="1">
      <c r="A364" t="inlineStr">
        <is>
          <t>A 48403-2022</t>
        </is>
      </c>
      <c r="B364" s="1" t="n">
        <v>44858.61703703704</v>
      </c>
      <c r="C364" s="1" t="n">
        <v>46047</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29133-2025</t>
        </is>
      </c>
      <c r="B365" s="1" t="n">
        <v>45821.60461805556</v>
      </c>
      <c r="C365" s="1" t="n">
        <v>46047</v>
      </c>
      <c r="D365" t="inlineStr">
        <is>
          <t>UPPSALA LÄN</t>
        </is>
      </c>
      <c r="E365" t="inlineStr">
        <is>
          <t>TIERP</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5967-2023</t>
        </is>
      </c>
      <c r="B366" s="1" t="n">
        <v>44964</v>
      </c>
      <c r="C366" s="1" t="n">
        <v>46047</v>
      </c>
      <c r="D366" t="inlineStr">
        <is>
          <t>UPPSALA LÄN</t>
        </is>
      </c>
      <c r="E366" t="inlineStr">
        <is>
          <t>TIERP</t>
        </is>
      </c>
      <c r="G366" t="n">
        <v>2.1</v>
      </c>
      <c r="H366" t="n">
        <v>0</v>
      </c>
      <c r="I366" t="n">
        <v>0</v>
      </c>
      <c r="J366" t="n">
        <v>0</v>
      </c>
      <c r="K366" t="n">
        <v>0</v>
      </c>
      <c r="L366" t="n">
        <v>0</v>
      </c>
      <c r="M366" t="n">
        <v>0</v>
      </c>
      <c r="N366" t="n">
        <v>0</v>
      </c>
      <c r="O366" t="n">
        <v>0</v>
      </c>
      <c r="P366" t="n">
        <v>0</v>
      </c>
      <c r="Q366" t="n">
        <v>0</v>
      </c>
      <c r="R366" s="2" t="inlineStr"/>
    </row>
    <row r="367" ht="15" customHeight="1">
      <c r="A367" t="inlineStr">
        <is>
          <t>A 29382-2025</t>
        </is>
      </c>
      <c r="B367" s="1" t="n">
        <v>45824.59332175926</v>
      </c>
      <c r="C367" s="1" t="n">
        <v>46047</v>
      </c>
      <c r="D367" t="inlineStr">
        <is>
          <t>UPPSALA LÄN</t>
        </is>
      </c>
      <c r="E367" t="inlineStr">
        <is>
          <t>TIERP</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59961-2023</t>
        </is>
      </c>
      <c r="B368" s="1" t="n">
        <v>45257</v>
      </c>
      <c r="C368" s="1" t="n">
        <v>46047</v>
      </c>
      <c r="D368" t="inlineStr">
        <is>
          <t>UPPSALA LÄN</t>
        </is>
      </c>
      <c r="E368" t="inlineStr">
        <is>
          <t>TIERP</t>
        </is>
      </c>
      <c r="G368" t="n">
        <v>2.7</v>
      </c>
      <c r="H368" t="n">
        <v>0</v>
      </c>
      <c r="I368" t="n">
        <v>0</v>
      </c>
      <c r="J368" t="n">
        <v>0</v>
      </c>
      <c r="K368" t="n">
        <v>0</v>
      </c>
      <c r="L368" t="n">
        <v>0</v>
      </c>
      <c r="M368" t="n">
        <v>0</v>
      </c>
      <c r="N368" t="n">
        <v>0</v>
      </c>
      <c r="O368" t="n">
        <v>0</v>
      </c>
      <c r="P368" t="n">
        <v>0</v>
      </c>
      <c r="Q368" t="n">
        <v>0</v>
      </c>
      <c r="R368" s="2" t="inlineStr"/>
    </row>
    <row r="369" ht="15" customHeight="1">
      <c r="A369" t="inlineStr">
        <is>
          <t>A 55711-2023</t>
        </is>
      </c>
      <c r="B369" s="1" t="n">
        <v>45239.37905092593</v>
      </c>
      <c r="C369" s="1" t="n">
        <v>46047</v>
      </c>
      <c r="D369" t="inlineStr">
        <is>
          <t>UPPSALA LÄN</t>
        </is>
      </c>
      <c r="E369" t="inlineStr">
        <is>
          <t>TIERP</t>
        </is>
      </c>
      <c r="G369" t="n">
        <v>1.6</v>
      </c>
      <c r="H369" t="n">
        <v>0</v>
      </c>
      <c r="I369" t="n">
        <v>0</v>
      </c>
      <c r="J369" t="n">
        <v>0</v>
      </c>
      <c r="K369" t="n">
        <v>0</v>
      </c>
      <c r="L369" t="n">
        <v>0</v>
      </c>
      <c r="M369" t="n">
        <v>0</v>
      </c>
      <c r="N369" t="n">
        <v>0</v>
      </c>
      <c r="O369" t="n">
        <v>0</v>
      </c>
      <c r="P369" t="n">
        <v>0</v>
      </c>
      <c r="Q369" t="n">
        <v>0</v>
      </c>
      <c r="R369" s="2" t="inlineStr"/>
    </row>
    <row r="370" ht="15" customHeight="1">
      <c r="A370" t="inlineStr">
        <is>
          <t>A 15574-2024</t>
        </is>
      </c>
      <c r="B370" s="1" t="n">
        <v>45401.68577546296</v>
      </c>
      <c r="C370" s="1" t="n">
        <v>46047</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30083-2025</t>
        </is>
      </c>
      <c r="B371" s="1" t="n">
        <v>45826.65520833333</v>
      </c>
      <c r="C371" s="1" t="n">
        <v>46047</v>
      </c>
      <c r="D371" t="inlineStr">
        <is>
          <t>UPPSALA LÄN</t>
        </is>
      </c>
      <c r="E371" t="inlineStr">
        <is>
          <t>TIERP</t>
        </is>
      </c>
      <c r="G371" t="n">
        <v>1.8</v>
      </c>
      <c r="H371" t="n">
        <v>0</v>
      </c>
      <c r="I371" t="n">
        <v>0</v>
      </c>
      <c r="J371" t="n">
        <v>0</v>
      </c>
      <c r="K371" t="n">
        <v>0</v>
      </c>
      <c r="L371" t="n">
        <v>0</v>
      </c>
      <c r="M371" t="n">
        <v>0</v>
      </c>
      <c r="N371" t="n">
        <v>0</v>
      </c>
      <c r="O371" t="n">
        <v>0</v>
      </c>
      <c r="P371" t="n">
        <v>0</v>
      </c>
      <c r="Q371" t="n">
        <v>0</v>
      </c>
      <c r="R371" s="2" t="inlineStr"/>
    </row>
    <row r="372" ht="15" customHeight="1">
      <c r="A372" t="inlineStr">
        <is>
          <t>A 26404-2024</t>
        </is>
      </c>
      <c r="B372" s="1" t="n">
        <v>45469</v>
      </c>
      <c r="C372" s="1" t="n">
        <v>46047</v>
      </c>
      <c r="D372" t="inlineStr">
        <is>
          <t>UPPSALA LÄN</t>
        </is>
      </c>
      <c r="E372" t="inlineStr">
        <is>
          <t>TIERP</t>
        </is>
      </c>
      <c r="G372" t="n">
        <v>3.4</v>
      </c>
      <c r="H372" t="n">
        <v>0</v>
      </c>
      <c r="I372" t="n">
        <v>0</v>
      </c>
      <c r="J372" t="n">
        <v>0</v>
      </c>
      <c r="K372" t="n">
        <v>0</v>
      </c>
      <c r="L372" t="n">
        <v>0</v>
      </c>
      <c r="M372" t="n">
        <v>0</v>
      </c>
      <c r="N372" t="n">
        <v>0</v>
      </c>
      <c r="O372" t="n">
        <v>0</v>
      </c>
      <c r="P372" t="n">
        <v>0</v>
      </c>
      <c r="Q372" t="n">
        <v>0</v>
      </c>
      <c r="R372" s="2" t="inlineStr"/>
    </row>
    <row r="373" ht="15" customHeight="1">
      <c r="A373" t="inlineStr">
        <is>
          <t>A 33307-2023</t>
        </is>
      </c>
      <c r="B373" s="1" t="n">
        <v>45127</v>
      </c>
      <c r="C373" s="1" t="n">
        <v>46047</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5987-2023</t>
        </is>
      </c>
      <c r="B374" s="1" t="n">
        <v>44964</v>
      </c>
      <c r="C374" s="1" t="n">
        <v>46047</v>
      </c>
      <c r="D374" t="inlineStr">
        <is>
          <t>UPPSALA LÄN</t>
        </is>
      </c>
      <c r="E374" t="inlineStr">
        <is>
          <t>TIERP</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20317-2025</t>
        </is>
      </c>
      <c r="B375" s="1" t="n">
        <v>45775</v>
      </c>
      <c r="C375" s="1" t="n">
        <v>46047</v>
      </c>
      <c r="D375" t="inlineStr">
        <is>
          <t>UPPSALA LÄN</t>
        </is>
      </c>
      <c r="E375" t="inlineStr">
        <is>
          <t>TIERP</t>
        </is>
      </c>
      <c r="G375" t="n">
        <v>1.4</v>
      </c>
      <c r="H375" t="n">
        <v>0</v>
      </c>
      <c r="I375" t="n">
        <v>0</v>
      </c>
      <c r="J375" t="n">
        <v>0</v>
      </c>
      <c r="K375" t="n">
        <v>0</v>
      </c>
      <c r="L375" t="n">
        <v>0</v>
      </c>
      <c r="M375" t="n">
        <v>0</v>
      </c>
      <c r="N375" t="n">
        <v>0</v>
      </c>
      <c r="O375" t="n">
        <v>0</v>
      </c>
      <c r="P375" t="n">
        <v>0</v>
      </c>
      <c r="Q375" t="n">
        <v>0</v>
      </c>
      <c r="R375" s="2" t="inlineStr"/>
    </row>
    <row r="376" ht="15" customHeight="1">
      <c r="A376" t="inlineStr">
        <is>
          <t>A 15662-2025</t>
        </is>
      </c>
      <c r="B376" s="1" t="n">
        <v>45748.4287962963</v>
      </c>
      <c r="C376" s="1" t="n">
        <v>46047</v>
      </c>
      <c r="D376" t="inlineStr">
        <is>
          <t>UPPSALA LÄN</t>
        </is>
      </c>
      <c r="E376" t="inlineStr">
        <is>
          <t>TIERP</t>
        </is>
      </c>
      <c r="F376" t="inlineStr">
        <is>
          <t>Kyrkan</t>
        </is>
      </c>
      <c r="G376" t="n">
        <v>5.4</v>
      </c>
      <c r="H376" t="n">
        <v>0</v>
      </c>
      <c r="I376" t="n">
        <v>0</v>
      </c>
      <c r="J376" t="n">
        <v>0</v>
      </c>
      <c r="K376" t="n">
        <v>0</v>
      </c>
      <c r="L376" t="n">
        <v>0</v>
      </c>
      <c r="M376" t="n">
        <v>0</v>
      </c>
      <c r="N376" t="n">
        <v>0</v>
      </c>
      <c r="O376" t="n">
        <v>0</v>
      </c>
      <c r="P376" t="n">
        <v>0</v>
      </c>
      <c r="Q376" t="n">
        <v>0</v>
      </c>
      <c r="R376" s="2" t="inlineStr"/>
    </row>
    <row r="377" ht="15" customHeight="1">
      <c r="A377" t="inlineStr">
        <is>
          <t>A 2899-2023</t>
        </is>
      </c>
      <c r="B377" s="1" t="n">
        <v>44945</v>
      </c>
      <c r="C377" s="1" t="n">
        <v>46047</v>
      </c>
      <c r="D377" t="inlineStr">
        <is>
          <t>UPPSALA LÄN</t>
        </is>
      </c>
      <c r="E377" t="inlineStr">
        <is>
          <t>TIERP</t>
        </is>
      </c>
      <c r="G377" t="n">
        <v>1.7</v>
      </c>
      <c r="H377" t="n">
        <v>0</v>
      </c>
      <c r="I377" t="n">
        <v>0</v>
      </c>
      <c r="J377" t="n">
        <v>0</v>
      </c>
      <c r="K377" t="n">
        <v>0</v>
      </c>
      <c r="L377" t="n">
        <v>0</v>
      </c>
      <c r="M377" t="n">
        <v>0</v>
      </c>
      <c r="N377" t="n">
        <v>0</v>
      </c>
      <c r="O377" t="n">
        <v>0</v>
      </c>
      <c r="P377" t="n">
        <v>0</v>
      </c>
      <c r="Q377" t="n">
        <v>0</v>
      </c>
      <c r="R377" s="2" t="inlineStr"/>
    </row>
    <row r="378" ht="15" customHeight="1">
      <c r="A378" t="inlineStr">
        <is>
          <t>A 24341-2022</t>
        </is>
      </c>
      <c r="B378" s="1" t="n">
        <v>44726</v>
      </c>
      <c r="C378" s="1" t="n">
        <v>46047</v>
      </c>
      <c r="D378" t="inlineStr">
        <is>
          <t>UPPSALA LÄN</t>
        </is>
      </c>
      <c r="E378" t="inlineStr">
        <is>
          <t>TIERP</t>
        </is>
      </c>
      <c r="F378" t="inlineStr">
        <is>
          <t>Bergvik skog väst AB</t>
        </is>
      </c>
      <c r="G378" t="n">
        <v>8.4</v>
      </c>
      <c r="H378" t="n">
        <v>0</v>
      </c>
      <c r="I378" t="n">
        <v>0</v>
      </c>
      <c r="J378" t="n">
        <v>0</v>
      </c>
      <c r="K378" t="n">
        <v>0</v>
      </c>
      <c r="L378" t="n">
        <v>0</v>
      </c>
      <c r="M378" t="n">
        <v>0</v>
      </c>
      <c r="N378" t="n">
        <v>0</v>
      </c>
      <c r="O378" t="n">
        <v>0</v>
      </c>
      <c r="P378" t="n">
        <v>0</v>
      </c>
      <c r="Q378" t="n">
        <v>0</v>
      </c>
      <c r="R378" s="2" t="inlineStr"/>
    </row>
    <row r="379" ht="15" customHeight="1">
      <c r="A379" t="inlineStr">
        <is>
          <t>A 16631-2023</t>
        </is>
      </c>
      <c r="B379" s="1" t="n">
        <v>45030</v>
      </c>
      <c r="C379" s="1" t="n">
        <v>46047</v>
      </c>
      <c r="D379" t="inlineStr">
        <is>
          <t>UPPSALA LÄN</t>
        </is>
      </c>
      <c r="E379" t="inlineStr">
        <is>
          <t>TIERP</t>
        </is>
      </c>
      <c r="F379" t="inlineStr">
        <is>
          <t>Bergvik skog väst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36150-2021</t>
        </is>
      </c>
      <c r="B380" s="1" t="n">
        <v>44389</v>
      </c>
      <c r="C380" s="1" t="n">
        <v>46047</v>
      </c>
      <c r="D380" t="inlineStr">
        <is>
          <t>UPPSALA LÄN</t>
        </is>
      </c>
      <c r="E380" t="inlineStr">
        <is>
          <t>TIERP</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20911-2022</t>
        </is>
      </c>
      <c r="B381" s="1" t="n">
        <v>44701.60350694445</v>
      </c>
      <c r="C381" s="1" t="n">
        <v>46047</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31525-2025</t>
        </is>
      </c>
      <c r="B382" s="1" t="n">
        <v>45833.61322916667</v>
      </c>
      <c r="C382" s="1" t="n">
        <v>46047</v>
      </c>
      <c r="D382" t="inlineStr">
        <is>
          <t>UPPSALA LÄN</t>
        </is>
      </c>
      <c r="E382" t="inlineStr">
        <is>
          <t>TIERP</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25476-2022</t>
        </is>
      </c>
      <c r="B383" s="1" t="n">
        <v>44732</v>
      </c>
      <c r="C383" s="1" t="n">
        <v>46047</v>
      </c>
      <c r="D383" t="inlineStr">
        <is>
          <t>UPPSALA LÄN</t>
        </is>
      </c>
      <c r="E383" t="inlineStr">
        <is>
          <t>TIERP</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31083-2025</t>
        </is>
      </c>
      <c r="B384" s="1" t="n">
        <v>45832.58662037037</v>
      </c>
      <c r="C384" s="1" t="n">
        <v>46047</v>
      </c>
      <c r="D384" t="inlineStr">
        <is>
          <t>UPPSALA LÄN</t>
        </is>
      </c>
      <c r="E384" t="inlineStr">
        <is>
          <t>TIERP</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31549-2025</t>
        </is>
      </c>
      <c r="B385" s="1" t="n">
        <v>45833.63829861111</v>
      </c>
      <c r="C385" s="1" t="n">
        <v>46047</v>
      </c>
      <c r="D385" t="inlineStr">
        <is>
          <t>UPPSALA LÄN</t>
        </is>
      </c>
      <c r="E385" t="inlineStr">
        <is>
          <t>TIERP</t>
        </is>
      </c>
      <c r="F385" t="inlineStr">
        <is>
          <t>Bergvik skog öst AB</t>
        </is>
      </c>
      <c r="G385" t="n">
        <v>2.4</v>
      </c>
      <c r="H385" t="n">
        <v>0</v>
      </c>
      <c r="I385" t="n">
        <v>0</v>
      </c>
      <c r="J385" t="n">
        <v>0</v>
      </c>
      <c r="K385" t="n">
        <v>0</v>
      </c>
      <c r="L385" t="n">
        <v>0</v>
      </c>
      <c r="M385" t="n">
        <v>0</v>
      </c>
      <c r="N385" t="n">
        <v>0</v>
      </c>
      <c r="O385" t="n">
        <v>0</v>
      </c>
      <c r="P385" t="n">
        <v>0</v>
      </c>
      <c r="Q385" t="n">
        <v>0</v>
      </c>
      <c r="R385" s="2" t="inlineStr"/>
    </row>
    <row r="386" ht="15" customHeight="1">
      <c r="A386" t="inlineStr">
        <is>
          <t>A 31556-2025</t>
        </is>
      </c>
      <c r="B386" s="1" t="n">
        <v>45833.65157407407</v>
      </c>
      <c r="C386" s="1" t="n">
        <v>46047</v>
      </c>
      <c r="D386" t="inlineStr">
        <is>
          <t>UPPSALA LÄN</t>
        </is>
      </c>
      <c r="E386" t="inlineStr">
        <is>
          <t>TIERP</t>
        </is>
      </c>
      <c r="F386" t="inlineStr">
        <is>
          <t>Bergvik skog öst AB</t>
        </is>
      </c>
      <c r="G386" t="n">
        <v>2.1</v>
      </c>
      <c r="H386" t="n">
        <v>0</v>
      </c>
      <c r="I386" t="n">
        <v>0</v>
      </c>
      <c r="J386" t="n">
        <v>0</v>
      </c>
      <c r="K386" t="n">
        <v>0</v>
      </c>
      <c r="L386" t="n">
        <v>0</v>
      </c>
      <c r="M386" t="n">
        <v>0</v>
      </c>
      <c r="N386" t="n">
        <v>0</v>
      </c>
      <c r="O386" t="n">
        <v>0</v>
      </c>
      <c r="P386" t="n">
        <v>0</v>
      </c>
      <c r="Q386" t="n">
        <v>0</v>
      </c>
      <c r="R386" s="2" t="inlineStr"/>
    </row>
    <row r="387" ht="15" customHeight="1">
      <c r="A387" t="inlineStr">
        <is>
          <t>A 31201-2025</t>
        </is>
      </c>
      <c r="B387" s="1" t="n">
        <v>45832.69688657407</v>
      </c>
      <c r="C387" s="1" t="n">
        <v>46047</v>
      </c>
      <c r="D387" t="inlineStr">
        <is>
          <t>UPPSALA LÄN</t>
        </is>
      </c>
      <c r="E387" t="inlineStr">
        <is>
          <t>TIERP</t>
        </is>
      </c>
      <c r="F387" t="inlineStr">
        <is>
          <t>Bergvik skog öst AB</t>
        </is>
      </c>
      <c r="G387" t="n">
        <v>2.4</v>
      </c>
      <c r="H387" t="n">
        <v>0</v>
      </c>
      <c r="I387" t="n">
        <v>0</v>
      </c>
      <c r="J387" t="n">
        <v>0</v>
      </c>
      <c r="K387" t="n">
        <v>0</v>
      </c>
      <c r="L387" t="n">
        <v>0</v>
      </c>
      <c r="M387" t="n">
        <v>0</v>
      </c>
      <c r="N387" t="n">
        <v>0</v>
      </c>
      <c r="O387" t="n">
        <v>0</v>
      </c>
      <c r="P387" t="n">
        <v>0</v>
      </c>
      <c r="Q387" t="n">
        <v>0</v>
      </c>
      <c r="R387" s="2" t="inlineStr"/>
    </row>
    <row r="388" ht="15" customHeight="1">
      <c r="A388" t="inlineStr">
        <is>
          <t>A 31523-2025</t>
        </is>
      </c>
      <c r="B388" s="1" t="n">
        <v>45833.60854166667</v>
      </c>
      <c r="C388" s="1" t="n">
        <v>46047</v>
      </c>
      <c r="D388" t="inlineStr">
        <is>
          <t>UPPSALA LÄN</t>
        </is>
      </c>
      <c r="E388" t="inlineStr">
        <is>
          <t>TIERP</t>
        </is>
      </c>
      <c r="F388" t="inlineStr">
        <is>
          <t>Bergvik skog öst AB</t>
        </is>
      </c>
      <c r="G388" t="n">
        <v>5.6</v>
      </c>
      <c r="H388" t="n">
        <v>0</v>
      </c>
      <c r="I388" t="n">
        <v>0</v>
      </c>
      <c r="J388" t="n">
        <v>0</v>
      </c>
      <c r="K388" t="n">
        <v>0</v>
      </c>
      <c r="L388" t="n">
        <v>0</v>
      </c>
      <c r="M388" t="n">
        <v>0</v>
      </c>
      <c r="N388" t="n">
        <v>0</v>
      </c>
      <c r="O388" t="n">
        <v>0</v>
      </c>
      <c r="P388" t="n">
        <v>0</v>
      </c>
      <c r="Q388" t="n">
        <v>0</v>
      </c>
      <c r="R388" s="2" t="inlineStr"/>
    </row>
    <row r="389" ht="15" customHeight="1">
      <c r="A389" t="inlineStr">
        <is>
          <t>A 26161-2022</t>
        </is>
      </c>
      <c r="B389" s="1" t="n">
        <v>44735</v>
      </c>
      <c r="C389" s="1" t="n">
        <v>46047</v>
      </c>
      <c r="D389" t="inlineStr">
        <is>
          <t>UPPSALA LÄN</t>
        </is>
      </c>
      <c r="E389" t="inlineStr">
        <is>
          <t>TIERP</t>
        </is>
      </c>
      <c r="G389" t="n">
        <v>5</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46047</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31199-2025</t>
        </is>
      </c>
      <c r="B391" s="1" t="n">
        <v>45832.69494212963</v>
      </c>
      <c r="C391" s="1" t="n">
        <v>46047</v>
      </c>
      <c r="D391" t="inlineStr">
        <is>
          <t>UPPSALA LÄN</t>
        </is>
      </c>
      <c r="E391" t="inlineStr">
        <is>
          <t>TIERP</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7352-2023</t>
        </is>
      </c>
      <c r="B392" s="1" t="n">
        <v>44966</v>
      </c>
      <c r="C392" s="1" t="n">
        <v>46047</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30867-2025</t>
        </is>
      </c>
      <c r="B393" s="1" t="n">
        <v>45832.32575231481</v>
      </c>
      <c r="C393" s="1" t="n">
        <v>46047</v>
      </c>
      <c r="D393" t="inlineStr">
        <is>
          <t>UPPSALA LÄN</t>
        </is>
      </c>
      <c r="E393" t="inlineStr">
        <is>
          <t>TIERP</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60151-2022</t>
        </is>
      </c>
      <c r="B394" s="1" t="n">
        <v>44909.71309027778</v>
      </c>
      <c r="C394" s="1" t="n">
        <v>46047</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20021-2025</t>
        </is>
      </c>
      <c r="B395" s="1" t="n">
        <v>45772.33785879629</v>
      </c>
      <c r="C395" s="1" t="n">
        <v>46047</v>
      </c>
      <c r="D395" t="inlineStr">
        <is>
          <t>UPPSALA LÄN</t>
        </is>
      </c>
      <c r="E395" t="inlineStr">
        <is>
          <t>TIERP</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2266-2023</t>
        </is>
      </c>
      <c r="B396" s="1" t="n">
        <v>44942.49743055556</v>
      </c>
      <c r="C396" s="1" t="n">
        <v>46047</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66241-2021</t>
        </is>
      </c>
      <c r="B397" s="1" t="n">
        <v>44518.40658564815</v>
      </c>
      <c r="C397" s="1" t="n">
        <v>46047</v>
      </c>
      <c r="D397" t="inlineStr">
        <is>
          <t>UPPSALA LÄN</t>
        </is>
      </c>
      <c r="E397" t="inlineStr">
        <is>
          <t>TIERP</t>
        </is>
      </c>
      <c r="G397" t="n">
        <v>1.5</v>
      </c>
      <c r="H397" t="n">
        <v>0</v>
      </c>
      <c r="I397" t="n">
        <v>0</v>
      </c>
      <c r="J397" t="n">
        <v>0</v>
      </c>
      <c r="K397" t="n">
        <v>0</v>
      </c>
      <c r="L397" t="n">
        <v>0</v>
      </c>
      <c r="M397" t="n">
        <v>0</v>
      </c>
      <c r="N397" t="n">
        <v>0</v>
      </c>
      <c r="O397" t="n">
        <v>0</v>
      </c>
      <c r="P397" t="n">
        <v>0</v>
      </c>
      <c r="Q397" t="n">
        <v>0</v>
      </c>
      <c r="R397" s="2" t="inlineStr"/>
    </row>
    <row r="398" ht="15" customHeight="1">
      <c r="A398" t="inlineStr">
        <is>
          <t>A 31949-2025</t>
        </is>
      </c>
      <c r="B398" s="1" t="n">
        <v>45835.32549768518</v>
      </c>
      <c r="C398" s="1" t="n">
        <v>46047</v>
      </c>
      <c r="D398" t="inlineStr">
        <is>
          <t>UPPSALA LÄN</t>
        </is>
      </c>
      <c r="E398" t="inlineStr">
        <is>
          <t>TIERP</t>
        </is>
      </c>
      <c r="G398" t="n">
        <v>0.8</v>
      </c>
      <c r="H398" t="n">
        <v>0</v>
      </c>
      <c r="I398" t="n">
        <v>0</v>
      </c>
      <c r="J398" t="n">
        <v>0</v>
      </c>
      <c r="K398" t="n">
        <v>0</v>
      </c>
      <c r="L398" t="n">
        <v>0</v>
      </c>
      <c r="M398" t="n">
        <v>0</v>
      </c>
      <c r="N398" t="n">
        <v>0</v>
      </c>
      <c r="O398" t="n">
        <v>0</v>
      </c>
      <c r="P398" t="n">
        <v>0</v>
      </c>
      <c r="Q398" t="n">
        <v>0</v>
      </c>
      <c r="R398" s="2" t="inlineStr"/>
    </row>
    <row r="399" ht="15" customHeight="1">
      <c r="A399" t="inlineStr">
        <is>
          <t>A 32227-2025</t>
        </is>
      </c>
      <c r="B399" s="1" t="n">
        <v>45835.59493055556</v>
      </c>
      <c r="C399" s="1" t="n">
        <v>46047</v>
      </c>
      <c r="D399" t="inlineStr">
        <is>
          <t>UPPSALA LÄN</t>
        </is>
      </c>
      <c r="E399" t="inlineStr">
        <is>
          <t>TIERP</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31616-2025</t>
        </is>
      </c>
      <c r="B400" s="1" t="n">
        <v>45833.816875</v>
      </c>
      <c r="C400" s="1" t="n">
        <v>46047</v>
      </c>
      <c r="D400" t="inlineStr">
        <is>
          <t>UPPSALA LÄN</t>
        </is>
      </c>
      <c r="E400" t="inlineStr">
        <is>
          <t>TIERP</t>
        </is>
      </c>
      <c r="F400" t="inlineStr">
        <is>
          <t>Bergvik skog väst AB</t>
        </is>
      </c>
      <c r="G400" t="n">
        <v>4.9</v>
      </c>
      <c r="H400" t="n">
        <v>0</v>
      </c>
      <c r="I400" t="n">
        <v>0</v>
      </c>
      <c r="J400" t="n">
        <v>0</v>
      </c>
      <c r="K400" t="n">
        <v>0</v>
      </c>
      <c r="L400" t="n">
        <v>0</v>
      </c>
      <c r="M400" t="n">
        <v>0</v>
      </c>
      <c r="N400" t="n">
        <v>0</v>
      </c>
      <c r="O400" t="n">
        <v>0</v>
      </c>
      <c r="P400" t="n">
        <v>0</v>
      </c>
      <c r="Q400" t="n">
        <v>0</v>
      </c>
      <c r="R400" s="2" t="inlineStr"/>
    </row>
    <row r="401" ht="15" customHeight="1">
      <c r="A401" t="inlineStr">
        <is>
          <t>A 5289-2023</t>
        </is>
      </c>
      <c r="B401" s="1" t="n">
        <v>44959.52206018518</v>
      </c>
      <c r="C401" s="1" t="n">
        <v>46047</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29089-2021</t>
        </is>
      </c>
      <c r="B402" s="1" t="n">
        <v>44358.56138888889</v>
      </c>
      <c r="C402" s="1" t="n">
        <v>46047</v>
      </c>
      <c r="D402" t="inlineStr">
        <is>
          <t>UPPSALA LÄN</t>
        </is>
      </c>
      <c r="E402" t="inlineStr">
        <is>
          <t>TIERP</t>
        </is>
      </c>
      <c r="G402" t="n">
        <v>2.5</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46047</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32296-2025</t>
        </is>
      </c>
      <c r="B404" s="1" t="n">
        <v>45835</v>
      </c>
      <c r="C404" s="1" t="n">
        <v>46047</v>
      </c>
      <c r="D404" t="inlineStr">
        <is>
          <t>UPPSALA LÄN</t>
        </is>
      </c>
      <c r="E404" t="inlineStr">
        <is>
          <t>TIERP</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32199-2025</t>
        </is>
      </c>
      <c r="B405" s="1" t="n">
        <v>45835.57688657408</v>
      </c>
      <c r="C405" s="1" t="n">
        <v>46047</v>
      </c>
      <c r="D405" t="inlineStr">
        <is>
          <t>UPPSALA LÄN</t>
        </is>
      </c>
      <c r="E405" t="inlineStr">
        <is>
          <t>TIERP</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31614-2025</t>
        </is>
      </c>
      <c r="B406" s="1" t="n">
        <v>45833.81484953704</v>
      </c>
      <c r="C406" s="1" t="n">
        <v>46047</v>
      </c>
      <c r="D406" t="inlineStr">
        <is>
          <t>UPPSALA LÄN</t>
        </is>
      </c>
      <c r="E406" t="inlineStr">
        <is>
          <t>TIERP</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47419-2022</t>
        </is>
      </c>
      <c r="B407" s="1" t="n">
        <v>44853.56622685185</v>
      </c>
      <c r="C407" s="1" t="n">
        <v>46047</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58492-2023</t>
        </is>
      </c>
      <c r="B408" s="1" t="n">
        <v>45251</v>
      </c>
      <c r="C408" s="1" t="n">
        <v>46047</v>
      </c>
      <c r="D408" t="inlineStr">
        <is>
          <t>UPPSALA LÄN</t>
        </is>
      </c>
      <c r="E408" t="inlineStr">
        <is>
          <t>TIERP</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44775-2024</t>
        </is>
      </c>
      <c r="B409" s="1" t="n">
        <v>45574</v>
      </c>
      <c r="C409" s="1" t="n">
        <v>46047</v>
      </c>
      <c r="D409" t="inlineStr">
        <is>
          <t>UPPSALA LÄN</t>
        </is>
      </c>
      <c r="E409" t="inlineStr">
        <is>
          <t>TIERP</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11302-2025</t>
        </is>
      </c>
      <c r="B410" s="1" t="n">
        <v>45726.4434375</v>
      </c>
      <c r="C410" s="1" t="n">
        <v>46047</v>
      </c>
      <c r="D410" t="inlineStr">
        <is>
          <t>UPPSALA LÄN</t>
        </is>
      </c>
      <c r="E410" t="inlineStr">
        <is>
          <t>TIERP</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40793-2021</t>
        </is>
      </c>
      <c r="B411" s="1" t="n">
        <v>44421</v>
      </c>
      <c r="C411" s="1" t="n">
        <v>46047</v>
      </c>
      <c r="D411" t="inlineStr">
        <is>
          <t>UPPSALA LÄN</t>
        </is>
      </c>
      <c r="E411" t="inlineStr">
        <is>
          <t>TIERP</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32376-2025</t>
        </is>
      </c>
      <c r="B412" s="1" t="n">
        <v>45837.72260416667</v>
      </c>
      <c r="C412" s="1" t="n">
        <v>46047</v>
      </c>
      <c r="D412" t="inlineStr">
        <is>
          <t>UPPSALA LÄN</t>
        </is>
      </c>
      <c r="E412" t="inlineStr">
        <is>
          <t>TIERP</t>
        </is>
      </c>
      <c r="G412" t="n">
        <v>1.8</v>
      </c>
      <c r="H412" t="n">
        <v>0</v>
      </c>
      <c r="I412" t="n">
        <v>0</v>
      </c>
      <c r="J412" t="n">
        <v>0</v>
      </c>
      <c r="K412" t="n">
        <v>0</v>
      </c>
      <c r="L412" t="n">
        <v>0</v>
      </c>
      <c r="M412" t="n">
        <v>0</v>
      </c>
      <c r="N412" t="n">
        <v>0</v>
      </c>
      <c r="O412" t="n">
        <v>0</v>
      </c>
      <c r="P412" t="n">
        <v>0</v>
      </c>
      <c r="Q412" t="n">
        <v>0</v>
      </c>
      <c r="R412" s="2" t="inlineStr"/>
    </row>
    <row r="413" ht="15" customHeight="1">
      <c r="A413" t="inlineStr">
        <is>
          <t>A 33180-2025</t>
        </is>
      </c>
      <c r="B413" s="1" t="n">
        <v>45840.5905324074</v>
      </c>
      <c r="C413" s="1" t="n">
        <v>46047</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34837-2024</t>
        </is>
      </c>
      <c r="B414" s="1" t="n">
        <v>45526</v>
      </c>
      <c r="C414" s="1" t="n">
        <v>46047</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23828-2021</t>
        </is>
      </c>
      <c r="B415" s="1" t="n">
        <v>44335</v>
      </c>
      <c r="C415" s="1" t="n">
        <v>46047</v>
      </c>
      <c r="D415" t="inlineStr">
        <is>
          <t>UPPSALA LÄN</t>
        </is>
      </c>
      <c r="E415" t="inlineStr">
        <is>
          <t>TIERP</t>
        </is>
      </c>
      <c r="G415" t="n">
        <v>1</v>
      </c>
      <c r="H415" t="n">
        <v>0</v>
      </c>
      <c r="I415" t="n">
        <v>0</v>
      </c>
      <c r="J415" t="n">
        <v>0</v>
      </c>
      <c r="K415" t="n">
        <v>0</v>
      </c>
      <c r="L415" t="n">
        <v>0</v>
      </c>
      <c r="M415" t="n">
        <v>0</v>
      </c>
      <c r="N415" t="n">
        <v>0</v>
      </c>
      <c r="O415" t="n">
        <v>0</v>
      </c>
      <c r="P415" t="n">
        <v>0</v>
      </c>
      <c r="Q415" t="n">
        <v>0</v>
      </c>
      <c r="R415" s="2" t="inlineStr"/>
    </row>
    <row r="416" ht="15" customHeight="1">
      <c r="A416" t="inlineStr">
        <is>
          <t>A 64540-2023</t>
        </is>
      </c>
      <c r="B416" s="1" t="n">
        <v>45281.37799768519</v>
      </c>
      <c r="C416" s="1" t="n">
        <v>46047</v>
      </c>
      <c r="D416" t="inlineStr">
        <is>
          <t>UPPSALA LÄN</t>
        </is>
      </c>
      <c r="E416" t="inlineStr">
        <is>
          <t>TIERP</t>
        </is>
      </c>
      <c r="G416" t="n">
        <v>2.3</v>
      </c>
      <c r="H416" t="n">
        <v>0</v>
      </c>
      <c r="I416" t="n">
        <v>0</v>
      </c>
      <c r="J416" t="n">
        <v>0</v>
      </c>
      <c r="K416" t="n">
        <v>0</v>
      </c>
      <c r="L416" t="n">
        <v>0</v>
      </c>
      <c r="M416" t="n">
        <v>0</v>
      </c>
      <c r="N416" t="n">
        <v>0</v>
      </c>
      <c r="O416" t="n">
        <v>0</v>
      </c>
      <c r="P416" t="n">
        <v>0</v>
      </c>
      <c r="Q416" t="n">
        <v>0</v>
      </c>
      <c r="R416" s="2" t="inlineStr"/>
    </row>
    <row r="417" ht="15" customHeight="1">
      <c r="A417" t="inlineStr">
        <is>
          <t>A 33946-2025</t>
        </is>
      </c>
      <c r="B417" s="1" t="n">
        <v>45842.65422453704</v>
      </c>
      <c r="C417" s="1" t="n">
        <v>46047</v>
      </c>
      <c r="D417" t="inlineStr">
        <is>
          <t>UPPSALA LÄN</t>
        </is>
      </c>
      <c r="E417" t="inlineStr">
        <is>
          <t>TIERP</t>
        </is>
      </c>
      <c r="F417" t="inlineStr">
        <is>
          <t>Bergvik skog öst AB</t>
        </is>
      </c>
      <c r="G417" t="n">
        <v>5.4</v>
      </c>
      <c r="H417" t="n">
        <v>0</v>
      </c>
      <c r="I417" t="n">
        <v>0</v>
      </c>
      <c r="J417" t="n">
        <v>0</v>
      </c>
      <c r="K417" t="n">
        <v>0</v>
      </c>
      <c r="L417" t="n">
        <v>0</v>
      </c>
      <c r="M417" t="n">
        <v>0</v>
      </c>
      <c r="N417" t="n">
        <v>0</v>
      </c>
      <c r="O417" t="n">
        <v>0</v>
      </c>
      <c r="P417" t="n">
        <v>0</v>
      </c>
      <c r="Q417" t="n">
        <v>0</v>
      </c>
      <c r="R417" s="2" t="inlineStr"/>
    </row>
    <row r="418" ht="15" customHeight="1">
      <c r="A418" t="inlineStr">
        <is>
          <t>A 5857-2021</t>
        </is>
      </c>
      <c r="B418" s="1" t="n">
        <v>44231</v>
      </c>
      <c r="C418" s="1" t="n">
        <v>46047</v>
      </c>
      <c r="D418" t="inlineStr">
        <is>
          <t>UPPSALA LÄN</t>
        </is>
      </c>
      <c r="E418" t="inlineStr">
        <is>
          <t>TIERP</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61640-2023</t>
        </is>
      </c>
      <c r="B419" s="1" t="n">
        <v>45265.56704861111</v>
      </c>
      <c r="C419" s="1" t="n">
        <v>46047</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2301-2024</t>
        </is>
      </c>
      <c r="B420" s="1" t="n">
        <v>45310.44783564815</v>
      </c>
      <c r="C420" s="1" t="n">
        <v>46047</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34112-2025</t>
        </is>
      </c>
      <c r="B421" s="1" t="n">
        <v>45845.50091435185</v>
      </c>
      <c r="C421" s="1" t="n">
        <v>46047</v>
      </c>
      <c r="D421" t="inlineStr">
        <is>
          <t>UPPSALA LÄN</t>
        </is>
      </c>
      <c r="E421" t="inlineStr">
        <is>
          <t>TIERP</t>
        </is>
      </c>
      <c r="F421" t="inlineStr">
        <is>
          <t>Bergvik skog väst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34114-2025</t>
        </is>
      </c>
      <c r="B422" s="1" t="n">
        <v>45845.50322916666</v>
      </c>
      <c r="C422" s="1" t="n">
        <v>46047</v>
      </c>
      <c r="D422" t="inlineStr">
        <is>
          <t>UPPSALA LÄN</t>
        </is>
      </c>
      <c r="E422" t="inlineStr">
        <is>
          <t>TIERP</t>
        </is>
      </c>
      <c r="F422" t="inlineStr">
        <is>
          <t>Bergvik skog väst AB</t>
        </is>
      </c>
      <c r="G422" t="n">
        <v>18.6</v>
      </c>
      <c r="H422" t="n">
        <v>0</v>
      </c>
      <c r="I422" t="n">
        <v>0</v>
      </c>
      <c r="J422" t="n">
        <v>0</v>
      </c>
      <c r="K422" t="n">
        <v>0</v>
      </c>
      <c r="L422" t="n">
        <v>0</v>
      </c>
      <c r="M422" t="n">
        <v>0</v>
      </c>
      <c r="N422" t="n">
        <v>0</v>
      </c>
      <c r="O422" t="n">
        <v>0</v>
      </c>
      <c r="P422" t="n">
        <v>0</v>
      </c>
      <c r="Q422" t="n">
        <v>0</v>
      </c>
      <c r="R422" s="2" t="inlineStr"/>
    </row>
    <row r="423" ht="15" customHeight="1">
      <c r="A423" t="inlineStr">
        <is>
          <t>A 33954-2025</t>
        </is>
      </c>
      <c r="B423" s="1" t="n">
        <v>45842.67362268519</v>
      </c>
      <c r="C423" s="1" t="n">
        <v>46047</v>
      </c>
      <c r="D423" t="inlineStr">
        <is>
          <t>UPPSALA LÄN</t>
        </is>
      </c>
      <c r="E423" t="inlineStr">
        <is>
          <t>TIERP</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33953-2025</t>
        </is>
      </c>
      <c r="B424" s="1" t="n">
        <v>45842.67251157408</v>
      </c>
      <c r="C424" s="1" t="n">
        <v>46047</v>
      </c>
      <c r="D424" t="inlineStr">
        <is>
          <t>UPPSALA LÄN</t>
        </is>
      </c>
      <c r="E424" t="inlineStr">
        <is>
          <t>TIERP</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43713-2022</t>
        </is>
      </c>
      <c r="B425" s="1" t="n">
        <v>44837.66217592593</v>
      </c>
      <c r="C425" s="1" t="n">
        <v>46047</v>
      </c>
      <c r="D425" t="inlineStr">
        <is>
          <t>UPPSALA LÄN</t>
        </is>
      </c>
      <c r="E425" t="inlineStr">
        <is>
          <t>TIERP</t>
        </is>
      </c>
      <c r="G425" t="n">
        <v>3.4</v>
      </c>
      <c r="H425" t="n">
        <v>0</v>
      </c>
      <c r="I425" t="n">
        <v>0</v>
      </c>
      <c r="J425" t="n">
        <v>0</v>
      </c>
      <c r="K425" t="n">
        <v>0</v>
      </c>
      <c r="L425" t="n">
        <v>0</v>
      </c>
      <c r="M425" t="n">
        <v>0</v>
      </c>
      <c r="N425" t="n">
        <v>0</v>
      </c>
      <c r="O425" t="n">
        <v>0</v>
      </c>
      <c r="P425" t="n">
        <v>0</v>
      </c>
      <c r="Q425" t="n">
        <v>0</v>
      </c>
      <c r="R425" s="2" t="inlineStr"/>
    </row>
    <row r="426" ht="15" customHeight="1">
      <c r="A426" t="inlineStr">
        <is>
          <t>A 61615-2022</t>
        </is>
      </c>
      <c r="B426" s="1" t="n">
        <v>44916.66769675926</v>
      </c>
      <c r="C426" s="1" t="n">
        <v>46047</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34455-2025</t>
        </is>
      </c>
      <c r="B427" s="1" t="n">
        <v>45847.32696759259</v>
      </c>
      <c r="C427" s="1" t="n">
        <v>46047</v>
      </c>
      <c r="D427" t="inlineStr">
        <is>
          <t>UPPSALA LÄN</t>
        </is>
      </c>
      <c r="E427" t="inlineStr">
        <is>
          <t>TIERP</t>
        </is>
      </c>
      <c r="G427" t="n">
        <v>1.3</v>
      </c>
      <c r="H427" t="n">
        <v>0</v>
      </c>
      <c r="I427" t="n">
        <v>0</v>
      </c>
      <c r="J427" t="n">
        <v>0</v>
      </c>
      <c r="K427" t="n">
        <v>0</v>
      </c>
      <c r="L427" t="n">
        <v>0</v>
      </c>
      <c r="M427" t="n">
        <v>0</v>
      </c>
      <c r="N427" t="n">
        <v>0</v>
      </c>
      <c r="O427" t="n">
        <v>0</v>
      </c>
      <c r="P427" t="n">
        <v>0</v>
      </c>
      <c r="Q427" t="n">
        <v>0</v>
      </c>
      <c r="R427" s="2" t="inlineStr"/>
    </row>
    <row r="428" ht="15" customHeight="1">
      <c r="A428" t="inlineStr">
        <is>
          <t>A 34922-2025</t>
        </is>
      </c>
      <c r="B428" s="1" t="n">
        <v>45849.55525462963</v>
      </c>
      <c r="C428" s="1" t="n">
        <v>46047</v>
      </c>
      <c r="D428" t="inlineStr">
        <is>
          <t>UPPSALA LÄN</t>
        </is>
      </c>
      <c r="E428" t="inlineStr">
        <is>
          <t>TIERP</t>
        </is>
      </c>
      <c r="G428" t="n">
        <v>4.7</v>
      </c>
      <c r="H428" t="n">
        <v>0</v>
      </c>
      <c r="I428" t="n">
        <v>0</v>
      </c>
      <c r="J428" t="n">
        <v>0</v>
      </c>
      <c r="K428" t="n">
        <v>0</v>
      </c>
      <c r="L428" t="n">
        <v>0</v>
      </c>
      <c r="M428" t="n">
        <v>0</v>
      </c>
      <c r="N428" t="n">
        <v>0</v>
      </c>
      <c r="O428" t="n">
        <v>0</v>
      </c>
      <c r="P428" t="n">
        <v>0</v>
      </c>
      <c r="Q428" t="n">
        <v>0</v>
      </c>
      <c r="R428" s="2" t="inlineStr"/>
    </row>
    <row r="429" ht="15" customHeight="1">
      <c r="A429" t="inlineStr">
        <is>
          <t>A 49061-2021</t>
        </is>
      </c>
      <c r="B429" s="1" t="n">
        <v>44453.60243055555</v>
      </c>
      <c r="C429" s="1" t="n">
        <v>46047</v>
      </c>
      <c r="D429" t="inlineStr">
        <is>
          <t>UPPSALA LÄN</t>
        </is>
      </c>
      <c r="E429" t="inlineStr">
        <is>
          <t>TIERP</t>
        </is>
      </c>
      <c r="G429" t="n">
        <v>2.6</v>
      </c>
      <c r="H429" t="n">
        <v>0</v>
      </c>
      <c r="I429" t="n">
        <v>0</v>
      </c>
      <c r="J429" t="n">
        <v>0</v>
      </c>
      <c r="K429" t="n">
        <v>0</v>
      </c>
      <c r="L429" t="n">
        <v>0</v>
      </c>
      <c r="M429" t="n">
        <v>0</v>
      </c>
      <c r="N429" t="n">
        <v>0</v>
      </c>
      <c r="O429" t="n">
        <v>0</v>
      </c>
      <c r="P429" t="n">
        <v>0</v>
      </c>
      <c r="Q429" t="n">
        <v>0</v>
      </c>
      <c r="R429" s="2" t="inlineStr"/>
    </row>
    <row r="430" ht="15" customHeight="1">
      <c r="A430" t="inlineStr">
        <is>
          <t>A 14241-2024</t>
        </is>
      </c>
      <c r="B430" s="1" t="n">
        <v>45393</v>
      </c>
      <c r="C430" s="1" t="n">
        <v>46047</v>
      </c>
      <c r="D430" t="inlineStr">
        <is>
          <t>UPPSALA LÄN</t>
        </is>
      </c>
      <c r="E430" t="inlineStr">
        <is>
          <t>TIERP</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64128-2023</t>
        </is>
      </c>
      <c r="B431" s="1" t="n">
        <v>45279.51664351852</v>
      </c>
      <c r="C431" s="1" t="n">
        <v>46047</v>
      </c>
      <c r="D431" t="inlineStr">
        <is>
          <t>UPPSALA LÄN</t>
        </is>
      </c>
      <c r="E431" t="inlineStr">
        <is>
          <t>TIERP</t>
        </is>
      </c>
      <c r="G431" t="n">
        <v>1.6</v>
      </c>
      <c r="H431" t="n">
        <v>0</v>
      </c>
      <c r="I431" t="n">
        <v>0</v>
      </c>
      <c r="J431" t="n">
        <v>0</v>
      </c>
      <c r="K431" t="n">
        <v>0</v>
      </c>
      <c r="L431" t="n">
        <v>0</v>
      </c>
      <c r="M431" t="n">
        <v>0</v>
      </c>
      <c r="N431" t="n">
        <v>0</v>
      </c>
      <c r="O431" t="n">
        <v>0</v>
      </c>
      <c r="P431" t="n">
        <v>0</v>
      </c>
      <c r="Q431" t="n">
        <v>0</v>
      </c>
      <c r="R431" s="2" t="inlineStr"/>
    </row>
    <row r="432" ht="15" customHeight="1">
      <c r="A432" t="inlineStr">
        <is>
          <t>A 35105-2025</t>
        </is>
      </c>
      <c r="B432" s="1" t="n">
        <v>45852.57078703704</v>
      </c>
      <c r="C432" s="1" t="n">
        <v>46047</v>
      </c>
      <c r="D432" t="inlineStr">
        <is>
          <t>UPPSALA LÄN</t>
        </is>
      </c>
      <c r="E432" t="inlineStr">
        <is>
          <t>TIERP</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35011-2025</t>
        </is>
      </c>
      <c r="B433" s="1" t="n">
        <v>45851.55418981481</v>
      </c>
      <c r="C433" s="1" t="n">
        <v>46047</v>
      </c>
      <c r="D433" t="inlineStr">
        <is>
          <t>UPPSALA LÄN</t>
        </is>
      </c>
      <c r="E433" t="inlineStr">
        <is>
          <t>TIERP</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56946-2023</t>
        </is>
      </c>
      <c r="B434" s="1" t="n">
        <v>45244.6134837963</v>
      </c>
      <c r="C434" s="1" t="n">
        <v>46047</v>
      </c>
      <c r="D434" t="inlineStr">
        <is>
          <t>UPPSALA LÄN</t>
        </is>
      </c>
      <c r="E434" t="inlineStr">
        <is>
          <t>TIERP</t>
        </is>
      </c>
      <c r="G434" t="n">
        <v>0.7</v>
      </c>
      <c r="H434" t="n">
        <v>0</v>
      </c>
      <c r="I434" t="n">
        <v>0</v>
      </c>
      <c r="J434" t="n">
        <v>0</v>
      </c>
      <c r="K434" t="n">
        <v>0</v>
      </c>
      <c r="L434" t="n">
        <v>0</v>
      </c>
      <c r="M434" t="n">
        <v>0</v>
      </c>
      <c r="N434" t="n">
        <v>0</v>
      </c>
      <c r="O434" t="n">
        <v>0</v>
      </c>
      <c r="P434" t="n">
        <v>0</v>
      </c>
      <c r="Q434" t="n">
        <v>0</v>
      </c>
      <c r="R434" s="2" t="inlineStr"/>
    </row>
    <row r="435" ht="15" customHeight="1">
      <c r="A435" t="inlineStr">
        <is>
          <t>A 35112-2025</t>
        </is>
      </c>
      <c r="B435" s="1" t="n">
        <v>45852.58104166666</v>
      </c>
      <c r="C435" s="1" t="n">
        <v>46047</v>
      </c>
      <c r="D435" t="inlineStr">
        <is>
          <t>UPPSALA LÄN</t>
        </is>
      </c>
      <c r="E435" t="inlineStr">
        <is>
          <t>TIERP</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35118-2025</t>
        </is>
      </c>
      <c r="B436" s="1" t="n">
        <v>45852.59546296296</v>
      </c>
      <c r="C436" s="1" t="n">
        <v>46047</v>
      </c>
      <c r="D436" t="inlineStr">
        <is>
          <t>UPPSALA LÄN</t>
        </is>
      </c>
      <c r="E436" t="inlineStr">
        <is>
          <t>TIERP</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16494-2025</t>
        </is>
      </c>
      <c r="B437" s="1" t="n">
        <v>45751.59844907407</v>
      </c>
      <c r="C437" s="1" t="n">
        <v>46047</v>
      </c>
      <c r="D437" t="inlineStr">
        <is>
          <t>UPPSALA LÄN</t>
        </is>
      </c>
      <c r="E437" t="inlineStr">
        <is>
          <t>TIERP</t>
        </is>
      </c>
      <c r="F437" t="inlineStr">
        <is>
          <t>Bergvik skog väst AB</t>
        </is>
      </c>
      <c r="G437" t="n">
        <v>0.8</v>
      </c>
      <c r="H437" t="n">
        <v>0</v>
      </c>
      <c r="I437" t="n">
        <v>0</v>
      </c>
      <c r="J437" t="n">
        <v>0</v>
      </c>
      <c r="K437" t="n">
        <v>0</v>
      </c>
      <c r="L437" t="n">
        <v>0</v>
      </c>
      <c r="M437" t="n">
        <v>0</v>
      </c>
      <c r="N437" t="n">
        <v>0</v>
      </c>
      <c r="O437" t="n">
        <v>0</v>
      </c>
      <c r="P437" t="n">
        <v>0</v>
      </c>
      <c r="Q437" t="n">
        <v>0</v>
      </c>
      <c r="R437" s="2" t="inlineStr"/>
    </row>
    <row r="438" ht="15" customHeight="1">
      <c r="A438" t="inlineStr">
        <is>
          <t>A 6364-2023</t>
        </is>
      </c>
      <c r="B438" s="1" t="n">
        <v>44965.60422453703</v>
      </c>
      <c r="C438" s="1" t="n">
        <v>46047</v>
      </c>
      <c r="D438" t="inlineStr">
        <is>
          <t>UPPSALA LÄN</t>
        </is>
      </c>
      <c r="E438" t="inlineStr">
        <is>
          <t>TIERP</t>
        </is>
      </c>
      <c r="G438" t="n">
        <v>2.2</v>
      </c>
      <c r="H438" t="n">
        <v>0</v>
      </c>
      <c r="I438" t="n">
        <v>0</v>
      </c>
      <c r="J438" t="n">
        <v>0</v>
      </c>
      <c r="K438" t="n">
        <v>0</v>
      </c>
      <c r="L438" t="n">
        <v>0</v>
      </c>
      <c r="M438" t="n">
        <v>0</v>
      </c>
      <c r="N438" t="n">
        <v>0</v>
      </c>
      <c r="O438" t="n">
        <v>0</v>
      </c>
      <c r="P438" t="n">
        <v>0</v>
      </c>
      <c r="Q438" t="n">
        <v>0</v>
      </c>
      <c r="R438" s="2" t="inlineStr"/>
    </row>
    <row r="439" ht="15" customHeight="1">
      <c r="A439" t="inlineStr">
        <is>
          <t>A 27269-2025</t>
        </is>
      </c>
      <c r="B439" s="1" t="n">
        <v>45812.49445601852</v>
      </c>
      <c r="C439" s="1" t="n">
        <v>46047</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61280-2024</t>
        </is>
      </c>
      <c r="B440" s="1" t="n">
        <v>45645</v>
      </c>
      <c r="C440" s="1" t="n">
        <v>46047</v>
      </c>
      <c r="D440" t="inlineStr">
        <is>
          <t>UPPSALA LÄN</t>
        </is>
      </c>
      <c r="E440" t="inlineStr">
        <is>
          <t>TIERP</t>
        </is>
      </c>
      <c r="G440" t="n">
        <v>5.4</v>
      </c>
      <c r="H440" t="n">
        <v>0</v>
      </c>
      <c r="I440" t="n">
        <v>0</v>
      </c>
      <c r="J440" t="n">
        <v>0</v>
      </c>
      <c r="K440" t="n">
        <v>0</v>
      </c>
      <c r="L440" t="n">
        <v>0</v>
      </c>
      <c r="M440" t="n">
        <v>0</v>
      </c>
      <c r="N440" t="n">
        <v>0</v>
      </c>
      <c r="O440" t="n">
        <v>0</v>
      </c>
      <c r="P440" t="n">
        <v>0</v>
      </c>
      <c r="Q440" t="n">
        <v>0</v>
      </c>
      <c r="R440" s="2" t="inlineStr"/>
    </row>
    <row r="441" ht="15" customHeight="1">
      <c r="A441" t="inlineStr">
        <is>
          <t>A 36902-2024</t>
        </is>
      </c>
      <c r="B441" s="1" t="n">
        <v>45538</v>
      </c>
      <c r="C441" s="1" t="n">
        <v>46047</v>
      </c>
      <c r="D441" t="inlineStr">
        <is>
          <t>UPPSALA LÄN</t>
        </is>
      </c>
      <c r="E441" t="inlineStr">
        <is>
          <t>TIERP</t>
        </is>
      </c>
      <c r="G441" t="n">
        <v>2.3</v>
      </c>
      <c r="H441" t="n">
        <v>0</v>
      </c>
      <c r="I441" t="n">
        <v>0</v>
      </c>
      <c r="J441" t="n">
        <v>0</v>
      </c>
      <c r="K441" t="n">
        <v>0</v>
      </c>
      <c r="L441" t="n">
        <v>0</v>
      </c>
      <c r="M441" t="n">
        <v>0</v>
      </c>
      <c r="N441" t="n">
        <v>0</v>
      </c>
      <c r="O441" t="n">
        <v>0</v>
      </c>
      <c r="P441" t="n">
        <v>0</v>
      </c>
      <c r="Q441" t="n">
        <v>0</v>
      </c>
      <c r="R441" s="2" t="inlineStr"/>
    </row>
    <row r="442" ht="15" customHeight="1">
      <c r="A442" t="inlineStr">
        <is>
          <t>A 35108-2025</t>
        </is>
      </c>
      <c r="B442" s="1" t="n">
        <v>45852.5746412037</v>
      </c>
      <c r="C442" s="1" t="n">
        <v>46047</v>
      </c>
      <c r="D442" t="inlineStr">
        <is>
          <t>UPPSALA LÄN</t>
        </is>
      </c>
      <c r="E442" t="inlineStr">
        <is>
          <t>TIERP</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35012-2025</t>
        </is>
      </c>
      <c r="B443" s="1" t="n">
        <v>45851.55586805556</v>
      </c>
      <c r="C443" s="1" t="n">
        <v>46047</v>
      </c>
      <c r="D443" t="inlineStr">
        <is>
          <t>UPPSALA LÄN</t>
        </is>
      </c>
      <c r="E443" t="inlineStr">
        <is>
          <t>TIERP</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35013-2025</t>
        </is>
      </c>
      <c r="B444" s="1" t="n">
        <v>45851.55748842593</v>
      </c>
      <c r="C444" s="1" t="n">
        <v>46047</v>
      </c>
      <c r="D444" t="inlineStr">
        <is>
          <t>UPPSALA LÄN</t>
        </is>
      </c>
      <c r="E444" t="inlineStr">
        <is>
          <t>TIERP</t>
        </is>
      </c>
      <c r="F444" t="inlineStr">
        <is>
          <t>Bergvik skog väst AB</t>
        </is>
      </c>
      <c r="G444" t="n">
        <v>2.6</v>
      </c>
      <c r="H444" t="n">
        <v>0</v>
      </c>
      <c r="I444" t="n">
        <v>0</v>
      </c>
      <c r="J444" t="n">
        <v>0</v>
      </c>
      <c r="K444" t="n">
        <v>0</v>
      </c>
      <c r="L444" t="n">
        <v>0</v>
      </c>
      <c r="M444" t="n">
        <v>0</v>
      </c>
      <c r="N444" t="n">
        <v>0</v>
      </c>
      <c r="O444" t="n">
        <v>0</v>
      </c>
      <c r="P444" t="n">
        <v>0</v>
      </c>
      <c r="Q444" t="n">
        <v>0</v>
      </c>
      <c r="R444" s="2" t="inlineStr"/>
    </row>
    <row r="445" ht="15" customHeight="1">
      <c r="A445" t="inlineStr">
        <is>
          <t>A 17944-2023</t>
        </is>
      </c>
      <c r="B445" s="1" t="n">
        <v>45040.43703703704</v>
      </c>
      <c r="C445" s="1" t="n">
        <v>46047</v>
      </c>
      <c r="D445" t="inlineStr">
        <is>
          <t>UPPSALA LÄN</t>
        </is>
      </c>
      <c r="E445" t="inlineStr">
        <is>
          <t>TIERP</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44762-2023</t>
        </is>
      </c>
      <c r="B446" s="1" t="n">
        <v>45190</v>
      </c>
      <c r="C446" s="1" t="n">
        <v>46047</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12809-2025</t>
        </is>
      </c>
      <c r="B447" s="1" t="n">
        <v>45733.6156712963</v>
      </c>
      <c r="C447" s="1" t="n">
        <v>46047</v>
      </c>
      <c r="D447" t="inlineStr">
        <is>
          <t>UPPSALA LÄN</t>
        </is>
      </c>
      <c r="E447" t="inlineStr">
        <is>
          <t>TIERP</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14516-2025</t>
        </is>
      </c>
      <c r="B448" s="1" t="n">
        <v>45741.6415162037</v>
      </c>
      <c r="C448" s="1" t="n">
        <v>46047</v>
      </c>
      <c r="D448" t="inlineStr">
        <is>
          <t>UPPSALA LÄN</t>
        </is>
      </c>
      <c r="E448" t="inlineStr">
        <is>
          <t>TIERP</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46512-2024</t>
        </is>
      </c>
      <c r="B449" s="1" t="n">
        <v>45582.62050925926</v>
      </c>
      <c r="C449" s="1" t="n">
        <v>46047</v>
      </c>
      <c r="D449" t="inlineStr">
        <is>
          <t>UPPSALA LÄN</t>
        </is>
      </c>
      <c r="E449" t="inlineStr">
        <is>
          <t>TIERP</t>
        </is>
      </c>
      <c r="G449" t="n">
        <v>6.3</v>
      </c>
      <c r="H449" t="n">
        <v>0</v>
      </c>
      <c r="I449" t="n">
        <v>0</v>
      </c>
      <c r="J449" t="n">
        <v>0</v>
      </c>
      <c r="K449" t="n">
        <v>0</v>
      </c>
      <c r="L449" t="n">
        <v>0</v>
      </c>
      <c r="M449" t="n">
        <v>0</v>
      </c>
      <c r="N449" t="n">
        <v>0</v>
      </c>
      <c r="O449" t="n">
        <v>0</v>
      </c>
      <c r="P449" t="n">
        <v>0</v>
      </c>
      <c r="Q449" t="n">
        <v>0</v>
      </c>
      <c r="R449" s="2" t="inlineStr"/>
    </row>
    <row r="450" ht="15" customHeight="1">
      <c r="A450" t="inlineStr">
        <is>
          <t>A 49946-2022</t>
        </is>
      </c>
      <c r="B450" s="1" t="n">
        <v>44865</v>
      </c>
      <c r="C450" s="1" t="n">
        <v>46047</v>
      </c>
      <c r="D450" t="inlineStr">
        <is>
          <t>UPPSALA LÄN</t>
        </is>
      </c>
      <c r="E450" t="inlineStr">
        <is>
          <t>TIERP</t>
        </is>
      </c>
      <c r="G450" t="n">
        <v>1</v>
      </c>
      <c r="H450" t="n">
        <v>0</v>
      </c>
      <c r="I450" t="n">
        <v>0</v>
      </c>
      <c r="J450" t="n">
        <v>0</v>
      </c>
      <c r="K450" t="n">
        <v>0</v>
      </c>
      <c r="L450" t="n">
        <v>0</v>
      </c>
      <c r="M450" t="n">
        <v>0</v>
      </c>
      <c r="N450" t="n">
        <v>0</v>
      </c>
      <c r="O450" t="n">
        <v>0</v>
      </c>
      <c r="P450" t="n">
        <v>0</v>
      </c>
      <c r="Q450" t="n">
        <v>0</v>
      </c>
      <c r="R450" s="2" t="inlineStr"/>
    </row>
    <row r="451" ht="15" customHeight="1">
      <c r="A451" t="inlineStr">
        <is>
          <t>A 21017-2022</t>
        </is>
      </c>
      <c r="B451" s="1" t="n">
        <v>44704</v>
      </c>
      <c r="C451" s="1" t="n">
        <v>46047</v>
      </c>
      <c r="D451" t="inlineStr">
        <is>
          <t>UPPSALA LÄN</t>
        </is>
      </c>
      <c r="E451" t="inlineStr">
        <is>
          <t>TIERP</t>
        </is>
      </c>
      <c r="G451" t="n">
        <v>3.5</v>
      </c>
      <c r="H451" t="n">
        <v>0</v>
      </c>
      <c r="I451" t="n">
        <v>0</v>
      </c>
      <c r="J451" t="n">
        <v>0</v>
      </c>
      <c r="K451" t="n">
        <v>0</v>
      </c>
      <c r="L451" t="n">
        <v>0</v>
      </c>
      <c r="M451" t="n">
        <v>0</v>
      </c>
      <c r="N451" t="n">
        <v>0</v>
      </c>
      <c r="O451" t="n">
        <v>0</v>
      </c>
      <c r="P451" t="n">
        <v>0</v>
      </c>
      <c r="Q451" t="n">
        <v>0</v>
      </c>
      <c r="R451" s="2" t="inlineStr"/>
    </row>
    <row r="452" ht="15" customHeight="1">
      <c r="A452" t="inlineStr">
        <is>
          <t>A 32326-2022</t>
        </is>
      </c>
      <c r="B452" s="1" t="n">
        <v>44781.68261574074</v>
      </c>
      <c r="C452" s="1" t="n">
        <v>46047</v>
      </c>
      <c r="D452" t="inlineStr">
        <is>
          <t>UPPSALA LÄN</t>
        </is>
      </c>
      <c r="E452" t="inlineStr">
        <is>
          <t>TIERP</t>
        </is>
      </c>
      <c r="G452" t="n">
        <v>3.6</v>
      </c>
      <c r="H452" t="n">
        <v>0</v>
      </c>
      <c r="I452" t="n">
        <v>0</v>
      </c>
      <c r="J452" t="n">
        <v>0</v>
      </c>
      <c r="K452" t="n">
        <v>0</v>
      </c>
      <c r="L452" t="n">
        <v>0</v>
      </c>
      <c r="M452" t="n">
        <v>0</v>
      </c>
      <c r="N452" t="n">
        <v>0</v>
      </c>
      <c r="O452" t="n">
        <v>0</v>
      </c>
      <c r="P452" t="n">
        <v>0</v>
      </c>
      <c r="Q452" t="n">
        <v>0</v>
      </c>
      <c r="R452" s="2" t="inlineStr"/>
    </row>
    <row r="453" ht="15" customHeight="1">
      <c r="A453" t="inlineStr">
        <is>
          <t>A 21034-2022</t>
        </is>
      </c>
      <c r="B453" s="1" t="n">
        <v>44704.40528935185</v>
      </c>
      <c r="C453" s="1" t="n">
        <v>46047</v>
      </c>
      <c r="D453" t="inlineStr">
        <is>
          <t>UPPSALA LÄN</t>
        </is>
      </c>
      <c r="E453" t="inlineStr">
        <is>
          <t>TIERP</t>
        </is>
      </c>
      <c r="G453" t="n">
        <v>4</v>
      </c>
      <c r="H453" t="n">
        <v>0</v>
      </c>
      <c r="I453" t="n">
        <v>0</v>
      </c>
      <c r="J453" t="n">
        <v>0</v>
      </c>
      <c r="K453" t="n">
        <v>0</v>
      </c>
      <c r="L453" t="n">
        <v>0</v>
      </c>
      <c r="M453" t="n">
        <v>0</v>
      </c>
      <c r="N453" t="n">
        <v>0</v>
      </c>
      <c r="O453" t="n">
        <v>0</v>
      </c>
      <c r="P453" t="n">
        <v>0</v>
      </c>
      <c r="Q453" t="n">
        <v>0</v>
      </c>
      <c r="R453" s="2" t="inlineStr"/>
    </row>
    <row r="454" ht="15" customHeight="1">
      <c r="A454" t="inlineStr">
        <is>
          <t>A 22135-2025</t>
        </is>
      </c>
      <c r="B454" s="1" t="n">
        <v>45785.54427083334</v>
      </c>
      <c r="C454" s="1" t="n">
        <v>46047</v>
      </c>
      <c r="D454" t="inlineStr">
        <is>
          <t>UPPSALA LÄN</t>
        </is>
      </c>
      <c r="E454" t="inlineStr">
        <is>
          <t>TIERP</t>
        </is>
      </c>
      <c r="G454" t="n">
        <v>1.2</v>
      </c>
      <c r="H454" t="n">
        <v>0</v>
      </c>
      <c r="I454" t="n">
        <v>0</v>
      </c>
      <c r="J454" t="n">
        <v>0</v>
      </c>
      <c r="K454" t="n">
        <v>0</v>
      </c>
      <c r="L454" t="n">
        <v>0</v>
      </c>
      <c r="M454" t="n">
        <v>0</v>
      </c>
      <c r="N454" t="n">
        <v>0</v>
      </c>
      <c r="O454" t="n">
        <v>0</v>
      </c>
      <c r="P454" t="n">
        <v>0</v>
      </c>
      <c r="Q454" t="n">
        <v>0</v>
      </c>
      <c r="R454" s="2" t="inlineStr"/>
    </row>
    <row r="455" ht="15" customHeight="1">
      <c r="A455" t="inlineStr">
        <is>
          <t>A 49647-2022</t>
        </is>
      </c>
      <c r="B455" s="1" t="n">
        <v>44862</v>
      </c>
      <c r="C455" s="1" t="n">
        <v>46047</v>
      </c>
      <c r="D455" t="inlineStr">
        <is>
          <t>UPPSALA LÄN</t>
        </is>
      </c>
      <c r="E455" t="inlineStr">
        <is>
          <t>TIERP</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46550-2024</t>
        </is>
      </c>
      <c r="B456" s="1" t="n">
        <v>45582.66524305556</v>
      </c>
      <c r="C456" s="1" t="n">
        <v>46047</v>
      </c>
      <c r="D456" t="inlineStr">
        <is>
          <t>UPPSALA LÄN</t>
        </is>
      </c>
      <c r="E456" t="inlineStr">
        <is>
          <t>TIERP</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12885-2024</t>
        </is>
      </c>
      <c r="B457" s="1" t="n">
        <v>45385</v>
      </c>
      <c r="C457" s="1" t="n">
        <v>46047</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24278-2021</t>
        </is>
      </c>
      <c r="B458" s="1" t="n">
        <v>44337</v>
      </c>
      <c r="C458" s="1" t="n">
        <v>46047</v>
      </c>
      <c r="D458" t="inlineStr">
        <is>
          <t>UPPSALA LÄN</t>
        </is>
      </c>
      <c r="E458" t="inlineStr">
        <is>
          <t>TIERP</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13509-2025</t>
        </is>
      </c>
      <c r="B459" s="1" t="n">
        <v>45736.46944444445</v>
      </c>
      <c r="C459" s="1" t="n">
        <v>46047</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35921-2025</t>
        </is>
      </c>
      <c r="B460" s="1" t="n">
        <v>45862.56547453703</v>
      </c>
      <c r="C460" s="1" t="n">
        <v>46047</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35119-2025</t>
        </is>
      </c>
      <c r="B461" s="1" t="n">
        <v>45852.60275462963</v>
      </c>
      <c r="C461" s="1" t="n">
        <v>46047</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19840-2022</t>
        </is>
      </c>
      <c r="B462" s="1" t="n">
        <v>44696</v>
      </c>
      <c r="C462" s="1" t="n">
        <v>46047</v>
      </c>
      <c r="D462" t="inlineStr">
        <is>
          <t>UPPSALA LÄN</t>
        </is>
      </c>
      <c r="E462" t="inlineStr">
        <is>
          <t>TIERP</t>
        </is>
      </c>
      <c r="G462" t="n">
        <v>3</v>
      </c>
      <c r="H462" t="n">
        <v>0</v>
      </c>
      <c r="I462" t="n">
        <v>0</v>
      </c>
      <c r="J462" t="n">
        <v>0</v>
      </c>
      <c r="K462" t="n">
        <v>0</v>
      </c>
      <c r="L462" t="n">
        <v>0</v>
      </c>
      <c r="M462" t="n">
        <v>0</v>
      </c>
      <c r="N462" t="n">
        <v>0</v>
      </c>
      <c r="O462" t="n">
        <v>0</v>
      </c>
      <c r="P462" t="n">
        <v>0</v>
      </c>
      <c r="Q462" t="n">
        <v>0</v>
      </c>
      <c r="R462" s="2" t="inlineStr"/>
    </row>
    <row r="463" ht="15" customHeight="1">
      <c r="A463" t="inlineStr">
        <is>
          <t>A 15193-2024</t>
        </is>
      </c>
      <c r="B463" s="1" t="n">
        <v>45400.41387731482</v>
      </c>
      <c r="C463" s="1" t="n">
        <v>46047</v>
      </c>
      <c r="D463" t="inlineStr">
        <is>
          <t>UPPSALA LÄN</t>
        </is>
      </c>
      <c r="E463" t="inlineStr">
        <is>
          <t>TIERP</t>
        </is>
      </c>
      <c r="G463" t="n">
        <v>1.6</v>
      </c>
      <c r="H463" t="n">
        <v>0</v>
      </c>
      <c r="I463" t="n">
        <v>0</v>
      </c>
      <c r="J463" t="n">
        <v>0</v>
      </c>
      <c r="K463" t="n">
        <v>0</v>
      </c>
      <c r="L463" t="n">
        <v>0</v>
      </c>
      <c r="M463" t="n">
        <v>0</v>
      </c>
      <c r="N463" t="n">
        <v>0</v>
      </c>
      <c r="O463" t="n">
        <v>0</v>
      </c>
      <c r="P463" t="n">
        <v>0</v>
      </c>
      <c r="Q463" t="n">
        <v>0</v>
      </c>
      <c r="R463" s="2" t="inlineStr"/>
    </row>
    <row r="464" ht="15" customHeight="1">
      <c r="A464" t="inlineStr">
        <is>
          <t>A 22663-2022</t>
        </is>
      </c>
      <c r="B464" s="1" t="n">
        <v>44713</v>
      </c>
      <c r="C464" s="1" t="n">
        <v>46047</v>
      </c>
      <c r="D464" t="inlineStr">
        <is>
          <t>UPPSALA LÄN</t>
        </is>
      </c>
      <c r="E464" t="inlineStr">
        <is>
          <t>TIERP</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35911-2025</t>
        </is>
      </c>
      <c r="B465" s="1" t="n">
        <v>45862.52585648148</v>
      </c>
      <c r="C465" s="1" t="n">
        <v>46047</v>
      </c>
      <c r="D465" t="inlineStr">
        <is>
          <t>UPPSALA LÄN</t>
        </is>
      </c>
      <c r="E465" t="inlineStr">
        <is>
          <t>TIERP</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6048-2023</t>
        </is>
      </c>
      <c r="B466" s="1" t="n">
        <v>44964</v>
      </c>
      <c r="C466" s="1" t="n">
        <v>46047</v>
      </c>
      <c r="D466" t="inlineStr">
        <is>
          <t>UPPSALA LÄN</t>
        </is>
      </c>
      <c r="E466" t="inlineStr">
        <is>
          <t>TIERP</t>
        </is>
      </c>
      <c r="F466" t="inlineStr">
        <is>
          <t>Bergvik skog öst AB</t>
        </is>
      </c>
      <c r="G466" t="n">
        <v>4.4</v>
      </c>
      <c r="H466" t="n">
        <v>0</v>
      </c>
      <c r="I466" t="n">
        <v>0</v>
      </c>
      <c r="J466" t="n">
        <v>0</v>
      </c>
      <c r="K466" t="n">
        <v>0</v>
      </c>
      <c r="L466" t="n">
        <v>0</v>
      </c>
      <c r="M466" t="n">
        <v>0</v>
      </c>
      <c r="N466" t="n">
        <v>0</v>
      </c>
      <c r="O466" t="n">
        <v>0</v>
      </c>
      <c r="P466" t="n">
        <v>0</v>
      </c>
      <c r="Q466" t="n">
        <v>0</v>
      </c>
      <c r="R466" s="2" t="inlineStr"/>
    </row>
    <row r="467" ht="15" customHeight="1">
      <c r="A467" t="inlineStr">
        <is>
          <t>A 35913-2025</t>
        </is>
      </c>
      <c r="B467" s="1" t="n">
        <v>45862.53918981482</v>
      </c>
      <c r="C467" s="1" t="n">
        <v>46047</v>
      </c>
      <c r="D467" t="inlineStr">
        <is>
          <t>UPPSALA LÄN</t>
        </is>
      </c>
      <c r="E467" t="inlineStr">
        <is>
          <t>TIERP</t>
        </is>
      </c>
      <c r="F467" t="inlineStr">
        <is>
          <t>Bergvik skog öst AB</t>
        </is>
      </c>
      <c r="G467" t="n">
        <v>3.5</v>
      </c>
      <c r="H467" t="n">
        <v>0</v>
      </c>
      <c r="I467" t="n">
        <v>0</v>
      </c>
      <c r="J467" t="n">
        <v>0</v>
      </c>
      <c r="K467" t="n">
        <v>0</v>
      </c>
      <c r="L467" t="n">
        <v>0</v>
      </c>
      <c r="M467" t="n">
        <v>0</v>
      </c>
      <c r="N467" t="n">
        <v>0</v>
      </c>
      <c r="O467" t="n">
        <v>0</v>
      </c>
      <c r="P467" t="n">
        <v>0</v>
      </c>
      <c r="Q467" t="n">
        <v>0</v>
      </c>
      <c r="R467" s="2" t="inlineStr"/>
    </row>
    <row r="468" ht="15" customHeight="1">
      <c r="A468" t="inlineStr">
        <is>
          <t>A 32190-2022</t>
        </is>
      </c>
      <c r="B468" s="1" t="n">
        <v>44781.3843287037</v>
      </c>
      <c r="C468" s="1" t="n">
        <v>46047</v>
      </c>
      <c r="D468" t="inlineStr">
        <is>
          <t>UPPSALA LÄN</t>
        </is>
      </c>
      <c r="E468" t="inlineStr">
        <is>
          <t>TIERP</t>
        </is>
      </c>
      <c r="G468" t="n">
        <v>3.1</v>
      </c>
      <c r="H468" t="n">
        <v>0</v>
      </c>
      <c r="I468" t="n">
        <v>0</v>
      </c>
      <c r="J468" t="n">
        <v>0</v>
      </c>
      <c r="K468" t="n">
        <v>0</v>
      </c>
      <c r="L468" t="n">
        <v>0</v>
      </c>
      <c r="M468" t="n">
        <v>0</v>
      </c>
      <c r="N468" t="n">
        <v>0</v>
      </c>
      <c r="O468" t="n">
        <v>0</v>
      </c>
      <c r="P468" t="n">
        <v>0</v>
      </c>
      <c r="Q468" t="n">
        <v>0</v>
      </c>
      <c r="R468" s="2" t="inlineStr"/>
    </row>
    <row r="469" ht="15" customHeight="1">
      <c r="A469" t="inlineStr">
        <is>
          <t>A 36027-2025</t>
        </is>
      </c>
      <c r="B469" s="1" t="n">
        <v>45864.63327546296</v>
      </c>
      <c r="C469" s="1" t="n">
        <v>46047</v>
      </c>
      <c r="D469" t="inlineStr">
        <is>
          <t>UPPSALA LÄN</t>
        </is>
      </c>
      <c r="E469" t="inlineStr">
        <is>
          <t>TIERP</t>
        </is>
      </c>
      <c r="F469" t="inlineStr">
        <is>
          <t>Bergvik skog väst AB</t>
        </is>
      </c>
      <c r="G469" t="n">
        <v>5.3</v>
      </c>
      <c r="H469" t="n">
        <v>0</v>
      </c>
      <c r="I469" t="n">
        <v>0</v>
      </c>
      <c r="J469" t="n">
        <v>0</v>
      </c>
      <c r="K469" t="n">
        <v>0</v>
      </c>
      <c r="L469" t="n">
        <v>0</v>
      </c>
      <c r="M469" t="n">
        <v>0</v>
      </c>
      <c r="N469" t="n">
        <v>0</v>
      </c>
      <c r="O469" t="n">
        <v>0</v>
      </c>
      <c r="P469" t="n">
        <v>0</v>
      </c>
      <c r="Q469" t="n">
        <v>0</v>
      </c>
      <c r="R469" s="2" t="inlineStr"/>
    </row>
    <row r="470" ht="15" customHeight="1">
      <c r="A470" t="inlineStr">
        <is>
          <t>A 60123-2024</t>
        </is>
      </c>
      <c r="B470" s="1" t="n">
        <v>45642.58673611111</v>
      </c>
      <c r="C470" s="1" t="n">
        <v>46047</v>
      </c>
      <c r="D470" t="inlineStr">
        <is>
          <t>UPPSALA LÄN</t>
        </is>
      </c>
      <c r="E470" t="inlineStr">
        <is>
          <t>TIERP</t>
        </is>
      </c>
      <c r="G470" t="n">
        <v>2.3</v>
      </c>
      <c r="H470" t="n">
        <v>0</v>
      </c>
      <c r="I470" t="n">
        <v>0</v>
      </c>
      <c r="J470" t="n">
        <v>0</v>
      </c>
      <c r="K470" t="n">
        <v>0</v>
      </c>
      <c r="L470" t="n">
        <v>0</v>
      </c>
      <c r="M470" t="n">
        <v>0</v>
      </c>
      <c r="N470" t="n">
        <v>0</v>
      </c>
      <c r="O470" t="n">
        <v>0</v>
      </c>
      <c r="P470" t="n">
        <v>0</v>
      </c>
      <c r="Q470" t="n">
        <v>0</v>
      </c>
      <c r="R470" s="2" t="inlineStr"/>
    </row>
    <row r="471" ht="15" customHeight="1">
      <c r="A471" t="inlineStr">
        <is>
          <t>A 34198-2023</t>
        </is>
      </c>
      <c r="B471" s="1" t="n">
        <v>45138</v>
      </c>
      <c r="C471" s="1" t="n">
        <v>46047</v>
      </c>
      <c r="D471" t="inlineStr">
        <is>
          <t>UPPSALA LÄN</t>
        </is>
      </c>
      <c r="E471" t="inlineStr">
        <is>
          <t>TIERP</t>
        </is>
      </c>
      <c r="F471" t="inlineStr">
        <is>
          <t>Bergvik skog öst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36030-2025</t>
        </is>
      </c>
      <c r="B472" s="1" t="n">
        <v>45865.44140046297</v>
      </c>
      <c r="C472" s="1" t="n">
        <v>46047</v>
      </c>
      <c r="D472" t="inlineStr">
        <is>
          <t>UPPSALA LÄN</t>
        </is>
      </c>
      <c r="E472" t="inlineStr">
        <is>
          <t>TIERP</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36029-2025</t>
        </is>
      </c>
      <c r="B473" s="1" t="n">
        <v>45865.4359837963</v>
      </c>
      <c r="C473" s="1" t="n">
        <v>46047</v>
      </c>
      <c r="D473" t="inlineStr">
        <is>
          <t>UPPSALA LÄN</t>
        </is>
      </c>
      <c r="E473" t="inlineStr">
        <is>
          <t>TIERP</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36189-2025</t>
        </is>
      </c>
      <c r="B474" s="1" t="n">
        <v>45867.42266203704</v>
      </c>
      <c r="C474" s="1" t="n">
        <v>46047</v>
      </c>
      <c r="D474" t="inlineStr">
        <is>
          <t>UPPSALA LÄN</t>
        </is>
      </c>
      <c r="E474" t="inlineStr">
        <is>
          <t>TIERP</t>
        </is>
      </c>
      <c r="G474" t="n">
        <v>2.6</v>
      </c>
      <c r="H474" t="n">
        <v>0</v>
      </c>
      <c r="I474" t="n">
        <v>0</v>
      </c>
      <c r="J474" t="n">
        <v>0</v>
      </c>
      <c r="K474" t="n">
        <v>0</v>
      </c>
      <c r="L474" t="n">
        <v>0</v>
      </c>
      <c r="M474" t="n">
        <v>0</v>
      </c>
      <c r="N474" t="n">
        <v>0</v>
      </c>
      <c r="O474" t="n">
        <v>0</v>
      </c>
      <c r="P474" t="n">
        <v>0</v>
      </c>
      <c r="Q474" t="n">
        <v>0</v>
      </c>
      <c r="R474" s="2" t="inlineStr"/>
    </row>
    <row r="475" ht="15" customHeight="1">
      <c r="A475" t="inlineStr">
        <is>
          <t>A 32665-2023</t>
        </is>
      </c>
      <c r="B475" s="1" t="n">
        <v>45121.63271990741</v>
      </c>
      <c r="C475" s="1" t="n">
        <v>46047</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36195-2025</t>
        </is>
      </c>
      <c r="B476" s="1" t="n">
        <v>45867.43064814815</v>
      </c>
      <c r="C476" s="1" t="n">
        <v>46047</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19523-2025</t>
        </is>
      </c>
      <c r="B477" s="1" t="n">
        <v>45770.45944444444</v>
      </c>
      <c r="C477" s="1" t="n">
        <v>46047</v>
      </c>
      <c r="D477" t="inlineStr">
        <is>
          <t>UPPSALA LÄN</t>
        </is>
      </c>
      <c r="E477" t="inlineStr">
        <is>
          <t>TIERP</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36423-2025</t>
        </is>
      </c>
      <c r="B478" s="1" t="n">
        <v>45868.85131944445</v>
      </c>
      <c r="C478" s="1" t="n">
        <v>46047</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8768-2023</t>
        </is>
      </c>
      <c r="B479" s="1" t="n">
        <v>44978.5362037037</v>
      </c>
      <c r="C479" s="1" t="n">
        <v>46047</v>
      </c>
      <c r="D479" t="inlineStr">
        <is>
          <t>UPPSALA LÄN</t>
        </is>
      </c>
      <c r="E479" t="inlineStr">
        <is>
          <t>TIERP</t>
        </is>
      </c>
      <c r="G479" t="n">
        <v>1.2</v>
      </c>
      <c r="H479" t="n">
        <v>0</v>
      </c>
      <c r="I479" t="n">
        <v>0</v>
      </c>
      <c r="J479" t="n">
        <v>0</v>
      </c>
      <c r="K479" t="n">
        <v>0</v>
      </c>
      <c r="L479" t="n">
        <v>0</v>
      </c>
      <c r="M479" t="n">
        <v>0</v>
      </c>
      <c r="N479" t="n">
        <v>0</v>
      </c>
      <c r="O479" t="n">
        <v>0</v>
      </c>
      <c r="P479" t="n">
        <v>0</v>
      </c>
      <c r="Q479" t="n">
        <v>0</v>
      </c>
      <c r="R479" s="2" t="inlineStr"/>
    </row>
    <row r="480" ht="15" customHeight="1">
      <c r="A480" t="inlineStr">
        <is>
          <t>A 17412-2025</t>
        </is>
      </c>
      <c r="B480" s="1" t="n">
        <v>45757.37369212963</v>
      </c>
      <c r="C480" s="1" t="n">
        <v>46047</v>
      </c>
      <c r="D480" t="inlineStr">
        <is>
          <t>UPPSALA LÄN</t>
        </is>
      </c>
      <c r="E480" t="inlineStr">
        <is>
          <t>TIERP</t>
        </is>
      </c>
      <c r="F480" t="inlineStr">
        <is>
          <t>Bergvik skog öst AB</t>
        </is>
      </c>
      <c r="G480" t="n">
        <v>14.1</v>
      </c>
      <c r="H480" t="n">
        <v>0</v>
      </c>
      <c r="I480" t="n">
        <v>0</v>
      </c>
      <c r="J480" t="n">
        <v>0</v>
      </c>
      <c r="K480" t="n">
        <v>0</v>
      </c>
      <c r="L480" t="n">
        <v>0</v>
      </c>
      <c r="M480" t="n">
        <v>0</v>
      </c>
      <c r="N480" t="n">
        <v>0</v>
      </c>
      <c r="O480" t="n">
        <v>0</v>
      </c>
      <c r="P480" t="n">
        <v>0</v>
      </c>
      <c r="Q480" t="n">
        <v>0</v>
      </c>
      <c r="R480" s="2" t="inlineStr"/>
    </row>
    <row r="481" ht="15" customHeight="1">
      <c r="A481" t="inlineStr">
        <is>
          <t>A 36307-2025</t>
        </is>
      </c>
      <c r="B481" s="1" t="n">
        <v>45868.29372685185</v>
      </c>
      <c r="C481" s="1" t="n">
        <v>46047</v>
      </c>
      <c r="D481" t="inlineStr">
        <is>
          <t>UPPSALA LÄN</t>
        </is>
      </c>
      <c r="E481" t="inlineStr">
        <is>
          <t>TIERP</t>
        </is>
      </c>
      <c r="F481" t="inlineStr">
        <is>
          <t>Bergvik skog öst AB</t>
        </is>
      </c>
      <c r="G481" t="n">
        <v>9.1</v>
      </c>
      <c r="H481" t="n">
        <v>0</v>
      </c>
      <c r="I481" t="n">
        <v>0</v>
      </c>
      <c r="J481" t="n">
        <v>0</v>
      </c>
      <c r="K481" t="n">
        <v>0</v>
      </c>
      <c r="L481" t="n">
        <v>0</v>
      </c>
      <c r="M481" t="n">
        <v>0</v>
      </c>
      <c r="N481" t="n">
        <v>0</v>
      </c>
      <c r="O481" t="n">
        <v>0</v>
      </c>
      <c r="P481" t="n">
        <v>0</v>
      </c>
      <c r="Q481" t="n">
        <v>0</v>
      </c>
      <c r="R481" s="2" t="inlineStr"/>
    </row>
    <row r="482" ht="15" customHeight="1">
      <c r="A482" t="inlineStr">
        <is>
          <t>A 12786-2024</t>
        </is>
      </c>
      <c r="B482" s="1" t="n">
        <v>45384.60682870371</v>
      </c>
      <c r="C482" s="1" t="n">
        <v>46047</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36419-2025</t>
        </is>
      </c>
      <c r="B483" s="1" t="n">
        <v>45868.83431712963</v>
      </c>
      <c r="C483" s="1" t="n">
        <v>46047</v>
      </c>
      <c r="D483" t="inlineStr">
        <is>
          <t>UPPSALA LÄN</t>
        </is>
      </c>
      <c r="E483" t="inlineStr">
        <is>
          <t>TIERP</t>
        </is>
      </c>
      <c r="G483" t="n">
        <v>2.5</v>
      </c>
      <c r="H483" t="n">
        <v>0</v>
      </c>
      <c r="I483" t="n">
        <v>0</v>
      </c>
      <c r="J483" t="n">
        <v>0</v>
      </c>
      <c r="K483" t="n">
        <v>0</v>
      </c>
      <c r="L483" t="n">
        <v>0</v>
      </c>
      <c r="M483" t="n">
        <v>0</v>
      </c>
      <c r="N483" t="n">
        <v>0</v>
      </c>
      <c r="O483" t="n">
        <v>0</v>
      </c>
      <c r="P483" t="n">
        <v>0</v>
      </c>
      <c r="Q483" t="n">
        <v>0</v>
      </c>
      <c r="R483" s="2" t="inlineStr"/>
    </row>
    <row r="484" ht="15" customHeight="1">
      <c r="A484" t="inlineStr">
        <is>
          <t>A 36422-2025</t>
        </is>
      </c>
      <c r="B484" s="1" t="n">
        <v>45868.85018518518</v>
      </c>
      <c r="C484" s="1" t="n">
        <v>46047</v>
      </c>
      <c r="D484" t="inlineStr">
        <is>
          <t>UPPSALA LÄN</t>
        </is>
      </c>
      <c r="E484" t="inlineStr">
        <is>
          <t>TIERP</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55423-2022</t>
        </is>
      </c>
      <c r="B485" s="1" t="n">
        <v>44887</v>
      </c>
      <c r="C485" s="1" t="n">
        <v>46047</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36420-2025</t>
        </is>
      </c>
      <c r="B486" s="1" t="n">
        <v>45868.83913194444</v>
      </c>
      <c r="C486" s="1" t="n">
        <v>46047</v>
      </c>
      <c r="D486" t="inlineStr">
        <is>
          <t>UPPSALA LÄN</t>
        </is>
      </c>
      <c r="E486" t="inlineStr">
        <is>
          <t>TIERP</t>
        </is>
      </c>
      <c r="G486" t="n">
        <v>4.1</v>
      </c>
      <c r="H486" t="n">
        <v>0</v>
      </c>
      <c r="I486" t="n">
        <v>0</v>
      </c>
      <c r="J486" t="n">
        <v>0</v>
      </c>
      <c r="K486" t="n">
        <v>0</v>
      </c>
      <c r="L486" t="n">
        <v>0</v>
      </c>
      <c r="M486" t="n">
        <v>0</v>
      </c>
      <c r="N486" t="n">
        <v>0</v>
      </c>
      <c r="O486" t="n">
        <v>0</v>
      </c>
      <c r="P486" t="n">
        <v>0</v>
      </c>
      <c r="Q486" t="n">
        <v>0</v>
      </c>
      <c r="R486" s="2" t="inlineStr"/>
    </row>
    <row r="487" ht="15" customHeight="1">
      <c r="A487" t="inlineStr">
        <is>
          <t>A 36421-2025</t>
        </is>
      </c>
      <c r="B487" s="1" t="n">
        <v>45868.84859953704</v>
      </c>
      <c r="C487" s="1" t="n">
        <v>46047</v>
      </c>
      <c r="D487" t="inlineStr">
        <is>
          <t>UPPSALA LÄN</t>
        </is>
      </c>
      <c r="E487" t="inlineStr">
        <is>
          <t>TIERP</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31149-2025</t>
        </is>
      </c>
      <c r="B488" s="1" t="n">
        <v>45832.64122685185</v>
      </c>
      <c r="C488" s="1" t="n">
        <v>46047</v>
      </c>
      <c r="D488" t="inlineStr">
        <is>
          <t>UPPSALA LÄN</t>
        </is>
      </c>
      <c r="E488" t="inlineStr">
        <is>
          <t>TIERP</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35122-2025</t>
        </is>
      </c>
      <c r="B489" s="1" t="n">
        <v>45852.61168981482</v>
      </c>
      <c r="C489" s="1" t="n">
        <v>46047</v>
      </c>
      <c r="D489" t="inlineStr">
        <is>
          <t>UPPSALA LÄN</t>
        </is>
      </c>
      <c r="E489" t="inlineStr">
        <is>
          <t>TIERP</t>
        </is>
      </c>
      <c r="G489" t="n">
        <v>0.7</v>
      </c>
      <c r="H489" t="n">
        <v>0</v>
      </c>
      <c r="I489" t="n">
        <v>0</v>
      </c>
      <c r="J489" t="n">
        <v>0</v>
      </c>
      <c r="K489" t="n">
        <v>0</v>
      </c>
      <c r="L489" t="n">
        <v>0</v>
      </c>
      <c r="M489" t="n">
        <v>0</v>
      </c>
      <c r="N489" t="n">
        <v>0</v>
      </c>
      <c r="O489" t="n">
        <v>0</v>
      </c>
      <c r="P489" t="n">
        <v>0</v>
      </c>
      <c r="Q489" t="n">
        <v>0</v>
      </c>
      <c r="R489" s="2" t="inlineStr"/>
    </row>
    <row r="490" ht="15" customHeight="1">
      <c r="A490" t="inlineStr">
        <is>
          <t>A 5170-2022</t>
        </is>
      </c>
      <c r="B490" s="1" t="n">
        <v>44594.41829861111</v>
      </c>
      <c r="C490" s="1" t="n">
        <v>46047</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5963-2023</t>
        </is>
      </c>
      <c r="B491" s="1" t="n">
        <v>44964</v>
      </c>
      <c r="C491" s="1" t="n">
        <v>46047</v>
      </c>
      <c r="D491" t="inlineStr">
        <is>
          <t>UPPSALA LÄN</t>
        </is>
      </c>
      <c r="E491" t="inlineStr">
        <is>
          <t>TIERP</t>
        </is>
      </c>
      <c r="F491" t="inlineStr">
        <is>
          <t>Bergvik skog öst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23468-2025</t>
        </is>
      </c>
      <c r="B492" s="1" t="n">
        <v>45792.43809027778</v>
      </c>
      <c r="C492" s="1" t="n">
        <v>46047</v>
      </c>
      <c r="D492" t="inlineStr">
        <is>
          <t>UPPSALA LÄN</t>
        </is>
      </c>
      <c r="E492" t="inlineStr">
        <is>
          <t>TIERP</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7036-2021</t>
        </is>
      </c>
      <c r="B493" s="1" t="n">
        <v>44237</v>
      </c>
      <c r="C493" s="1" t="n">
        <v>46047</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13214-2025</t>
        </is>
      </c>
      <c r="B494" s="1" t="n">
        <v>45735.44649305556</v>
      </c>
      <c r="C494" s="1" t="n">
        <v>46047</v>
      </c>
      <c r="D494" t="inlineStr">
        <is>
          <t>UPPSALA LÄN</t>
        </is>
      </c>
      <c r="E494" t="inlineStr">
        <is>
          <t>TIERP</t>
        </is>
      </c>
      <c r="G494" t="n">
        <v>1.9</v>
      </c>
      <c r="H494" t="n">
        <v>0</v>
      </c>
      <c r="I494" t="n">
        <v>0</v>
      </c>
      <c r="J494" t="n">
        <v>0</v>
      </c>
      <c r="K494" t="n">
        <v>0</v>
      </c>
      <c r="L494" t="n">
        <v>0</v>
      </c>
      <c r="M494" t="n">
        <v>0</v>
      </c>
      <c r="N494" t="n">
        <v>0</v>
      </c>
      <c r="O494" t="n">
        <v>0</v>
      </c>
      <c r="P494" t="n">
        <v>0</v>
      </c>
      <c r="Q494" t="n">
        <v>0</v>
      </c>
      <c r="R494" s="2" t="inlineStr"/>
    </row>
    <row r="495" ht="15" customHeight="1">
      <c r="A495" t="inlineStr">
        <is>
          <t>A 28346-2022</t>
        </is>
      </c>
      <c r="B495" s="1" t="n">
        <v>44747</v>
      </c>
      <c r="C495" s="1" t="n">
        <v>46047</v>
      </c>
      <c r="D495" t="inlineStr">
        <is>
          <t>UPPSALA LÄN</t>
        </is>
      </c>
      <c r="E495" t="inlineStr">
        <is>
          <t>TIERP</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63649-2023</t>
        </is>
      </c>
      <c r="B496" s="1" t="n">
        <v>45275.59357638889</v>
      </c>
      <c r="C496" s="1" t="n">
        <v>46047</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34014-2025</t>
        </is>
      </c>
      <c r="B497" s="1" t="n">
        <v>45845.30168981481</v>
      </c>
      <c r="C497" s="1" t="n">
        <v>46047</v>
      </c>
      <c r="D497" t="inlineStr">
        <is>
          <t>UPPSALA LÄN</t>
        </is>
      </c>
      <c r="E497" t="inlineStr">
        <is>
          <t>TIERP</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43605-2023</t>
        </is>
      </c>
      <c r="B498" s="1" t="n">
        <v>45181</v>
      </c>
      <c r="C498" s="1" t="n">
        <v>46047</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59534-2022</t>
        </is>
      </c>
      <c r="B499" s="1" t="n">
        <v>44907.56795138889</v>
      </c>
      <c r="C499" s="1" t="n">
        <v>46047</v>
      </c>
      <c r="D499" t="inlineStr">
        <is>
          <t>UPPSALA LÄN</t>
        </is>
      </c>
      <c r="E499" t="inlineStr">
        <is>
          <t>TIERP</t>
        </is>
      </c>
      <c r="G499" t="n">
        <v>2</v>
      </c>
      <c r="H499" t="n">
        <v>0</v>
      </c>
      <c r="I499" t="n">
        <v>0</v>
      </c>
      <c r="J499" t="n">
        <v>0</v>
      </c>
      <c r="K499" t="n">
        <v>0</v>
      </c>
      <c r="L499" t="n">
        <v>0</v>
      </c>
      <c r="M499" t="n">
        <v>0</v>
      </c>
      <c r="N499" t="n">
        <v>0</v>
      </c>
      <c r="O499" t="n">
        <v>0</v>
      </c>
      <c r="P499" t="n">
        <v>0</v>
      </c>
      <c r="Q499" t="n">
        <v>0</v>
      </c>
      <c r="R499" s="2" t="inlineStr"/>
    </row>
    <row r="500" ht="15" customHeight="1">
      <c r="A500" t="inlineStr">
        <is>
          <t>A 34838-2024</t>
        </is>
      </c>
      <c r="B500" s="1" t="n">
        <v>45526</v>
      </c>
      <c r="C500" s="1" t="n">
        <v>46047</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56173-2024</t>
        </is>
      </c>
      <c r="B501" s="1" t="n">
        <v>45624.55622685186</v>
      </c>
      <c r="C501" s="1" t="n">
        <v>46047</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13691-2024</t>
        </is>
      </c>
      <c r="B502" s="1" t="n">
        <v>45390.58060185185</v>
      </c>
      <c r="C502" s="1" t="n">
        <v>46047</v>
      </c>
      <c r="D502" t="inlineStr">
        <is>
          <t>UPPSALA LÄN</t>
        </is>
      </c>
      <c r="E502" t="inlineStr">
        <is>
          <t>TIERP</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12657-2025</t>
        </is>
      </c>
      <c r="B503" s="1" t="n">
        <v>45733.42229166667</v>
      </c>
      <c r="C503" s="1" t="n">
        <v>46047</v>
      </c>
      <c r="D503" t="inlineStr">
        <is>
          <t>UPPSALA LÄN</t>
        </is>
      </c>
      <c r="E503" t="inlineStr">
        <is>
          <t>TIERP</t>
        </is>
      </c>
      <c r="G503" t="n">
        <v>2.4</v>
      </c>
      <c r="H503" t="n">
        <v>0</v>
      </c>
      <c r="I503" t="n">
        <v>0</v>
      </c>
      <c r="J503" t="n">
        <v>0</v>
      </c>
      <c r="K503" t="n">
        <v>0</v>
      </c>
      <c r="L503" t="n">
        <v>0</v>
      </c>
      <c r="M503" t="n">
        <v>0</v>
      </c>
      <c r="N503" t="n">
        <v>0</v>
      </c>
      <c r="O503" t="n">
        <v>0</v>
      </c>
      <c r="P503" t="n">
        <v>0</v>
      </c>
      <c r="Q503" t="n">
        <v>0</v>
      </c>
      <c r="R503" s="2" t="inlineStr"/>
    </row>
    <row r="504" ht="15" customHeight="1">
      <c r="A504" t="inlineStr">
        <is>
          <t>A 12662-2025</t>
        </is>
      </c>
      <c r="B504" s="1" t="n">
        <v>45733.42510416666</v>
      </c>
      <c r="C504" s="1" t="n">
        <v>46047</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38940-2025</t>
        </is>
      </c>
      <c r="B505" s="1" t="n">
        <v>45887.64688657408</v>
      </c>
      <c r="C505" s="1" t="n">
        <v>46047</v>
      </c>
      <c r="D505" t="inlineStr">
        <is>
          <t>UPPSALA LÄN</t>
        </is>
      </c>
      <c r="E505" t="inlineStr">
        <is>
          <t>TIERP</t>
        </is>
      </c>
      <c r="F505" t="inlineStr">
        <is>
          <t>Bergvik skog öst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30742-2021</t>
        </is>
      </c>
      <c r="B506" s="1" t="n">
        <v>44365</v>
      </c>
      <c r="C506" s="1" t="n">
        <v>46047</v>
      </c>
      <c r="D506" t="inlineStr">
        <is>
          <t>UPPSALA LÄN</t>
        </is>
      </c>
      <c r="E506" t="inlineStr">
        <is>
          <t>TIERP</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21876-2025</t>
        </is>
      </c>
      <c r="B507" s="1" t="n">
        <v>45784.39814814815</v>
      </c>
      <c r="C507" s="1" t="n">
        <v>46047</v>
      </c>
      <c r="D507" t="inlineStr">
        <is>
          <t>UPPSALA LÄN</t>
        </is>
      </c>
      <c r="E507" t="inlineStr">
        <is>
          <t>TIERP</t>
        </is>
      </c>
      <c r="F507" t="inlineStr">
        <is>
          <t>Bergvik skog öst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37884-2025</t>
        </is>
      </c>
      <c r="B508" s="1" t="n">
        <v>45881.5046412037</v>
      </c>
      <c r="C508" s="1" t="n">
        <v>46047</v>
      </c>
      <c r="D508" t="inlineStr">
        <is>
          <t>UPPSALA LÄN</t>
        </is>
      </c>
      <c r="E508" t="inlineStr">
        <is>
          <t>TIERP</t>
        </is>
      </c>
      <c r="G508" t="n">
        <v>1</v>
      </c>
      <c r="H508" t="n">
        <v>0</v>
      </c>
      <c r="I508" t="n">
        <v>0</v>
      </c>
      <c r="J508" t="n">
        <v>0</v>
      </c>
      <c r="K508" t="n">
        <v>0</v>
      </c>
      <c r="L508" t="n">
        <v>0</v>
      </c>
      <c r="M508" t="n">
        <v>0</v>
      </c>
      <c r="N508" t="n">
        <v>0</v>
      </c>
      <c r="O508" t="n">
        <v>0</v>
      </c>
      <c r="P508" t="n">
        <v>0</v>
      </c>
      <c r="Q508" t="n">
        <v>0</v>
      </c>
      <c r="R508" s="2" t="inlineStr"/>
    </row>
    <row r="509" ht="15" customHeight="1">
      <c r="A509" t="inlineStr">
        <is>
          <t>A 6497-2023</t>
        </is>
      </c>
      <c r="B509" s="1" t="n">
        <v>44966</v>
      </c>
      <c r="C509" s="1" t="n">
        <v>46047</v>
      </c>
      <c r="D509" t="inlineStr">
        <is>
          <t>UPPSALA LÄN</t>
        </is>
      </c>
      <c r="E509" t="inlineStr">
        <is>
          <t>TIERP</t>
        </is>
      </c>
      <c r="F509" t="inlineStr">
        <is>
          <t>Bergvik skog öst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46976-2021</t>
        </is>
      </c>
      <c r="B510" s="1" t="n">
        <v>44446</v>
      </c>
      <c r="C510" s="1" t="n">
        <v>46047</v>
      </c>
      <c r="D510" t="inlineStr">
        <is>
          <t>UPPSALA LÄN</t>
        </is>
      </c>
      <c r="E510" t="inlineStr">
        <is>
          <t>TIERP</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38951-2025</t>
        </is>
      </c>
      <c r="B511" s="1" t="n">
        <v>45887.66127314815</v>
      </c>
      <c r="C511" s="1" t="n">
        <v>46047</v>
      </c>
      <c r="D511" t="inlineStr">
        <is>
          <t>UPPSALA LÄN</t>
        </is>
      </c>
      <c r="E511" t="inlineStr">
        <is>
          <t>TIERP</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20854-2024</t>
        </is>
      </c>
      <c r="B512" s="1" t="n">
        <v>45439.42039351852</v>
      </c>
      <c r="C512" s="1" t="n">
        <v>46047</v>
      </c>
      <c r="D512" t="inlineStr">
        <is>
          <t>UPPSALA LÄN</t>
        </is>
      </c>
      <c r="E512" t="inlineStr">
        <is>
          <t>TIERP</t>
        </is>
      </c>
      <c r="G512" t="n">
        <v>0.8</v>
      </c>
      <c r="H512" t="n">
        <v>0</v>
      </c>
      <c r="I512" t="n">
        <v>0</v>
      </c>
      <c r="J512" t="n">
        <v>0</v>
      </c>
      <c r="K512" t="n">
        <v>0</v>
      </c>
      <c r="L512" t="n">
        <v>0</v>
      </c>
      <c r="M512" t="n">
        <v>0</v>
      </c>
      <c r="N512" t="n">
        <v>0</v>
      </c>
      <c r="O512" t="n">
        <v>0</v>
      </c>
      <c r="P512" t="n">
        <v>0</v>
      </c>
      <c r="Q512" t="n">
        <v>0</v>
      </c>
      <c r="R512" s="2" t="inlineStr"/>
    </row>
    <row r="513" ht="15" customHeight="1">
      <c r="A513" t="inlineStr">
        <is>
          <t>A 4083-2022</t>
        </is>
      </c>
      <c r="B513" s="1" t="n">
        <v>44588</v>
      </c>
      <c r="C513" s="1" t="n">
        <v>46047</v>
      </c>
      <c r="D513" t="inlineStr">
        <is>
          <t>UPPSALA LÄN</t>
        </is>
      </c>
      <c r="E513" t="inlineStr">
        <is>
          <t>TIERP</t>
        </is>
      </c>
      <c r="G513" t="n">
        <v>26.1</v>
      </c>
      <c r="H513" t="n">
        <v>0</v>
      </c>
      <c r="I513" t="n">
        <v>0</v>
      </c>
      <c r="J513" t="n">
        <v>0</v>
      </c>
      <c r="K513" t="n">
        <v>0</v>
      </c>
      <c r="L513" t="n">
        <v>0</v>
      </c>
      <c r="M513" t="n">
        <v>0</v>
      </c>
      <c r="N513" t="n">
        <v>0</v>
      </c>
      <c r="O513" t="n">
        <v>0</v>
      </c>
      <c r="P513" t="n">
        <v>0</v>
      </c>
      <c r="Q513" t="n">
        <v>0</v>
      </c>
      <c r="R513" s="2" t="inlineStr"/>
    </row>
    <row r="514" ht="15" customHeight="1">
      <c r="A514" t="inlineStr">
        <is>
          <t>A 13464-2024</t>
        </is>
      </c>
      <c r="B514" s="1" t="n">
        <v>45387.55987268518</v>
      </c>
      <c r="C514" s="1" t="n">
        <v>46047</v>
      </c>
      <c r="D514" t="inlineStr">
        <is>
          <t>UPPSALA LÄN</t>
        </is>
      </c>
      <c r="E514" t="inlineStr">
        <is>
          <t>TIERP</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13356-2024</t>
        </is>
      </c>
      <c r="B515" s="1" t="n">
        <v>45387.34152777777</v>
      </c>
      <c r="C515" s="1" t="n">
        <v>46047</v>
      </c>
      <c r="D515" t="inlineStr">
        <is>
          <t>UPPSALA LÄN</t>
        </is>
      </c>
      <c r="E515" t="inlineStr">
        <is>
          <t>TIERP</t>
        </is>
      </c>
      <c r="G515" t="n">
        <v>1.9</v>
      </c>
      <c r="H515" t="n">
        <v>0</v>
      </c>
      <c r="I515" t="n">
        <v>0</v>
      </c>
      <c r="J515" t="n">
        <v>0</v>
      </c>
      <c r="K515" t="n">
        <v>0</v>
      </c>
      <c r="L515" t="n">
        <v>0</v>
      </c>
      <c r="M515" t="n">
        <v>0</v>
      </c>
      <c r="N515" t="n">
        <v>0</v>
      </c>
      <c r="O515" t="n">
        <v>0</v>
      </c>
      <c r="P515" t="n">
        <v>0</v>
      </c>
      <c r="Q515" t="n">
        <v>0</v>
      </c>
      <c r="R515" s="2" t="inlineStr"/>
    </row>
    <row r="516" ht="15" customHeight="1">
      <c r="A516" t="inlineStr">
        <is>
          <t>A 38831-2025</t>
        </is>
      </c>
      <c r="B516" s="1" t="n">
        <v>45887.52802083334</v>
      </c>
      <c r="C516" s="1" t="n">
        <v>46047</v>
      </c>
      <c r="D516" t="inlineStr">
        <is>
          <t>UPPSALA LÄN</t>
        </is>
      </c>
      <c r="E516" t="inlineStr">
        <is>
          <t>TIERP</t>
        </is>
      </c>
      <c r="G516" t="n">
        <v>6.8</v>
      </c>
      <c r="H516" t="n">
        <v>0</v>
      </c>
      <c r="I516" t="n">
        <v>0</v>
      </c>
      <c r="J516" t="n">
        <v>0</v>
      </c>
      <c r="K516" t="n">
        <v>0</v>
      </c>
      <c r="L516" t="n">
        <v>0</v>
      </c>
      <c r="M516" t="n">
        <v>0</v>
      </c>
      <c r="N516" t="n">
        <v>0</v>
      </c>
      <c r="O516" t="n">
        <v>0</v>
      </c>
      <c r="P516" t="n">
        <v>0</v>
      </c>
      <c r="Q516" t="n">
        <v>0</v>
      </c>
      <c r="R516" s="2" t="inlineStr"/>
    </row>
    <row r="517" ht="15" customHeight="1">
      <c r="A517" t="inlineStr">
        <is>
          <t>A 61149-2024</t>
        </is>
      </c>
      <c r="B517" s="1" t="n">
        <v>45645</v>
      </c>
      <c r="C517" s="1" t="n">
        <v>46047</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18734-2025</t>
        </is>
      </c>
      <c r="B518" s="1" t="n">
        <v>45763.67659722222</v>
      </c>
      <c r="C518" s="1" t="n">
        <v>46047</v>
      </c>
      <c r="D518" t="inlineStr">
        <is>
          <t>UPPSALA LÄN</t>
        </is>
      </c>
      <c r="E518" t="inlineStr">
        <is>
          <t>TIERP</t>
        </is>
      </c>
      <c r="F518" t="inlineStr">
        <is>
          <t>Kyrkan</t>
        </is>
      </c>
      <c r="G518" t="n">
        <v>4.5</v>
      </c>
      <c r="H518" t="n">
        <v>0</v>
      </c>
      <c r="I518" t="n">
        <v>0</v>
      </c>
      <c r="J518" t="n">
        <v>0</v>
      </c>
      <c r="K518" t="n">
        <v>0</v>
      </c>
      <c r="L518" t="n">
        <v>0</v>
      </c>
      <c r="M518" t="n">
        <v>0</v>
      </c>
      <c r="N518" t="n">
        <v>0</v>
      </c>
      <c r="O518" t="n">
        <v>0</v>
      </c>
      <c r="P518" t="n">
        <v>0</v>
      </c>
      <c r="Q518" t="n">
        <v>0</v>
      </c>
      <c r="R518" s="2" t="inlineStr"/>
    </row>
    <row r="519" ht="15" customHeight="1">
      <c r="A519" t="inlineStr">
        <is>
          <t>A 34460-2022</t>
        </is>
      </c>
      <c r="B519" s="1" t="n">
        <v>44792</v>
      </c>
      <c r="C519" s="1" t="n">
        <v>46047</v>
      </c>
      <c r="D519" t="inlineStr">
        <is>
          <t>UPPSALA LÄN</t>
        </is>
      </c>
      <c r="E519" t="inlineStr">
        <is>
          <t>TIERP</t>
        </is>
      </c>
      <c r="G519" t="n">
        <v>1.1</v>
      </c>
      <c r="H519" t="n">
        <v>0</v>
      </c>
      <c r="I519" t="n">
        <v>0</v>
      </c>
      <c r="J519" t="n">
        <v>0</v>
      </c>
      <c r="K519" t="n">
        <v>0</v>
      </c>
      <c r="L519" t="n">
        <v>0</v>
      </c>
      <c r="M519" t="n">
        <v>0</v>
      </c>
      <c r="N519" t="n">
        <v>0</v>
      </c>
      <c r="O519" t="n">
        <v>0</v>
      </c>
      <c r="P519" t="n">
        <v>0</v>
      </c>
      <c r="Q519" t="n">
        <v>0</v>
      </c>
      <c r="R519" s="2" t="inlineStr"/>
    </row>
    <row r="520" ht="15" customHeight="1">
      <c r="A520" t="inlineStr">
        <is>
          <t>A 18412-2025</t>
        </is>
      </c>
      <c r="B520" s="1" t="n">
        <v>45762.61427083334</v>
      </c>
      <c r="C520" s="1" t="n">
        <v>46047</v>
      </c>
      <c r="D520" t="inlineStr">
        <is>
          <t>UPPSALA LÄN</t>
        </is>
      </c>
      <c r="E520" t="inlineStr">
        <is>
          <t>TIERP</t>
        </is>
      </c>
      <c r="F520" t="inlineStr">
        <is>
          <t>Bergvik skog öst AB</t>
        </is>
      </c>
      <c r="G520" t="n">
        <v>7.3</v>
      </c>
      <c r="H520" t="n">
        <v>0</v>
      </c>
      <c r="I520" t="n">
        <v>0</v>
      </c>
      <c r="J520" t="n">
        <v>0</v>
      </c>
      <c r="K520" t="n">
        <v>0</v>
      </c>
      <c r="L520" t="n">
        <v>0</v>
      </c>
      <c r="M520" t="n">
        <v>0</v>
      </c>
      <c r="N520" t="n">
        <v>0</v>
      </c>
      <c r="O520" t="n">
        <v>0</v>
      </c>
      <c r="P520" t="n">
        <v>0</v>
      </c>
      <c r="Q520" t="n">
        <v>0</v>
      </c>
      <c r="R520" s="2" t="inlineStr"/>
    </row>
    <row r="521" ht="15" customHeight="1">
      <c r="A521" t="inlineStr">
        <is>
          <t>A 39044-2025</t>
        </is>
      </c>
      <c r="B521" s="1" t="n">
        <v>45888.43912037037</v>
      </c>
      <c r="C521" s="1" t="n">
        <v>46047</v>
      </c>
      <c r="D521" t="inlineStr">
        <is>
          <t>UPPSALA LÄN</t>
        </is>
      </c>
      <c r="E521" t="inlineStr">
        <is>
          <t>TIERP</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28912-2023</t>
        </is>
      </c>
      <c r="B522" s="1" t="n">
        <v>45104.53165509259</v>
      </c>
      <c r="C522" s="1" t="n">
        <v>46047</v>
      </c>
      <c r="D522" t="inlineStr">
        <is>
          <t>UPPSALA LÄN</t>
        </is>
      </c>
      <c r="E522" t="inlineStr">
        <is>
          <t>TIERP</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22901-2023</t>
        </is>
      </c>
      <c r="B523" s="1" t="n">
        <v>45072</v>
      </c>
      <c r="C523" s="1" t="n">
        <v>46047</v>
      </c>
      <c r="D523" t="inlineStr">
        <is>
          <t>UPPSALA LÄN</t>
        </is>
      </c>
      <c r="E523" t="inlineStr">
        <is>
          <t>TIERP</t>
        </is>
      </c>
      <c r="G523" t="n">
        <v>0.2</v>
      </c>
      <c r="H523" t="n">
        <v>0</v>
      </c>
      <c r="I523" t="n">
        <v>0</v>
      </c>
      <c r="J523" t="n">
        <v>0</v>
      </c>
      <c r="K523" t="n">
        <v>0</v>
      </c>
      <c r="L523" t="n">
        <v>0</v>
      </c>
      <c r="M523" t="n">
        <v>0</v>
      </c>
      <c r="N523" t="n">
        <v>0</v>
      </c>
      <c r="O523" t="n">
        <v>0</v>
      </c>
      <c r="P523" t="n">
        <v>0</v>
      </c>
      <c r="Q523" t="n">
        <v>0</v>
      </c>
      <c r="R523" s="2" t="inlineStr"/>
    </row>
    <row r="524" ht="15" customHeight="1">
      <c r="A524" t="inlineStr">
        <is>
          <t>A 39092-2025</t>
        </is>
      </c>
      <c r="B524" s="1" t="n">
        <v>45888.49290509259</v>
      </c>
      <c r="C524" s="1" t="n">
        <v>46047</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39790-2025</t>
        </is>
      </c>
      <c r="B525" s="1" t="n">
        <v>45891.48542824074</v>
      </c>
      <c r="C525" s="1" t="n">
        <v>46047</v>
      </c>
      <c r="D525" t="inlineStr">
        <is>
          <t>UPPSALA LÄN</t>
        </is>
      </c>
      <c r="E525" t="inlineStr">
        <is>
          <t>TIERP</t>
        </is>
      </c>
      <c r="F525" t="inlineStr">
        <is>
          <t>Bergvik skog väst AB</t>
        </is>
      </c>
      <c r="G525" t="n">
        <v>2.2</v>
      </c>
      <c r="H525" t="n">
        <v>0</v>
      </c>
      <c r="I525" t="n">
        <v>0</v>
      </c>
      <c r="J525" t="n">
        <v>0</v>
      </c>
      <c r="K525" t="n">
        <v>0</v>
      </c>
      <c r="L525" t="n">
        <v>0</v>
      </c>
      <c r="M525" t="n">
        <v>0</v>
      </c>
      <c r="N525" t="n">
        <v>0</v>
      </c>
      <c r="O525" t="n">
        <v>0</v>
      </c>
      <c r="P525" t="n">
        <v>0</v>
      </c>
      <c r="Q525" t="n">
        <v>0</v>
      </c>
      <c r="R525" s="2" t="inlineStr"/>
    </row>
    <row r="526" ht="15" customHeight="1">
      <c r="A526" t="inlineStr">
        <is>
          <t>A 39842-2025</t>
        </is>
      </c>
      <c r="B526" s="1" t="n">
        <v>45891.57488425926</v>
      </c>
      <c r="C526" s="1" t="n">
        <v>46047</v>
      </c>
      <c r="D526" t="inlineStr">
        <is>
          <t>UPPSALA LÄN</t>
        </is>
      </c>
      <c r="E526" t="inlineStr">
        <is>
          <t>TIERP</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39856-2025</t>
        </is>
      </c>
      <c r="B527" s="1" t="n">
        <v>45891.58877314815</v>
      </c>
      <c r="C527" s="1" t="n">
        <v>46047</v>
      </c>
      <c r="D527" t="inlineStr">
        <is>
          <t>UPPSALA LÄN</t>
        </is>
      </c>
      <c r="E527" t="inlineStr">
        <is>
          <t>TIERP</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40163-2025</t>
        </is>
      </c>
      <c r="B528" s="1" t="n">
        <v>45894.6178125</v>
      </c>
      <c r="C528" s="1" t="n">
        <v>46047</v>
      </c>
      <c r="D528" t="inlineStr">
        <is>
          <t>UPPSALA LÄN</t>
        </is>
      </c>
      <c r="E528" t="inlineStr">
        <is>
          <t>TIERP</t>
        </is>
      </c>
      <c r="G528" t="n">
        <v>2.1</v>
      </c>
      <c r="H528" t="n">
        <v>0</v>
      </c>
      <c r="I528" t="n">
        <v>0</v>
      </c>
      <c r="J528" t="n">
        <v>0</v>
      </c>
      <c r="K528" t="n">
        <v>0</v>
      </c>
      <c r="L528" t="n">
        <v>0</v>
      </c>
      <c r="M528" t="n">
        <v>0</v>
      </c>
      <c r="N528" t="n">
        <v>0</v>
      </c>
      <c r="O528" t="n">
        <v>0</v>
      </c>
      <c r="P528" t="n">
        <v>0</v>
      </c>
      <c r="Q528" t="n">
        <v>0</v>
      </c>
      <c r="R528" s="2" t="inlineStr"/>
    </row>
    <row r="529" ht="15" customHeight="1">
      <c r="A529" t="inlineStr">
        <is>
          <t>A 40164-2025</t>
        </is>
      </c>
      <c r="B529" s="1" t="n">
        <v>45894.62137731481</v>
      </c>
      <c r="C529" s="1" t="n">
        <v>46047</v>
      </c>
      <c r="D529" t="inlineStr">
        <is>
          <t>UPPSALA LÄN</t>
        </is>
      </c>
      <c r="E529" t="inlineStr">
        <is>
          <t>TIERP</t>
        </is>
      </c>
      <c r="G529" t="n">
        <v>0.5</v>
      </c>
      <c r="H529" t="n">
        <v>0</v>
      </c>
      <c r="I529" t="n">
        <v>0</v>
      </c>
      <c r="J529" t="n">
        <v>0</v>
      </c>
      <c r="K529" t="n">
        <v>0</v>
      </c>
      <c r="L529" t="n">
        <v>0</v>
      </c>
      <c r="M529" t="n">
        <v>0</v>
      </c>
      <c r="N529" t="n">
        <v>0</v>
      </c>
      <c r="O529" t="n">
        <v>0</v>
      </c>
      <c r="P529" t="n">
        <v>0</v>
      </c>
      <c r="Q529" t="n">
        <v>0</v>
      </c>
      <c r="R529" s="2" t="inlineStr"/>
    </row>
    <row r="530" ht="15" customHeight="1">
      <c r="A530" t="inlineStr">
        <is>
          <t>A 29056-2025</t>
        </is>
      </c>
      <c r="B530" s="1" t="n">
        <v>45821.47273148148</v>
      </c>
      <c r="C530" s="1" t="n">
        <v>46047</v>
      </c>
      <c r="D530" t="inlineStr">
        <is>
          <t>UPPSALA LÄN</t>
        </is>
      </c>
      <c r="E530" t="inlineStr">
        <is>
          <t>TIERP</t>
        </is>
      </c>
      <c r="F530" t="inlineStr">
        <is>
          <t>Bergvik skog öst AB</t>
        </is>
      </c>
      <c r="G530" t="n">
        <v>8.9</v>
      </c>
      <c r="H530" t="n">
        <v>0</v>
      </c>
      <c r="I530" t="n">
        <v>0</v>
      </c>
      <c r="J530" t="n">
        <v>0</v>
      </c>
      <c r="K530" t="n">
        <v>0</v>
      </c>
      <c r="L530" t="n">
        <v>0</v>
      </c>
      <c r="M530" t="n">
        <v>0</v>
      </c>
      <c r="N530" t="n">
        <v>0</v>
      </c>
      <c r="O530" t="n">
        <v>0</v>
      </c>
      <c r="P530" t="n">
        <v>0</v>
      </c>
      <c r="Q530" t="n">
        <v>0</v>
      </c>
      <c r="R530" s="2" t="inlineStr"/>
    </row>
    <row r="531" ht="15" customHeight="1">
      <c r="A531" t="inlineStr">
        <is>
          <t>A 13066-2024</t>
        </is>
      </c>
      <c r="B531" s="1" t="n">
        <v>45385.63880787037</v>
      </c>
      <c r="C531" s="1" t="n">
        <v>46047</v>
      </c>
      <c r="D531" t="inlineStr">
        <is>
          <t>UPPSALA LÄN</t>
        </is>
      </c>
      <c r="E531" t="inlineStr">
        <is>
          <t>TIERP</t>
        </is>
      </c>
      <c r="F531" t="inlineStr">
        <is>
          <t>Bergvik skog öst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5993-2023</t>
        </is>
      </c>
      <c r="B532" s="1" t="n">
        <v>44964</v>
      </c>
      <c r="C532" s="1" t="n">
        <v>46047</v>
      </c>
      <c r="D532" t="inlineStr">
        <is>
          <t>UPPSALA LÄN</t>
        </is>
      </c>
      <c r="E532" t="inlineStr">
        <is>
          <t>TIERP</t>
        </is>
      </c>
      <c r="F532" t="inlineStr">
        <is>
          <t>Bergvik skog öst AB</t>
        </is>
      </c>
      <c r="G532" t="n">
        <v>4.1</v>
      </c>
      <c r="H532" t="n">
        <v>0</v>
      </c>
      <c r="I532" t="n">
        <v>0</v>
      </c>
      <c r="J532" t="n">
        <v>0</v>
      </c>
      <c r="K532" t="n">
        <v>0</v>
      </c>
      <c r="L532" t="n">
        <v>0</v>
      </c>
      <c r="M532" t="n">
        <v>0</v>
      </c>
      <c r="N532" t="n">
        <v>0</v>
      </c>
      <c r="O532" t="n">
        <v>0</v>
      </c>
      <c r="P532" t="n">
        <v>0</v>
      </c>
      <c r="Q532" t="n">
        <v>0</v>
      </c>
      <c r="R532" s="2" t="inlineStr"/>
    </row>
    <row r="533" ht="15" customHeight="1">
      <c r="A533" t="inlineStr">
        <is>
          <t>A 60304-2024</t>
        </is>
      </c>
      <c r="B533" s="1" t="n">
        <v>45643</v>
      </c>
      <c r="C533" s="1" t="n">
        <v>46047</v>
      </c>
      <c r="D533" t="inlineStr">
        <is>
          <t>UPPSALA LÄN</t>
        </is>
      </c>
      <c r="E533" t="inlineStr">
        <is>
          <t>TIERP</t>
        </is>
      </c>
      <c r="F533" t="inlineStr">
        <is>
          <t>Bergvik skog öst AB</t>
        </is>
      </c>
      <c r="G533" t="n">
        <v>3.4</v>
      </c>
      <c r="H533" t="n">
        <v>0</v>
      </c>
      <c r="I533" t="n">
        <v>0</v>
      </c>
      <c r="J533" t="n">
        <v>0</v>
      </c>
      <c r="K533" t="n">
        <v>0</v>
      </c>
      <c r="L533" t="n">
        <v>0</v>
      </c>
      <c r="M533" t="n">
        <v>0</v>
      </c>
      <c r="N533" t="n">
        <v>0</v>
      </c>
      <c r="O533" t="n">
        <v>0</v>
      </c>
      <c r="P533" t="n">
        <v>0</v>
      </c>
      <c r="Q533" t="n">
        <v>0</v>
      </c>
      <c r="R533" s="2" t="inlineStr"/>
    </row>
    <row r="534" ht="15" customHeight="1">
      <c r="A534" t="inlineStr">
        <is>
          <t>A 62006-2024</t>
        </is>
      </c>
      <c r="B534" s="1" t="n">
        <v>45655</v>
      </c>
      <c r="C534" s="1" t="n">
        <v>46047</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4314-2025</t>
        </is>
      </c>
      <c r="B535" s="1" t="n">
        <v>45685.70260416667</v>
      </c>
      <c r="C535" s="1" t="n">
        <v>46047</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12424-2024</t>
        </is>
      </c>
      <c r="B536" s="1" t="n">
        <v>45379.4344212963</v>
      </c>
      <c r="C536" s="1" t="n">
        <v>46047</v>
      </c>
      <c r="D536" t="inlineStr">
        <is>
          <t>UPPSALA LÄN</t>
        </is>
      </c>
      <c r="E536" t="inlineStr">
        <is>
          <t>TIERP</t>
        </is>
      </c>
      <c r="G536" t="n">
        <v>11.6</v>
      </c>
      <c r="H536" t="n">
        <v>0</v>
      </c>
      <c r="I536" t="n">
        <v>0</v>
      </c>
      <c r="J536" t="n">
        <v>0</v>
      </c>
      <c r="K536" t="n">
        <v>0</v>
      </c>
      <c r="L536" t="n">
        <v>0</v>
      </c>
      <c r="M536" t="n">
        <v>0</v>
      </c>
      <c r="N536" t="n">
        <v>0</v>
      </c>
      <c r="O536" t="n">
        <v>0</v>
      </c>
      <c r="P536" t="n">
        <v>0</v>
      </c>
      <c r="Q536" t="n">
        <v>0</v>
      </c>
      <c r="R536" s="2" t="inlineStr"/>
    </row>
    <row r="537" ht="15" customHeight="1">
      <c r="A537" t="inlineStr">
        <is>
          <t>A 40627-2025</t>
        </is>
      </c>
      <c r="B537" s="1" t="n">
        <v>45896.58956018519</v>
      </c>
      <c r="C537" s="1" t="n">
        <v>46047</v>
      </c>
      <c r="D537" t="inlineStr">
        <is>
          <t>UPPSALA LÄN</t>
        </is>
      </c>
      <c r="E537" t="inlineStr">
        <is>
          <t>TIERP</t>
        </is>
      </c>
      <c r="F537" t="inlineStr">
        <is>
          <t>Bergvik skog öst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40649-2025</t>
        </is>
      </c>
      <c r="B538" s="1" t="n">
        <v>45896.62949074074</v>
      </c>
      <c r="C538" s="1" t="n">
        <v>46047</v>
      </c>
      <c r="D538" t="inlineStr">
        <is>
          <t>UPPSALA LÄN</t>
        </is>
      </c>
      <c r="E538" t="inlineStr">
        <is>
          <t>TIERP</t>
        </is>
      </c>
      <c r="F538" t="inlineStr">
        <is>
          <t>Bergvik skog öst AB</t>
        </is>
      </c>
      <c r="G538" t="n">
        <v>5.3</v>
      </c>
      <c r="H538" t="n">
        <v>0</v>
      </c>
      <c r="I538" t="n">
        <v>0</v>
      </c>
      <c r="J538" t="n">
        <v>0</v>
      </c>
      <c r="K538" t="n">
        <v>0</v>
      </c>
      <c r="L538" t="n">
        <v>0</v>
      </c>
      <c r="M538" t="n">
        <v>0</v>
      </c>
      <c r="N538" t="n">
        <v>0</v>
      </c>
      <c r="O538" t="n">
        <v>0</v>
      </c>
      <c r="P538" t="n">
        <v>0</v>
      </c>
      <c r="Q538" t="n">
        <v>0</v>
      </c>
      <c r="R538" s="2" t="inlineStr"/>
    </row>
    <row r="539" ht="15" customHeight="1">
      <c r="A539" t="inlineStr">
        <is>
          <t>A 41490-2025</t>
        </is>
      </c>
      <c r="B539" s="1" t="n">
        <v>45901.48795138889</v>
      </c>
      <c r="C539" s="1" t="n">
        <v>46047</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41497-2025</t>
        </is>
      </c>
      <c r="B540" s="1" t="n">
        <v>45901.49728009259</v>
      </c>
      <c r="C540" s="1" t="n">
        <v>46047</v>
      </c>
      <c r="D540" t="inlineStr">
        <is>
          <t>UPPSALA LÄN</t>
        </is>
      </c>
      <c r="E540" t="inlineStr">
        <is>
          <t>TIERP</t>
        </is>
      </c>
      <c r="G540" t="n">
        <v>0.7</v>
      </c>
      <c r="H540" t="n">
        <v>0</v>
      </c>
      <c r="I540" t="n">
        <v>0</v>
      </c>
      <c r="J540" t="n">
        <v>0</v>
      </c>
      <c r="K540" t="n">
        <v>0</v>
      </c>
      <c r="L540" t="n">
        <v>0</v>
      </c>
      <c r="M540" t="n">
        <v>0</v>
      </c>
      <c r="N540" t="n">
        <v>0</v>
      </c>
      <c r="O540" t="n">
        <v>0</v>
      </c>
      <c r="P540" t="n">
        <v>0</v>
      </c>
      <c r="Q540" t="n">
        <v>0</v>
      </c>
      <c r="R540" s="2" t="inlineStr"/>
    </row>
    <row r="541" ht="15" customHeight="1">
      <c r="A541" t="inlineStr">
        <is>
          <t>A 41517-2025</t>
        </is>
      </c>
      <c r="B541" s="1" t="n">
        <v>45901.54505787037</v>
      </c>
      <c r="C541" s="1" t="n">
        <v>46047</v>
      </c>
      <c r="D541" t="inlineStr">
        <is>
          <t>UPPSALA LÄN</t>
        </is>
      </c>
      <c r="E541" t="inlineStr">
        <is>
          <t>TIERP</t>
        </is>
      </c>
      <c r="G541" t="n">
        <v>5.7</v>
      </c>
      <c r="H541" t="n">
        <v>0</v>
      </c>
      <c r="I541" t="n">
        <v>0</v>
      </c>
      <c r="J541" t="n">
        <v>0</v>
      </c>
      <c r="K541" t="n">
        <v>0</v>
      </c>
      <c r="L541" t="n">
        <v>0</v>
      </c>
      <c r="M541" t="n">
        <v>0</v>
      </c>
      <c r="N541" t="n">
        <v>0</v>
      </c>
      <c r="O541" t="n">
        <v>0</v>
      </c>
      <c r="P541" t="n">
        <v>0</v>
      </c>
      <c r="Q541" t="n">
        <v>0</v>
      </c>
      <c r="R541" s="2" t="inlineStr"/>
    </row>
    <row r="542" ht="15" customHeight="1">
      <c r="A542" t="inlineStr">
        <is>
          <t>A 14527-2025</t>
        </is>
      </c>
      <c r="B542" s="1" t="n">
        <v>45741.65077546296</v>
      </c>
      <c r="C542" s="1" t="n">
        <v>46047</v>
      </c>
      <c r="D542" t="inlineStr">
        <is>
          <t>UPPSALA LÄN</t>
        </is>
      </c>
      <c r="E542" t="inlineStr">
        <is>
          <t>TIERP</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41268-2025</t>
        </is>
      </c>
      <c r="B543" s="1" t="n">
        <v>45898.61831018519</v>
      </c>
      <c r="C543" s="1" t="n">
        <v>46047</v>
      </c>
      <c r="D543" t="inlineStr">
        <is>
          <t>UPPSALA LÄN</t>
        </is>
      </c>
      <c r="E543" t="inlineStr">
        <is>
          <t>TIERP</t>
        </is>
      </c>
      <c r="G543" t="n">
        <v>0.6</v>
      </c>
      <c r="H543" t="n">
        <v>0</v>
      </c>
      <c r="I543" t="n">
        <v>0</v>
      </c>
      <c r="J543" t="n">
        <v>0</v>
      </c>
      <c r="K543" t="n">
        <v>0</v>
      </c>
      <c r="L543" t="n">
        <v>0</v>
      </c>
      <c r="M543" t="n">
        <v>0</v>
      </c>
      <c r="N543" t="n">
        <v>0</v>
      </c>
      <c r="O543" t="n">
        <v>0</v>
      </c>
      <c r="P543" t="n">
        <v>0</v>
      </c>
      <c r="Q543" t="n">
        <v>0</v>
      </c>
      <c r="R543" s="2" t="inlineStr"/>
    </row>
    <row r="544" ht="15" customHeight="1">
      <c r="A544" t="inlineStr">
        <is>
          <t>A 41537-2025</t>
        </is>
      </c>
      <c r="B544" s="1" t="n">
        <v>45901.56194444445</v>
      </c>
      <c r="C544" s="1" t="n">
        <v>46047</v>
      </c>
      <c r="D544" t="inlineStr">
        <is>
          <t>UPPSALA LÄN</t>
        </is>
      </c>
      <c r="E544" t="inlineStr">
        <is>
          <t>TIERP</t>
        </is>
      </c>
      <c r="G544" t="n">
        <v>2</v>
      </c>
      <c r="H544" t="n">
        <v>0</v>
      </c>
      <c r="I544" t="n">
        <v>0</v>
      </c>
      <c r="J544" t="n">
        <v>0</v>
      </c>
      <c r="K544" t="n">
        <v>0</v>
      </c>
      <c r="L544" t="n">
        <v>0</v>
      </c>
      <c r="M544" t="n">
        <v>0</v>
      </c>
      <c r="N544" t="n">
        <v>0</v>
      </c>
      <c r="O544" t="n">
        <v>0</v>
      </c>
      <c r="P544" t="n">
        <v>0</v>
      </c>
      <c r="Q544" t="n">
        <v>0</v>
      </c>
      <c r="R544" s="2" t="inlineStr"/>
    </row>
    <row r="545" ht="15" customHeight="1">
      <c r="A545" t="inlineStr">
        <is>
          <t>A 19380-2025</t>
        </is>
      </c>
      <c r="B545" s="1" t="n">
        <v>45769.65503472222</v>
      </c>
      <c r="C545" s="1" t="n">
        <v>46047</v>
      </c>
      <c r="D545" t="inlineStr">
        <is>
          <t>UPPSALA LÄN</t>
        </is>
      </c>
      <c r="E545" t="inlineStr">
        <is>
          <t>TIERP</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41520-2025</t>
        </is>
      </c>
      <c r="B546" s="1" t="n">
        <v>45901.54918981482</v>
      </c>
      <c r="C546" s="1" t="n">
        <v>46047</v>
      </c>
      <c r="D546" t="inlineStr">
        <is>
          <t>UPPSALA LÄN</t>
        </is>
      </c>
      <c r="E546" t="inlineStr">
        <is>
          <t>TIERP</t>
        </is>
      </c>
      <c r="G546" t="n">
        <v>8.6</v>
      </c>
      <c r="H546" t="n">
        <v>0</v>
      </c>
      <c r="I546" t="n">
        <v>0</v>
      </c>
      <c r="J546" t="n">
        <v>0</v>
      </c>
      <c r="K546" t="n">
        <v>0</v>
      </c>
      <c r="L546" t="n">
        <v>0</v>
      </c>
      <c r="M546" t="n">
        <v>0</v>
      </c>
      <c r="N546" t="n">
        <v>0</v>
      </c>
      <c r="O546" t="n">
        <v>0</v>
      </c>
      <c r="P546" t="n">
        <v>0</v>
      </c>
      <c r="Q546" t="n">
        <v>0</v>
      </c>
      <c r="R546" s="2" t="inlineStr"/>
    </row>
    <row r="547" ht="15" customHeight="1">
      <c r="A547" t="inlineStr">
        <is>
          <t>A 41527-2025</t>
        </is>
      </c>
      <c r="B547" s="1" t="n">
        <v>45901.55429398148</v>
      </c>
      <c r="C547" s="1" t="n">
        <v>46047</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7375-2025</t>
        </is>
      </c>
      <c r="B548" s="1" t="n">
        <v>45705.29239583333</v>
      </c>
      <c r="C548" s="1" t="n">
        <v>46047</v>
      </c>
      <c r="D548" t="inlineStr">
        <is>
          <t>UPPSALA LÄN</t>
        </is>
      </c>
      <c r="E548" t="inlineStr">
        <is>
          <t>TIERP</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41531-2025</t>
        </is>
      </c>
      <c r="B549" s="1" t="n">
        <v>45901.55740740741</v>
      </c>
      <c r="C549" s="1" t="n">
        <v>46047</v>
      </c>
      <c r="D549" t="inlineStr">
        <is>
          <t>UPPSALA LÄN</t>
        </is>
      </c>
      <c r="E549" t="inlineStr">
        <is>
          <t>TIERP</t>
        </is>
      </c>
      <c r="G549" t="n">
        <v>1.1</v>
      </c>
      <c r="H549" t="n">
        <v>0</v>
      </c>
      <c r="I549" t="n">
        <v>0</v>
      </c>
      <c r="J549" t="n">
        <v>0</v>
      </c>
      <c r="K549" t="n">
        <v>0</v>
      </c>
      <c r="L549" t="n">
        <v>0</v>
      </c>
      <c r="M549" t="n">
        <v>0</v>
      </c>
      <c r="N549" t="n">
        <v>0</v>
      </c>
      <c r="O549" t="n">
        <v>0</v>
      </c>
      <c r="P549" t="n">
        <v>0</v>
      </c>
      <c r="Q549" t="n">
        <v>0</v>
      </c>
      <c r="R549" s="2" t="inlineStr"/>
    </row>
    <row r="550" ht="15" customHeight="1">
      <c r="A550" t="inlineStr">
        <is>
          <t>A 41535-2025</t>
        </is>
      </c>
      <c r="B550" s="1" t="n">
        <v>45901.56009259259</v>
      </c>
      <c r="C550" s="1" t="n">
        <v>46047</v>
      </c>
      <c r="D550" t="inlineStr">
        <is>
          <t>UPPSALA LÄN</t>
        </is>
      </c>
      <c r="E550" t="inlineStr">
        <is>
          <t>TIERP</t>
        </is>
      </c>
      <c r="G550" t="n">
        <v>4.2</v>
      </c>
      <c r="H550" t="n">
        <v>0</v>
      </c>
      <c r="I550" t="n">
        <v>0</v>
      </c>
      <c r="J550" t="n">
        <v>0</v>
      </c>
      <c r="K550" t="n">
        <v>0</v>
      </c>
      <c r="L550" t="n">
        <v>0</v>
      </c>
      <c r="M550" t="n">
        <v>0</v>
      </c>
      <c r="N550" t="n">
        <v>0</v>
      </c>
      <c r="O550" t="n">
        <v>0</v>
      </c>
      <c r="P550" t="n">
        <v>0</v>
      </c>
      <c r="Q550" t="n">
        <v>0</v>
      </c>
      <c r="R550" s="2" t="inlineStr"/>
    </row>
    <row r="551" ht="15" customHeight="1">
      <c r="A551" t="inlineStr">
        <is>
          <t>A 26559-2025</t>
        </is>
      </c>
      <c r="B551" s="1" t="n">
        <v>45807.63822916667</v>
      </c>
      <c r="C551" s="1" t="n">
        <v>46047</v>
      </c>
      <c r="D551" t="inlineStr">
        <is>
          <t>UPPSALA LÄN</t>
        </is>
      </c>
      <c r="E551" t="inlineStr">
        <is>
          <t>TIERP</t>
        </is>
      </c>
      <c r="G551" t="n">
        <v>5</v>
      </c>
      <c r="H551" t="n">
        <v>0</v>
      </c>
      <c r="I551" t="n">
        <v>0</v>
      </c>
      <c r="J551" t="n">
        <v>0</v>
      </c>
      <c r="K551" t="n">
        <v>0</v>
      </c>
      <c r="L551" t="n">
        <v>0</v>
      </c>
      <c r="M551" t="n">
        <v>0</v>
      </c>
      <c r="N551" t="n">
        <v>0</v>
      </c>
      <c r="O551" t="n">
        <v>0</v>
      </c>
      <c r="P551" t="n">
        <v>0</v>
      </c>
      <c r="Q551" t="n">
        <v>0</v>
      </c>
      <c r="R551" s="2" t="inlineStr"/>
    </row>
    <row r="552" ht="15" customHeight="1">
      <c r="A552" t="inlineStr">
        <is>
          <t>A 21782-2025</t>
        </is>
      </c>
      <c r="B552" s="1" t="n">
        <v>45783.66872685185</v>
      </c>
      <c r="C552" s="1" t="n">
        <v>46047</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41719-2025</t>
        </is>
      </c>
      <c r="B553" s="1" t="n">
        <v>45902.44439814815</v>
      </c>
      <c r="C553" s="1" t="n">
        <v>46047</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32184-2025</t>
        </is>
      </c>
      <c r="B554" s="1" t="n">
        <v>45835.56524305556</v>
      </c>
      <c r="C554" s="1" t="n">
        <v>46047</v>
      </c>
      <c r="D554" t="inlineStr">
        <is>
          <t>UPPSALA LÄN</t>
        </is>
      </c>
      <c r="E554" t="inlineStr">
        <is>
          <t>TIERP</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41698-2025</t>
        </is>
      </c>
      <c r="B555" s="1" t="n">
        <v>45902.40758101852</v>
      </c>
      <c r="C555" s="1" t="n">
        <v>46047</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41699-2025</t>
        </is>
      </c>
      <c r="B556" s="1" t="n">
        <v>45902.40875</v>
      </c>
      <c r="C556" s="1" t="n">
        <v>46047</v>
      </c>
      <c r="D556" t="inlineStr">
        <is>
          <t>UPPSALA LÄN</t>
        </is>
      </c>
      <c r="E556" t="inlineStr">
        <is>
          <t>TIERP</t>
        </is>
      </c>
      <c r="G556" t="n">
        <v>1</v>
      </c>
      <c r="H556" t="n">
        <v>0</v>
      </c>
      <c r="I556" t="n">
        <v>0</v>
      </c>
      <c r="J556" t="n">
        <v>0</v>
      </c>
      <c r="K556" t="n">
        <v>0</v>
      </c>
      <c r="L556" t="n">
        <v>0</v>
      </c>
      <c r="M556" t="n">
        <v>0</v>
      </c>
      <c r="N556" t="n">
        <v>0</v>
      </c>
      <c r="O556" t="n">
        <v>0</v>
      </c>
      <c r="P556" t="n">
        <v>0</v>
      </c>
      <c r="Q556" t="n">
        <v>0</v>
      </c>
      <c r="R556" s="2" t="inlineStr"/>
    </row>
    <row r="557" ht="15" customHeight="1">
      <c r="A557" t="inlineStr">
        <is>
          <t>A 41223-2023</t>
        </is>
      </c>
      <c r="B557" s="1" t="n">
        <v>45174</v>
      </c>
      <c r="C557" s="1" t="n">
        <v>46047</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42105-2025</t>
        </is>
      </c>
      <c r="B558" s="1" t="n">
        <v>45903</v>
      </c>
      <c r="C558" s="1" t="n">
        <v>46047</v>
      </c>
      <c r="D558" t="inlineStr">
        <is>
          <t>UPPSALA LÄN</t>
        </is>
      </c>
      <c r="E558" t="inlineStr">
        <is>
          <t>TIERP</t>
        </is>
      </c>
      <c r="F558" t="inlineStr">
        <is>
          <t>Bergvik skog väst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42106-2025</t>
        </is>
      </c>
      <c r="B559" s="1" t="n">
        <v>45903</v>
      </c>
      <c r="C559" s="1" t="n">
        <v>46047</v>
      </c>
      <c r="D559" t="inlineStr">
        <is>
          <t>UPPSALA LÄN</t>
        </is>
      </c>
      <c r="E559" t="inlineStr">
        <is>
          <t>TIERP</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36830-2024</t>
        </is>
      </c>
      <c r="B560" s="1" t="n">
        <v>45538</v>
      </c>
      <c r="C560" s="1" t="n">
        <v>46047</v>
      </c>
      <c r="D560" t="inlineStr">
        <is>
          <t>UPPSALA LÄN</t>
        </is>
      </c>
      <c r="E560" t="inlineStr">
        <is>
          <t>TIERP</t>
        </is>
      </c>
      <c r="G560" t="n">
        <v>1.7</v>
      </c>
      <c r="H560" t="n">
        <v>0</v>
      </c>
      <c r="I560" t="n">
        <v>0</v>
      </c>
      <c r="J560" t="n">
        <v>0</v>
      </c>
      <c r="K560" t="n">
        <v>0</v>
      </c>
      <c r="L560" t="n">
        <v>0</v>
      </c>
      <c r="M560" t="n">
        <v>0</v>
      </c>
      <c r="N560" t="n">
        <v>0</v>
      </c>
      <c r="O560" t="n">
        <v>0</v>
      </c>
      <c r="P560" t="n">
        <v>0</v>
      </c>
      <c r="Q560" t="n">
        <v>0</v>
      </c>
      <c r="R560" s="2" t="inlineStr"/>
    </row>
    <row r="561" ht="15" customHeight="1">
      <c r="A561" t="inlineStr">
        <is>
          <t>A 26556-2025</t>
        </is>
      </c>
      <c r="B561" s="1" t="n">
        <v>45807.62752314815</v>
      </c>
      <c r="C561" s="1" t="n">
        <v>46047</v>
      </c>
      <c r="D561" t="inlineStr">
        <is>
          <t>UPPSALA LÄN</t>
        </is>
      </c>
      <c r="E561" t="inlineStr">
        <is>
          <t>TIERP</t>
        </is>
      </c>
      <c r="G561" t="n">
        <v>2.6</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46047</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16802-2025</t>
        </is>
      </c>
      <c r="B563" s="1" t="n">
        <v>45754</v>
      </c>
      <c r="C563" s="1" t="n">
        <v>46047</v>
      </c>
      <c r="D563" t="inlineStr">
        <is>
          <t>UPPSALA LÄN</t>
        </is>
      </c>
      <c r="E563" t="inlineStr">
        <is>
          <t>TIERP</t>
        </is>
      </c>
      <c r="F563" t="inlineStr">
        <is>
          <t>Bergvik skog väst AB</t>
        </is>
      </c>
      <c r="G563" t="n">
        <v>2.6</v>
      </c>
      <c r="H563" t="n">
        <v>0</v>
      </c>
      <c r="I563" t="n">
        <v>0</v>
      </c>
      <c r="J563" t="n">
        <v>0</v>
      </c>
      <c r="K563" t="n">
        <v>0</v>
      </c>
      <c r="L563" t="n">
        <v>0</v>
      </c>
      <c r="M563" t="n">
        <v>0</v>
      </c>
      <c r="N563" t="n">
        <v>0</v>
      </c>
      <c r="O563" t="n">
        <v>0</v>
      </c>
      <c r="P563" t="n">
        <v>0</v>
      </c>
      <c r="Q563" t="n">
        <v>0</v>
      </c>
      <c r="R563" s="2" t="inlineStr"/>
    </row>
    <row r="564" ht="15" customHeight="1">
      <c r="A564" t="inlineStr">
        <is>
          <t>A 9432-2023</t>
        </is>
      </c>
      <c r="B564" s="1" t="n">
        <v>44981.51266203704</v>
      </c>
      <c r="C564" s="1" t="n">
        <v>46047</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34648-2021</t>
        </is>
      </c>
      <c r="B565" s="1" t="n">
        <v>44382</v>
      </c>
      <c r="C565" s="1" t="n">
        <v>46047</v>
      </c>
      <c r="D565" t="inlineStr">
        <is>
          <t>UPPSALA LÄN</t>
        </is>
      </c>
      <c r="E565" t="inlineStr">
        <is>
          <t>TIERP</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42102-2025</t>
        </is>
      </c>
      <c r="B566" s="1" t="n">
        <v>45903.81962962963</v>
      </c>
      <c r="C566" s="1" t="n">
        <v>46047</v>
      </c>
      <c r="D566" t="inlineStr">
        <is>
          <t>UPPSALA LÄN</t>
        </is>
      </c>
      <c r="E566" t="inlineStr">
        <is>
          <t>TIERP</t>
        </is>
      </c>
      <c r="F566" t="inlineStr">
        <is>
          <t>Bergvik skog väst AB</t>
        </is>
      </c>
      <c r="G566" t="n">
        <v>2.5</v>
      </c>
      <c r="H566" t="n">
        <v>0</v>
      </c>
      <c r="I566" t="n">
        <v>0</v>
      </c>
      <c r="J566" t="n">
        <v>0</v>
      </c>
      <c r="K566" t="n">
        <v>0</v>
      </c>
      <c r="L566" t="n">
        <v>0</v>
      </c>
      <c r="M566" t="n">
        <v>0</v>
      </c>
      <c r="N566" t="n">
        <v>0</v>
      </c>
      <c r="O566" t="n">
        <v>0</v>
      </c>
      <c r="P566" t="n">
        <v>0</v>
      </c>
      <c r="Q566" t="n">
        <v>0</v>
      </c>
      <c r="R566" s="2" t="inlineStr"/>
    </row>
    <row r="567" ht="15" customHeight="1">
      <c r="A567" t="inlineStr">
        <is>
          <t>A 15793-2025</t>
        </is>
      </c>
      <c r="B567" s="1" t="n">
        <v>45748.6355787037</v>
      </c>
      <c r="C567" s="1" t="n">
        <v>46047</v>
      </c>
      <c r="D567" t="inlineStr">
        <is>
          <t>UPPSALA LÄN</t>
        </is>
      </c>
      <c r="E567" t="inlineStr">
        <is>
          <t>TIERP</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5995-2023</t>
        </is>
      </c>
      <c r="B568" s="1" t="n">
        <v>44964</v>
      </c>
      <c r="C568" s="1" t="n">
        <v>46047</v>
      </c>
      <c r="D568" t="inlineStr">
        <is>
          <t>UPPSALA LÄN</t>
        </is>
      </c>
      <c r="E568" t="inlineStr">
        <is>
          <t>TIERP</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42838-2025</t>
        </is>
      </c>
      <c r="B569" s="1" t="n">
        <v>45908.58109953703</v>
      </c>
      <c r="C569" s="1" t="n">
        <v>46047</v>
      </c>
      <c r="D569" t="inlineStr">
        <is>
          <t>UPPSALA LÄN</t>
        </is>
      </c>
      <c r="E569" t="inlineStr">
        <is>
          <t>TIERP</t>
        </is>
      </c>
      <c r="F569" t="inlineStr">
        <is>
          <t>Bergvik skog öst AB</t>
        </is>
      </c>
      <c r="G569" t="n">
        <v>13.1</v>
      </c>
      <c r="H569" t="n">
        <v>0</v>
      </c>
      <c r="I569" t="n">
        <v>0</v>
      </c>
      <c r="J569" t="n">
        <v>0</v>
      </c>
      <c r="K569" t="n">
        <v>0</v>
      </c>
      <c r="L569" t="n">
        <v>0</v>
      </c>
      <c r="M569" t="n">
        <v>0</v>
      </c>
      <c r="N569" t="n">
        <v>0</v>
      </c>
      <c r="O569" t="n">
        <v>0</v>
      </c>
      <c r="P569" t="n">
        <v>0</v>
      </c>
      <c r="Q569" t="n">
        <v>0</v>
      </c>
      <c r="R569" s="2" t="inlineStr"/>
    </row>
    <row r="570" ht="15" customHeight="1">
      <c r="A570" t="inlineStr">
        <is>
          <t>A 11932-2021</t>
        </is>
      </c>
      <c r="B570" s="1" t="n">
        <v>44266.35443287037</v>
      </c>
      <c r="C570" s="1" t="n">
        <v>46047</v>
      </c>
      <c r="D570" t="inlineStr">
        <is>
          <t>UPPSALA LÄN</t>
        </is>
      </c>
      <c r="E570" t="inlineStr">
        <is>
          <t>TIERP</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43121-2025</t>
        </is>
      </c>
      <c r="B571" s="1" t="n">
        <v>45909</v>
      </c>
      <c r="C571" s="1" t="n">
        <v>46047</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42688-2025</t>
        </is>
      </c>
      <c r="B572" s="1" t="n">
        <v>45908.35633101852</v>
      </c>
      <c r="C572" s="1" t="n">
        <v>46047</v>
      </c>
      <c r="D572" t="inlineStr">
        <is>
          <t>UPPSALA LÄN</t>
        </is>
      </c>
      <c r="E572" t="inlineStr">
        <is>
          <t>TIERP</t>
        </is>
      </c>
      <c r="G572" t="n">
        <v>1</v>
      </c>
      <c r="H572" t="n">
        <v>0</v>
      </c>
      <c r="I572" t="n">
        <v>0</v>
      </c>
      <c r="J572" t="n">
        <v>0</v>
      </c>
      <c r="K572" t="n">
        <v>0</v>
      </c>
      <c r="L572" t="n">
        <v>0</v>
      </c>
      <c r="M572" t="n">
        <v>0</v>
      </c>
      <c r="N572" t="n">
        <v>0</v>
      </c>
      <c r="O572" t="n">
        <v>0</v>
      </c>
      <c r="P572" t="n">
        <v>0</v>
      </c>
      <c r="Q572" t="n">
        <v>0</v>
      </c>
      <c r="R572" s="2" t="inlineStr"/>
    </row>
    <row r="573" ht="15" customHeight="1">
      <c r="A573" t="inlineStr">
        <is>
          <t>A 42695-2025</t>
        </is>
      </c>
      <c r="B573" s="1" t="n">
        <v>45908.36148148148</v>
      </c>
      <c r="C573" s="1" t="n">
        <v>46047</v>
      </c>
      <c r="D573" t="inlineStr">
        <is>
          <t>UPPSALA LÄN</t>
        </is>
      </c>
      <c r="E573" t="inlineStr">
        <is>
          <t>TIERP</t>
        </is>
      </c>
      <c r="G573" t="n">
        <v>0.9</v>
      </c>
      <c r="H573" t="n">
        <v>0</v>
      </c>
      <c r="I573" t="n">
        <v>0</v>
      </c>
      <c r="J573" t="n">
        <v>0</v>
      </c>
      <c r="K573" t="n">
        <v>0</v>
      </c>
      <c r="L573" t="n">
        <v>0</v>
      </c>
      <c r="M573" t="n">
        <v>0</v>
      </c>
      <c r="N573" t="n">
        <v>0</v>
      </c>
      <c r="O573" t="n">
        <v>0</v>
      </c>
      <c r="P573" t="n">
        <v>0</v>
      </c>
      <c r="Q573" t="n">
        <v>0</v>
      </c>
      <c r="R573" s="2" t="inlineStr"/>
    </row>
    <row r="574" ht="15" customHeight="1">
      <c r="A574" t="inlineStr">
        <is>
          <t>A 20846-2024</t>
        </is>
      </c>
      <c r="B574" s="1" t="n">
        <v>45439</v>
      </c>
      <c r="C574" s="1" t="n">
        <v>46047</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43222-2025</t>
        </is>
      </c>
      <c r="B575" s="1" t="n">
        <v>45910.47983796296</v>
      </c>
      <c r="C575" s="1" t="n">
        <v>46047</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43224-2025</t>
        </is>
      </c>
      <c r="B576" s="1" t="n">
        <v>45910.48737268519</v>
      </c>
      <c r="C576" s="1" t="n">
        <v>46047</v>
      </c>
      <c r="D576" t="inlineStr">
        <is>
          <t>UPPSALA LÄN</t>
        </is>
      </c>
      <c r="E576" t="inlineStr">
        <is>
          <t>TIERP</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50227-2024</t>
        </is>
      </c>
      <c r="B577" s="1" t="n">
        <v>45600.54467592593</v>
      </c>
      <c r="C577" s="1" t="n">
        <v>46047</v>
      </c>
      <c r="D577" t="inlineStr">
        <is>
          <t>UPPSALA LÄN</t>
        </is>
      </c>
      <c r="E577" t="inlineStr">
        <is>
          <t>TIERP</t>
        </is>
      </c>
      <c r="G577" t="n">
        <v>4.5</v>
      </c>
      <c r="H577" t="n">
        <v>0</v>
      </c>
      <c r="I577" t="n">
        <v>0</v>
      </c>
      <c r="J577" t="n">
        <v>0</v>
      </c>
      <c r="K577" t="n">
        <v>0</v>
      </c>
      <c r="L577" t="n">
        <v>0</v>
      </c>
      <c r="M577" t="n">
        <v>0</v>
      </c>
      <c r="N577" t="n">
        <v>0</v>
      </c>
      <c r="O577" t="n">
        <v>0</v>
      </c>
      <c r="P577" t="n">
        <v>0</v>
      </c>
      <c r="Q577" t="n">
        <v>0</v>
      </c>
      <c r="R577" s="2" t="inlineStr"/>
    </row>
    <row r="578" ht="15" customHeight="1">
      <c r="A578" t="inlineStr">
        <is>
          <t>A 43260-2025</t>
        </is>
      </c>
      <c r="B578" s="1" t="n">
        <v>45910.56313657408</v>
      </c>
      <c r="C578" s="1" t="n">
        <v>46047</v>
      </c>
      <c r="D578" t="inlineStr">
        <is>
          <t>UPPSALA LÄN</t>
        </is>
      </c>
      <c r="E578" t="inlineStr">
        <is>
          <t>TIERP</t>
        </is>
      </c>
      <c r="F578" t="inlineStr">
        <is>
          <t>Bergvik skog väst AB</t>
        </is>
      </c>
      <c r="G578" t="n">
        <v>1.1</v>
      </c>
      <c r="H578" t="n">
        <v>0</v>
      </c>
      <c r="I578" t="n">
        <v>0</v>
      </c>
      <c r="J578" t="n">
        <v>0</v>
      </c>
      <c r="K578" t="n">
        <v>0</v>
      </c>
      <c r="L578" t="n">
        <v>0</v>
      </c>
      <c r="M578" t="n">
        <v>0</v>
      </c>
      <c r="N578" t="n">
        <v>0</v>
      </c>
      <c r="O578" t="n">
        <v>0</v>
      </c>
      <c r="P578" t="n">
        <v>0</v>
      </c>
      <c r="Q578" t="n">
        <v>0</v>
      </c>
      <c r="R578" s="2" t="inlineStr"/>
    </row>
    <row r="579" ht="15" customHeight="1">
      <c r="A579" t="inlineStr">
        <is>
          <t>A 43378-2025</t>
        </is>
      </c>
      <c r="B579" s="1" t="n">
        <v>45911.35693287037</v>
      </c>
      <c r="C579" s="1" t="n">
        <v>46047</v>
      </c>
      <c r="D579" t="inlineStr">
        <is>
          <t>UPPSALA LÄN</t>
        </is>
      </c>
      <c r="E579" t="inlineStr">
        <is>
          <t>TIERP</t>
        </is>
      </c>
      <c r="F579" t="inlineStr">
        <is>
          <t>Bergvik skog väst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18516-2025</t>
        </is>
      </c>
      <c r="B580" s="1" t="n">
        <v>45763.38787037037</v>
      </c>
      <c r="C580" s="1" t="n">
        <v>46047</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43525-2025</t>
        </is>
      </c>
      <c r="B581" s="1" t="n">
        <v>45911.58546296296</v>
      </c>
      <c r="C581" s="1" t="n">
        <v>46047</v>
      </c>
      <c r="D581" t="inlineStr">
        <is>
          <t>UPPSALA LÄN</t>
        </is>
      </c>
      <c r="E581" t="inlineStr">
        <is>
          <t>TIERP</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43220-2025</t>
        </is>
      </c>
      <c r="B582" s="1" t="n">
        <v>45910.47623842592</v>
      </c>
      <c r="C582" s="1" t="n">
        <v>46047</v>
      </c>
      <c r="D582" t="inlineStr">
        <is>
          <t>UPPSALA LÄN</t>
        </is>
      </c>
      <c r="E582" t="inlineStr">
        <is>
          <t>TIERP</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43858-2025</t>
        </is>
      </c>
      <c r="B583" s="1" t="n">
        <v>45912.64945601852</v>
      </c>
      <c r="C583" s="1" t="n">
        <v>46047</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25363-2022</t>
        </is>
      </c>
      <c r="B584" s="1" t="n">
        <v>44732.35172453704</v>
      </c>
      <c r="C584" s="1" t="n">
        <v>46047</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47968-2023</t>
        </is>
      </c>
      <c r="B585" s="1" t="n">
        <v>45204</v>
      </c>
      <c r="C585" s="1" t="n">
        <v>46047</v>
      </c>
      <c r="D585" t="inlineStr">
        <is>
          <t>UPPSALA LÄN</t>
        </is>
      </c>
      <c r="E585" t="inlineStr">
        <is>
          <t>TIERP</t>
        </is>
      </c>
      <c r="G585" t="n">
        <v>1.5</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46047</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48735-2023</t>
        </is>
      </c>
      <c r="B587" s="1" t="n">
        <v>45203</v>
      </c>
      <c r="C587" s="1" t="n">
        <v>46047</v>
      </c>
      <c r="D587" t="inlineStr">
        <is>
          <t>UPPSALA LÄN</t>
        </is>
      </c>
      <c r="E587" t="inlineStr">
        <is>
          <t>TIERP</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55780-2024</t>
        </is>
      </c>
      <c r="B588" s="1" t="n">
        <v>45623.41342592592</v>
      </c>
      <c r="C588" s="1" t="n">
        <v>46047</v>
      </c>
      <c r="D588" t="inlineStr">
        <is>
          <t>UPPSALA LÄN</t>
        </is>
      </c>
      <c r="E588" t="inlineStr">
        <is>
          <t>TIERP</t>
        </is>
      </c>
      <c r="G588" t="n">
        <v>5.2</v>
      </c>
      <c r="H588" t="n">
        <v>0</v>
      </c>
      <c r="I588" t="n">
        <v>0</v>
      </c>
      <c r="J588" t="n">
        <v>0</v>
      </c>
      <c r="K588" t="n">
        <v>0</v>
      </c>
      <c r="L588" t="n">
        <v>0</v>
      </c>
      <c r="M588" t="n">
        <v>0</v>
      </c>
      <c r="N588" t="n">
        <v>0</v>
      </c>
      <c r="O588" t="n">
        <v>0</v>
      </c>
      <c r="P588" t="n">
        <v>0</v>
      </c>
      <c r="Q588" t="n">
        <v>0</v>
      </c>
      <c r="R588" s="2" t="inlineStr"/>
    </row>
    <row r="589" ht="15" customHeight="1">
      <c r="A589" t="inlineStr">
        <is>
          <t>A 1572-2023</t>
        </is>
      </c>
      <c r="B589" s="1" t="n">
        <v>44937.61023148148</v>
      </c>
      <c r="C589" s="1" t="n">
        <v>46047</v>
      </c>
      <c r="D589" t="inlineStr">
        <is>
          <t>UPPSALA LÄN</t>
        </is>
      </c>
      <c r="E589" t="inlineStr">
        <is>
          <t>TIERP</t>
        </is>
      </c>
      <c r="G589" t="n">
        <v>7.4</v>
      </c>
      <c r="H589" t="n">
        <v>0</v>
      </c>
      <c r="I589" t="n">
        <v>0</v>
      </c>
      <c r="J589" t="n">
        <v>0</v>
      </c>
      <c r="K589" t="n">
        <v>0</v>
      </c>
      <c r="L589" t="n">
        <v>0</v>
      </c>
      <c r="M589" t="n">
        <v>0</v>
      </c>
      <c r="N589" t="n">
        <v>0</v>
      </c>
      <c r="O589" t="n">
        <v>0</v>
      </c>
      <c r="P589" t="n">
        <v>0</v>
      </c>
      <c r="Q589" t="n">
        <v>0</v>
      </c>
      <c r="R589" s="2" t="inlineStr"/>
    </row>
    <row r="590" ht="15" customHeight="1">
      <c r="A590" t="inlineStr">
        <is>
          <t>A 22529-2025</t>
        </is>
      </c>
      <c r="B590" s="1" t="n">
        <v>45786</v>
      </c>
      <c r="C590" s="1" t="n">
        <v>46047</v>
      </c>
      <c r="D590" t="inlineStr">
        <is>
          <t>UPPSALA LÄN</t>
        </is>
      </c>
      <c r="E590" t="inlineStr">
        <is>
          <t>TIERP</t>
        </is>
      </c>
      <c r="F590" t="inlineStr">
        <is>
          <t>Övriga Aktiebolag</t>
        </is>
      </c>
      <c r="G590" t="n">
        <v>2.1</v>
      </c>
      <c r="H590" t="n">
        <v>0</v>
      </c>
      <c r="I590" t="n">
        <v>0</v>
      </c>
      <c r="J590" t="n">
        <v>0</v>
      </c>
      <c r="K590" t="n">
        <v>0</v>
      </c>
      <c r="L590" t="n">
        <v>0</v>
      </c>
      <c r="M590" t="n">
        <v>0</v>
      </c>
      <c r="N590" t="n">
        <v>0</v>
      </c>
      <c r="O590" t="n">
        <v>0</v>
      </c>
      <c r="P590" t="n">
        <v>0</v>
      </c>
      <c r="Q590" t="n">
        <v>0</v>
      </c>
      <c r="R590" s="2" t="inlineStr"/>
    </row>
    <row r="591" ht="15" customHeight="1">
      <c r="A591" t="inlineStr">
        <is>
          <t>A 57818-2024</t>
        </is>
      </c>
      <c r="B591" s="1" t="n">
        <v>45631.38019675926</v>
      </c>
      <c r="C591" s="1" t="n">
        <v>46047</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33570-2025</t>
        </is>
      </c>
      <c r="B592" s="1" t="n">
        <v>45841</v>
      </c>
      <c r="C592" s="1" t="n">
        <v>46047</v>
      </c>
      <c r="D592" t="inlineStr">
        <is>
          <t>UPPSALA LÄN</t>
        </is>
      </c>
      <c r="E592" t="inlineStr">
        <is>
          <t>TIERP</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57532-2022</t>
        </is>
      </c>
      <c r="B593" s="1" t="n">
        <v>44896.68234953703</v>
      </c>
      <c r="C593" s="1" t="n">
        <v>46047</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57536-2022</t>
        </is>
      </c>
      <c r="B594" s="1" t="n">
        <v>44896.69231481481</v>
      </c>
      <c r="C594" s="1" t="n">
        <v>46047</v>
      </c>
      <c r="D594" t="inlineStr">
        <is>
          <t>UPPSALA LÄN</t>
        </is>
      </c>
      <c r="E594" t="inlineStr">
        <is>
          <t>TIERP</t>
        </is>
      </c>
      <c r="G594" t="n">
        <v>0.6</v>
      </c>
      <c r="H594" t="n">
        <v>0</v>
      </c>
      <c r="I594" t="n">
        <v>0</v>
      </c>
      <c r="J594" t="n">
        <v>0</v>
      </c>
      <c r="K594" t="n">
        <v>0</v>
      </c>
      <c r="L594" t="n">
        <v>0</v>
      </c>
      <c r="M594" t="n">
        <v>0</v>
      </c>
      <c r="N594" t="n">
        <v>0</v>
      </c>
      <c r="O594" t="n">
        <v>0</v>
      </c>
      <c r="P594" t="n">
        <v>0</v>
      </c>
      <c r="Q594" t="n">
        <v>0</v>
      </c>
      <c r="R594" s="2" t="inlineStr"/>
    </row>
    <row r="595" ht="15" customHeight="1">
      <c r="A595" t="inlineStr">
        <is>
          <t>A 73-2023</t>
        </is>
      </c>
      <c r="B595" s="1" t="n">
        <v>44928.45600694444</v>
      </c>
      <c r="C595" s="1" t="n">
        <v>46047</v>
      </c>
      <c r="D595" t="inlineStr">
        <is>
          <t>UPPSALA LÄN</t>
        </is>
      </c>
      <c r="E595" t="inlineStr">
        <is>
          <t>TIERP</t>
        </is>
      </c>
      <c r="G595" t="n">
        <v>2.9</v>
      </c>
      <c r="H595" t="n">
        <v>0</v>
      </c>
      <c r="I595" t="n">
        <v>0</v>
      </c>
      <c r="J595" t="n">
        <v>0</v>
      </c>
      <c r="K595" t="n">
        <v>0</v>
      </c>
      <c r="L595" t="n">
        <v>0</v>
      </c>
      <c r="M595" t="n">
        <v>0</v>
      </c>
      <c r="N595" t="n">
        <v>0</v>
      </c>
      <c r="O595" t="n">
        <v>0</v>
      </c>
      <c r="P595" t="n">
        <v>0</v>
      </c>
      <c r="Q595" t="n">
        <v>0</v>
      </c>
      <c r="R595" s="2" t="inlineStr"/>
    </row>
    <row r="596" ht="15" customHeight="1">
      <c r="A596" t="inlineStr">
        <is>
          <t>A 4329-2023</t>
        </is>
      </c>
      <c r="B596" s="1" t="n">
        <v>44953</v>
      </c>
      <c r="C596" s="1" t="n">
        <v>46047</v>
      </c>
      <c r="D596" t="inlineStr">
        <is>
          <t>UPPSALA LÄN</t>
        </is>
      </c>
      <c r="E596" t="inlineStr">
        <is>
          <t>TIERP</t>
        </is>
      </c>
      <c r="G596" t="n">
        <v>4.9</v>
      </c>
      <c r="H596" t="n">
        <v>0</v>
      </c>
      <c r="I596" t="n">
        <v>0</v>
      </c>
      <c r="J596" t="n">
        <v>0</v>
      </c>
      <c r="K596" t="n">
        <v>0</v>
      </c>
      <c r="L596" t="n">
        <v>0</v>
      </c>
      <c r="M596" t="n">
        <v>0</v>
      </c>
      <c r="N596" t="n">
        <v>0</v>
      </c>
      <c r="O596" t="n">
        <v>0</v>
      </c>
      <c r="P596" t="n">
        <v>0</v>
      </c>
      <c r="Q596" t="n">
        <v>0</v>
      </c>
      <c r="R596" s="2" t="inlineStr"/>
    </row>
    <row r="597" ht="15" customHeight="1">
      <c r="A597" t="inlineStr">
        <is>
          <t>A 44659-2025</t>
        </is>
      </c>
      <c r="B597" s="1" t="n">
        <v>45917.55430555555</v>
      </c>
      <c r="C597" s="1" t="n">
        <v>46047</v>
      </c>
      <c r="D597" t="inlineStr">
        <is>
          <t>UPPSALA LÄN</t>
        </is>
      </c>
      <c r="E597" t="inlineStr">
        <is>
          <t>TIERP</t>
        </is>
      </c>
      <c r="F597" t="inlineStr">
        <is>
          <t>Bergvik skog väst AB</t>
        </is>
      </c>
      <c r="G597" t="n">
        <v>12.2</v>
      </c>
      <c r="H597" t="n">
        <v>0</v>
      </c>
      <c r="I597" t="n">
        <v>0</v>
      </c>
      <c r="J597" t="n">
        <v>0</v>
      </c>
      <c r="K597" t="n">
        <v>0</v>
      </c>
      <c r="L597" t="n">
        <v>0</v>
      </c>
      <c r="M597" t="n">
        <v>0</v>
      </c>
      <c r="N597" t="n">
        <v>0</v>
      </c>
      <c r="O597" t="n">
        <v>0</v>
      </c>
      <c r="P597" t="n">
        <v>0</v>
      </c>
      <c r="Q597" t="n">
        <v>0</v>
      </c>
      <c r="R597" s="2" t="inlineStr"/>
    </row>
    <row r="598" ht="15" customHeight="1">
      <c r="A598" t="inlineStr">
        <is>
          <t>A 35196-2025</t>
        </is>
      </c>
      <c r="B598" s="1" t="n">
        <v>45853</v>
      </c>
      <c r="C598" s="1" t="n">
        <v>46047</v>
      </c>
      <c r="D598" t="inlineStr">
        <is>
          <t>UPPSALA LÄN</t>
        </is>
      </c>
      <c r="E598" t="inlineStr">
        <is>
          <t>TIERP</t>
        </is>
      </c>
      <c r="G598" t="n">
        <v>2.6</v>
      </c>
      <c r="H598" t="n">
        <v>0</v>
      </c>
      <c r="I598" t="n">
        <v>0</v>
      </c>
      <c r="J598" t="n">
        <v>0</v>
      </c>
      <c r="K598" t="n">
        <v>0</v>
      </c>
      <c r="L598" t="n">
        <v>0</v>
      </c>
      <c r="M598" t="n">
        <v>0</v>
      </c>
      <c r="N598" t="n">
        <v>0</v>
      </c>
      <c r="O598" t="n">
        <v>0</v>
      </c>
      <c r="P598" t="n">
        <v>0</v>
      </c>
      <c r="Q598" t="n">
        <v>0</v>
      </c>
      <c r="R598" s="2" t="inlineStr"/>
    </row>
    <row r="599" ht="15" customHeight="1">
      <c r="A599" t="inlineStr">
        <is>
          <t>A 44675-2025</t>
        </is>
      </c>
      <c r="B599" s="1" t="n">
        <v>45917.56850694444</v>
      </c>
      <c r="C599" s="1" t="n">
        <v>46047</v>
      </c>
      <c r="D599" t="inlineStr">
        <is>
          <t>UPPSALA LÄN</t>
        </is>
      </c>
      <c r="E599" t="inlineStr">
        <is>
          <t>TIERP</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34044-2025</t>
        </is>
      </c>
      <c r="B600" s="1" t="n">
        <v>45845.38168981481</v>
      </c>
      <c r="C600" s="1" t="n">
        <v>46047</v>
      </c>
      <c r="D600" t="inlineStr">
        <is>
          <t>UPPSALA LÄN</t>
        </is>
      </c>
      <c r="E600" t="inlineStr">
        <is>
          <t>TIERP</t>
        </is>
      </c>
      <c r="F600" t="inlineStr">
        <is>
          <t>Övriga Aktiebolag</t>
        </is>
      </c>
      <c r="G600" t="n">
        <v>0.4</v>
      </c>
      <c r="H600" t="n">
        <v>0</v>
      </c>
      <c r="I600" t="n">
        <v>0</v>
      </c>
      <c r="J600" t="n">
        <v>0</v>
      </c>
      <c r="K600" t="n">
        <v>0</v>
      </c>
      <c r="L600" t="n">
        <v>0</v>
      </c>
      <c r="M600" t="n">
        <v>0</v>
      </c>
      <c r="N600" t="n">
        <v>0</v>
      </c>
      <c r="O600" t="n">
        <v>0</v>
      </c>
      <c r="P600" t="n">
        <v>0</v>
      </c>
      <c r="Q600" t="n">
        <v>0</v>
      </c>
      <c r="R600" s="2" t="inlineStr"/>
    </row>
    <row r="601" ht="15" customHeight="1">
      <c r="A601" t="inlineStr">
        <is>
          <t>A 23154-2023</t>
        </is>
      </c>
      <c r="B601" s="1" t="n">
        <v>45075</v>
      </c>
      <c r="C601" s="1" t="n">
        <v>46047</v>
      </c>
      <c r="D601" t="inlineStr">
        <is>
          <t>UPPSALA LÄN</t>
        </is>
      </c>
      <c r="E601" t="inlineStr">
        <is>
          <t>TIERP</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30125-2024</t>
        </is>
      </c>
      <c r="B602" s="1" t="n">
        <v>45489</v>
      </c>
      <c r="C602" s="1" t="n">
        <v>46047</v>
      </c>
      <c r="D602" t="inlineStr">
        <is>
          <t>UPPSALA LÄN</t>
        </is>
      </c>
      <c r="E602" t="inlineStr">
        <is>
          <t>TIERP</t>
        </is>
      </c>
      <c r="G602" t="n">
        <v>0.6</v>
      </c>
      <c r="H602" t="n">
        <v>0</v>
      </c>
      <c r="I602" t="n">
        <v>0</v>
      </c>
      <c r="J602" t="n">
        <v>0</v>
      </c>
      <c r="K602" t="n">
        <v>0</v>
      </c>
      <c r="L602" t="n">
        <v>0</v>
      </c>
      <c r="M602" t="n">
        <v>0</v>
      </c>
      <c r="N602" t="n">
        <v>0</v>
      </c>
      <c r="O602" t="n">
        <v>0</v>
      </c>
      <c r="P602" t="n">
        <v>0</v>
      </c>
      <c r="Q602" t="n">
        <v>0</v>
      </c>
      <c r="R602" s="2" t="inlineStr"/>
    </row>
    <row r="603" ht="15" customHeight="1">
      <c r="A603" t="inlineStr">
        <is>
          <t>A 1202-2025</t>
        </is>
      </c>
      <c r="B603" s="1" t="n">
        <v>45667</v>
      </c>
      <c r="C603" s="1" t="n">
        <v>46047</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31421-2025</t>
        </is>
      </c>
      <c r="B604" s="1" t="n">
        <v>45833.48898148148</v>
      </c>
      <c r="C604" s="1" t="n">
        <v>46047</v>
      </c>
      <c r="D604" t="inlineStr">
        <is>
          <t>UPPSALA LÄN</t>
        </is>
      </c>
      <c r="E604" t="inlineStr">
        <is>
          <t>TIERP</t>
        </is>
      </c>
      <c r="G604" t="n">
        <v>0.8</v>
      </c>
      <c r="H604" t="n">
        <v>0</v>
      </c>
      <c r="I604" t="n">
        <v>0</v>
      </c>
      <c r="J604" t="n">
        <v>0</v>
      </c>
      <c r="K604" t="n">
        <v>0</v>
      </c>
      <c r="L604" t="n">
        <v>0</v>
      </c>
      <c r="M604" t="n">
        <v>0</v>
      </c>
      <c r="N604" t="n">
        <v>0</v>
      </c>
      <c r="O604" t="n">
        <v>0</v>
      </c>
      <c r="P604" t="n">
        <v>0</v>
      </c>
      <c r="Q604" t="n">
        <v>0</v>
      </c>
      <c r="R604" s="2" t="inlineStr"/>
    </row>
    <row r="605" ht="15" customHeight="1">
      <c r="A605" t="inlineStr">
        <is>
          <t>A 31383-2025</t>
        </is>
      </c>
      <c r="B605" s="1" t="n">
        <v>45833.45049768518</v>
      </c>
      <c r="C605" s="1" t="n">
        <v>46047</v>
      </c>
      <c r="D605" t="inlineStr">
        <is>
          <t>UPPSALA LÄN</t>
        </is>
      </c>
      <c r="E605" t="inlineStr">
        <is>
          <t>TIERP</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34035-2025</t>
        </is>
      </c>
      <c r="B606" s="1" t="n">
        <v>45845.36872685186</v>
      </c>
      <c r="C606" s="1" t="n">
        <v>46047</v>
      </c>
      <c r="D606" t="inlineStr">
        <is>
          <t>UPPSALA LÄN</t>
        </is>
      </c>
      <c r="E606" t="inlineStr">
        <is>
          <t>TIERP</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34730-2025</t>
        </is>
      </c>
      <c r="B607" s="1" t="n">
        <v>45848.58708333333</v>
      </c>
      <c r="C607" s="1" t="n">
        <v>46047</v>
      </c>
      <c r="D607" t="inlineStr">
        <is>
          <t>UPPSALA LÄN</t>
        </is>
      </c>
      <c r="E607" t="inlineStr">
        <is>
          <t>TIERP</t>
        </is>
      </c>
      <c r="G607" t="n">
        <v>0.8</v>
      </c>
      <c r="H607" t="n">
        <v>0</v>
      </c>
      <c r="I607" t="n">
        <v>0</v>
      </c>
      <c r="J607" t="n">
        <v>0</v>
      </c>
      <c r="K607" t="n">
        <v>0</v>
      </c>
      <c r="L607" t="n">
        <v>0</v>
      </c>
      <c r="M607" t="n">
        <v>0</v>
      </c>
      <c r="N607" t="n">
        <v>0</v>
      </c>
      <c r="O607" t="n">
        <v>0</v>
      </c>
      <c r="P607" t="n">
        <v>0</v>
      </c>
      <c r="Q607" t="n">
        <v>0</v>
      </c>
      <c r="R607" s="2" t="inlineStr"/>
    </row>
    <row r="608" ht="15" customHeight="1">
      <c r="A608" t="inlineStr">
        <is>
          <t>A 43871-2025</t>
        </is>
      </c>
      <c r="B608" s="1" t="n">
        <v>45912.66787037037</v>
      </c>
      <c r="C608" s="1" t="n">
        <v>46047</v>
      </c>
      <c r="D608" t="inlineStr">
        <is>
          <t>UPPSALA LÄN</t>
        </is>
      </c>
      <c r="E608" t="inlineStr">
        <is>
          <t>TIERP</t>
        </is>
      </c>
      <c r="G608" t="n">
        <v>3.9</v>
      </c>
      <c r="H608" t="n">
        <v>0</v>
      </c>
      <c r="I608" t="n">
        <v>0</v>
      </c>
      <c r="J608" t="n">
        <v>0</v>
      </c>
      <c r="K608" t="n">
        <v>0</v>
      </c>
      <c r="L608" t="n">
        <v>0</v>
      </c>
      <c r="M608" t="n">
        <v>0</v>
      </c>
      <c r="N608" t="n">
        <v>0</v>
      </c>
      <c r="O608" t="n">
        <v>0</v>
      </c>
      <c r="P608" t="n">
        <v>0</v>
      </c>
      <c r="Q608" t="n">
        <v>0</v>
      </c>
      <c r="R608" s="2" t="inlineStr"/>
    </row>
    <row r="609" ht="15" customHeight="1">
      <c r="A609" t="inlineStr">
        <is>
          <t>A 43874-2025</t>
        </is>
      </c>
      <c r="B609" s="1" t="n">
        <v>45912.67517361111</v>
      </c>
      <c r="C609" s="1" t="n">
        <v>46047</v>
      </c>
      <c r="D609" t="inlineStr">
        <is>
          <t>UPPSALA LÄN</t>
        </is>
      </c>
      <c r="E609" t="inlineStr">
        <is>
          <t>TIERP</t>
        </is>
      </c>
      <c r="G609" t="n">
        <v>0.4</v>
      </c>
      <c r="H609" t="n">
        <v>0</v>
      </c>
      <c r="I609" t="n">
        <v>0</v>
      </c>
      <c r="J609" t="n">
        <v>0</v>
      </c>
      <c r="K609" t="n">
        <v>0</v>
      </c>
      <c r="L609" t="n">
        <v>0</v>
      </c>
      <c r="M609" t="n">
        <v>0</v>
      </c>
      <c r="N609" t="n">
        <v>0</v>
      </c>
      <c r="O609" t="n">
        <v>0</v>
      </c>
      <c r="P609" t="n">
        <v>0</v>
      </c>
      <c r="Q609" t="n">
        <v>0</v>
      </c>
      <c r="R609" s="2" t="inlineStr"/>
    </row>
    <row r="610" ht="15" customHeight="1">
      <c r="A610" t="inlineStr">
        <is>
          <t>A 30110-2024</t>
        </is>
      </c>
      <c r="B610" s="1" t="n">
        <v>45489</v>
      </c>
      <c r="C610" s="1" t="n">
        <v>46047</v>
      </c>
      <c r="D610" t="inlineStr">
        <is>
          <t>UPPSALA LÄN</t>
        </is>
      </c>
      <c r="E610" t="inlineStr">
        <is>
          <t>TIERP</t>
        </is>
      </c>
      <c r="G610" t="n">
        <v>1.4</v>
      </c>
      <c r="H610" t="n">
        <v>0</v>
      </c>
      <c r="I610" t="n">
        <v>0</v>
      </c>
      <c r="J610" t="n">
        <v>0</v>
      </c>
      <c r="K610" t="n">
        <v>0</v>
      </c>
      <c r="L610" t="n">
        <v>0</v>
      </c>
      <c r="M610" t="n">
        <v>0</v>
      </c>
      <c r="N610" t="n">
        <v>0</v>
      </c>
      <c r="O610" t="n">
        <v>0</v>
      </c>
      <c r="P610" t="n">
        <v>0</v>
      </c>
      <c r="Q610" t="n">
        <v>0</v>
      </c>
      <c r="R610" s="2" t="inlineStr"/>
    </row>
    <row r="611" ht="15" customHeight="1">
      <c r="A611" t="inlineStr">
        <is>
          <t>A 56350-2022</t>
        </is>
      </c>
      <c r="B611" s="1" t="n">
        <v>44890</v>
      </c>
      <c r="C611" s="1" t="n">
        <v>46047</v>
      </c>
      <c r="D611" t="inlineStr">
        <is>
          <t>UPPSALA LÄN</t>
        </is>
      </c>
      <c r="E611" t="inlineStr">
        <is>
          <t>TIERP</t>
        </is>
      </c>
      <c r="G611" t="n">
        <v>3.3</v>
      </c>
      <c r="H611" t="n">
        <v>0</v>
      </c>
      <c r="I611" t="n">
        <v>0</v>
      </c>
      <c r="J611" t="n">
        <v>0</v>
      </c>
      <c r="K611" t="n">
        <v>0</v>
      </c>
      <c r="L611" t="n">
        <v>0</v>
      </c>
      <c r="M611" t="n">
        <v>0</v>
      </c>
      <c r="N611" t="n">
        <v>0</v>
      </c>
      <c r="O611" t="n">
        <v>0</v>
      </c>
      <c r="P611" t="n">
        <v>0</v>
      </c>
      <c r="Q611" t="n">
        <v>0</v>
      </c>
      <c r="R611" s="2" t="inlineStr"/>
    </row>
    <row r="612" ht="15" customHeight="1">
      <c r="A612" t="inlineStr">
        <is>
          <t>A 22672-2023</t>
        </is>
      </c>
      <c r="B612" s="1" t="n">
        <v>45071.64012731481</v>
      </c>
      <c r="C612" s="1" t="n">
        <v>46047</v>
      </c>
      <c r="D612" t="inlineStr">
        <is>
          <t>UPPSALA LÄN</t>
        </is>
      </c>
      <c r="E612" t="inlineStr">
        <is>
          <t>TIERP</t>
        </is>
      </c>
      <c r="G612" t="n">
        <v>1.5</v>
      </c>
      <c r="H612" t="n">
        <v>0</v>
      </c>
      <c r="I612" t="n">
        <v>0</v>
      </c>
      <c r="J612" t="n">
        <v>0</v>
      </c>
      <c r="K612" t="n">
        <v>0</v>
      </c>
      <c r="L612" t="n">
        <v>0</v>
      </c>
      <c r="M612" t="n">
        <v>0</v>
      </c>
      <c r="N612" t="n">
        <v>0</v>
      </c>
      <c r="O612" t="n">
        <v>0</v>
      </c>
      <c r="P612" t="n">
        <v>0</v>
      </c>
      <c r="Q612" t="n">
        <v>0</v>
      </c>
      <c r="R612" s="2" t="inlineStr"/>
    </row>
    <row r="613" ht="15" customHeight="1">
      <c r="A613" t="inlineStr">
        <is>
          <t>A 59923-2023</t>
        </is>
      </c>
      <c r="B613" s="1" t="n">
        <v>45257.65261574074</v>
      </c>
      <c r="C613" s="1" t="n">
        <v>46047</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56947-2022</t>
        </is>
      </c>
      <c r="B614" s="1" t="n">
        <v>44894</v>
      </c>
      <c r="C614" s="1" t="n">
        <v>46047</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47505-2024</t>
        </is>
      </c>
      <c r="B615" s="1" t="n">
        <v>45587.60459490741</v>
      </c>
      <c r="C615" s="1" t="n">
        <v>46047</v>
      </c>
      <c r="D615" t="inlineStr">
        <is>
          <t>UPPSALA LÄN</t>
        </is>
      </c>
      <c r="E615" t="inlineStr">
        <is>
          <t>TIERP</t>
        </is>
      </c>
      <c r="G615" t="n">
        <v>0.4</v>
      </c>
      <c r="H615" t="n">
        <v>0</v>
      </c>
      <c r="I615" t="n">
        <v>0</v>
      </c>
      <c r="J615" t="n">
        <v>0</v>
      </c>
      <c r="K615" t="n">
        <v>0</v>
      </c>
      <c r="L615" t="n">
        <v>0</v>
      </c>
      <c r="M615" t="n">
        <v>0</v>
      </c>
      <c r="N615" t="n">
        <v>0</v>
      </c>
      <c r="O615" t="n">
        <v>0</v>
      </c>
      <c r="P615" t="n">
        <v>0</v>
      </c>
      <c r="Q615" t="n">
        <v>0</v>
      </c>
      <c r="R615" s="2" t="inlineStr"/>
    </row>
    <row r="616" ht="15" customHeight="1">
      <c r="A616" t="inlineStr">
        <is>
          <t>A 45769-2022</t>
        </is>
      </c>
      <c r="B616" s="1" t="n">
        <v>44846.38762731481</v>
      </c>
      <c r="C616" s="1" t="n">
        <v>46047</v>
      </c>
      <c r="D616" t="inlineStr">
        <is>
          <t>UPPSALA LÄN</t>
        </is>
      </c>
      <c r="E616" t="inlineStr">
        <is>
          <t>TIERP</t>
        </is>
      </c>
      <c r="G616" t="n">
        <v>1.2</v>
      </c>
      <c r="H616" t="n">
        <v>0</v>
      </c>
      <c r="I616" t="n">
        <v>0</v>
      </c>
      <c r="J616" t="n">
        <v>0</v>
      </c>
      <c r="K616" t="n">
        <v>0</v>
      </c>
      <c r="L616" t="n">
        <v>0</v>
      </c>
      <c r="M616" t="n">
        <v>0</v>
      </c>
      <c r="N616" t="n">
        <v>0</v>
      </c>
      <c r="O616" t="n">
        <v>0</v>
      </c>
      <c r="P616" t="n">
        <v>0</v>
      </c>
      <c r="Q616" t="n">
        <v>0</v>
      </c>
      <c r="R616" s="2" t="inlineStr"/>
    </row>
    <row r="617" ht="15" customHeight="1">
      <c r="A617" t="inlineStr">
        <is>
          <t>A 43873-2025</t>
        </is>
      </c>
      <c r="B617" s="1" t="n">
        <v>45912.67254629629</v>
      </c>
      <c r="C617" s="1" t="n">
        <v>46047</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1056-2025</t>
        </is>
      </c>
      <c r="B618" s="1" t="n">
        <v>45666</v>
      </c>
      <c r="C618" s="1" t="n">
        <v>46047</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22528-2025</t>
        </is>
      </c>
      <c r="B619" s="1" t="n">
        <v>45786</v>
      </c>
      <c r="C619" s="1" t="n">
        <v>46047</v>
      </c>
      <c r="D619" t="inlineStr">
        <is>
          <t>UPPSALA LÄN</t>
        </is>
      </c>
      <c r="E619" t="inlineStr">
        <is>
          <t>TIERP</t>
        </is>
      </c>
      <c r="F619" t="inlineStr">
        <is>
          <t>Övriga Aktiebolag</t>
        </is>
      </c>
      <c r="G619" t="n">
        <v>7.7</v>
      </c>
      <c r="H619" t="n">
        <v>0</v>
      </c>
      <c r="I619" t="n">
        <v>0</v>
      </c>
      <c r="J619" t="n">
        <v>0</v>
      </c>
      <c r="K619" t="n">
        <v>0</v>
      </c>
      <c r="L619" t="n">
        <v>0</v>
      </c>
      <c r="M619" t="n">
        <v>0</v>
      </c>
      <c r="N619" t="n">
        <v>0</v>
      </c>
      <c r="O619" t="n">
        <v>0</v>
      </c>
      <c r="P619" t="n">
        <v>0</v>
      </c>
      <c r="Q619" t="n">
        <v>0</v>
      </c>
      <c r="R619" s="2" t="inlineStr"/>
    </row>
    <row r="620" ht="15" customHeight="1">
      <c r="A620" t="inlineStr">
        <is>
          <t>A 35195-2025</t>
        </is>
      </c>
      <c r="B620" s="1" t="n">
        <v>45853.36192129629</v>
      </c>
      <c r="C620" s="1" t="n">
        <v>46047</v>
      </c>
      <c r="D620" t="inlineStr">
        <is>
          <t>UPPSALA LÄN</t>
        </is>
      </c>
      <c r="E620" t="inlineStr">
        <is>
          <t>TIERP</t>
        </is>
      </c>
      <c r="G620" t="n">
        <v>0.9</v>
      </c>
      <c r="H620" t="n">
        <v>0</v>
      </c>
      <c r="I620" t="n">
        <v>0</v>
      </c>
      <c r="J620" t="n">
        <v>0</v>
      </c>
      <c r="K620" t="n">
        <v>0</v>
      </c>
      <c r="L620" t="n">
        <v>0</v>
      </c>
      <c r="M620" t="n">
        <v>0</v>
      </c>
      <c r="N620" t="n">
        <v>0</v>
      </c>
      <c r="O620" t="n">
        <v>0</v>
      </c>
      <c r="P620" t="n">
        <v>0</v>
      </c>
      <c r="Q620" t="n">
        <v>0</v>
      </c>
      <c r="R620" s="2" t="inlineStr"/>
    </row>
    <row r="621" ht="15" customHeight="1">
      <c r="A621" t="inlineStr">
        <is>
          <t>A 1384-2023</t>
        </is>
      </c>
      <c r="B621" s="1" t="n">
        <v>44936</v>
      </c>
      <c r="C621" s="1" t="n">
        <v>46047</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57822-2024</t>
        </is>
      </c>
      <c r="B622" s="1" t="n">
        <v>45631.38398148148</v>
      </c>
      <c r="C622" s="1" t="n">
        <v>46047</v>
      </c>
      <c r="D622" t="inlineStr">
        <is>
          <t>UPPSALA LÄN</t>
        </is>
      </c>
      <c r="E622" t="inlineStr">
        <is>
          <t>TIERP</t>
        </is>
      </c>
      <c r="G622" t="n">
        <v>1.3</v>
      </c>
      <c r="H622" t="n">
        <v>0</v>
      </c>
      <c r="I622" t="n">
        <v>0</v>
      </c>
      <c r="J622" t="n">
        <v>0</v>
      </c>
      <c r="K622" t="n">
        <v>0</v>
      </c>
      <c r="L622" t="n">
        <v>0</v>
      </c>
      <c r="M622" t="n">
        <v>0</v>
      </c>
      <c r="N622" t="n">
        <v>0</v>
      </c>
      <c r="O622" t="n">
        <v>0</v>
      </c>
      <c r="P622" t="n">
        <v>0</v>
      </c>
      <c r="Q622" t="n">
        <v>0</v>
      </c>
      <c r="R622" s="2" t="inlineStr"/>
    </row>
    <row r="623" ht="15" customHeight="1">
      <c r="A623" t="inlineStr">
        <is>
          <t>A 44612-2025</t>
        </is>
      </c>
      <c r="B623" s="1" t="n">
        <v>45917.45171296296</v>
      </c>
      <c r="C623" s="1" t="n">
        <v>46047</v>
      </c>
      <c r="D623" t="inlineStr">
        <is>
          <t>UPPSALA LÄN</t>
        </is>
      </c>
      <c r="E623" t="inlineStr">
        <is>
          <t>TIERP</t>
        </is>
      </c>
      <c r="G623" t="n">
        <v>2.6</v>
      </c>
      <c r="H623" t="n">
        <v>0</v>
      </c>
      <c r="I623" t="n">
        <v>0</v>
      </c>
      <c r="J623" t="n">
        <v>0</v>
      </c>
      <c r="K623" t="n">
        <v>0</v>
      </c>
      <c r="L623" t="n">
        <v>0</v>
      </c>
      <c r="M623" t="n">
        <v>0</v>
      </c>
      <c r="N623" t="n">
        <v>0</v>
      </c>
      <c r="O623" t="n">
        <v>0</v>
      </c>
      <c r="P623" t="n">
        <v>0</v>
      </c>
      <c r="Q623" t="n">
        <v>0</v>
      </c>
      <c r="R623" s="2" t="inlineStr"/>
    </row>
    <row r="624" ht="15" customHeight="1">
      <c r="A624" t="inlineStr">
        <is>
          <t>A 55816-2024</t>
        </is>
      </c>
      <c r="B624" s="1" t="n">
        <v>45623.47248842593</v>
      </c>
      <c r="C624" s="1" t="n">
        <v>46047</v>
      </c>
      <c r="D624" t="inlineStr">
        <is>
          <t>UPPSALA LÄN</t>
        </is>
      </c>
      <c r="E624" t="inlineStr">
        <is>
          <t>TIERP</t>
        </is>
      </c>
      <c r="G624" t="n">
        <v>5.2</v>
      </c>
      <c r="H624" t="n">
        <v>0</v>
      </c>
      <c r="I624" t="n">
        <v>0</v>
      </c>
      <c r="J624" t="n">
        <v>0</v>
      </c>
      <c r="K624" t="n">
        <v>0</v>
      </c>
      <c r="L624" t="n">
        <v>0</v>
      </c>
      <c r="M624" t="n">
        <v>0</v>
      </c>
      <c r="N624" t="n">
        <v>0</v>
      </c>
      <c r="O624" t="n">
        <v>0</v>
      </c>
      <c r="P624" t="n">
        <v>0</v>
      </c>
      <c r="Q624" t="n">
        <v>0</v>
      </c>
      <c r="R624" s="2" t="inlineStr"/>
    </row>
    <row r="625" ht="15" customHeight="1">
      <c r="A625" t="inlineStr">
        <is>
          <t>A 45310-2025</t>
        </is>
      </c>
      <c r="B625" s="1" t="n">
        <v>45921.71658564815</v>
      </c>
      <c r="C625" s="1" t="n">
        <v>46047</v>
      </c>
      <c r="D625" t="inlineStr">
        <is>
          <t>UPPSALA LÄN</t>
        </is>
      </c>
      <c r="E625" t="inlineStr">
        <is>
          <t>TIERP</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45308-2025</t>
        </is>
      </c>
      <c r="B626" s="1" t="n">
        <v>45921.71239583333</v>
      </c>
      <c r="C626" s="1" t="n">
        <v>46047</v>
      </c>
      <c r="D626" t="inlineStr">
        <is>
          <t>UPPSALA LÄN</t>
        </is>
      </c>
      <c r="E626" t="inlineStr">
        <is>
          <t>TIERP</t>
        </is>
      </c>
      <c r="F626" t="inlineStr">
        <is>
          <t>Bergvik skog väst AB</t>
        </is>
      </c>
      <c r="G626" t="n">
        <v>0.3</v>
      </c>
      <c r="H626" t="n">
        <v>0</v>
      </c>
      <c r="I626" t="n">
        <v>0</v>
      </c>
      <c r="J626" t="n">
        <v>0</v>
      </c>
      <c r="K626" t="n">
        <v>0</v>
      </c>
      <c r="L626" t="n">
        <v>0</v>
      </c>
      <c r="M626" t="n">
        <v>0</v>
      </c>
      <c r="N626" t="n">
        <v>0</v>
      </c>
      <c r="O626" t="n">
        <v>0</v>
      </c>
      <c r="P626" t="n">
        <v>0</v>
      </c>
      <c r="Q626" t="n">
        <v>0</v>
      </c>
      <c r="R626" s="2" t="inlineStr"/>
    </row>
    <row r="627" ht="15" customHeight="1">
      <c r="A627" t="inlineStr">
        <is>
          <t>A 45586-2025</t>
        </is>
      </c>
      <c r="B627" s="1" t="n">
        <v>45922.66908564815</v>
      </c>
      <c r="C627" s="1" t="n">
        <v>46047</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45449-2025</t>
        </is>
      </c>
      <c r="B628" s="1" t="n">
        <v>45922.48269675926</v>
      </c>
      <c r="C628" s="1" t="n">
        <v>46047</v>
      </c>
      <c r="D628" t="inlineStr">
        <is>
          <t>UPPSALA LÄN</t>
        </is>
      </c>
      <c r="E628" t="inlineStr">
        <is>
          <t>TIERP</t>
        </is>
      </c>
      <c r="G628" t="n">
        <v>3.2</v>
      </c>
      <c r="H628" t="n">
        <v>0</v>
      </c>
      <c r="I628" t="n">
        <v>0</v>
      </c>
      <c r="J628" t="n">
        <v>0</v>
      </c>
      <c r="K628" t="n">
        <v>0</v>
      </c>
      <c r="L628" t="n">
        <v>0</v>
      </c>
      <c r="M628" t="n">
        <v>0</v>
      </c>
      <c r="N628" t="n">
        <v>0</v>
      </c>
      <c r="O628" t="n">
        <v>0</v>
      </c>
      <c r="P628" t="n">
        <v>0</v>
      </c>
      <c r="Q628" t="n">
        <v>0</v>
      </c>
      <c r="R628" s="2" t="inlineStr"/>
    </row>
    <row r="629" ht="15" customHeight="1">
      <c r="A629" t="inlineStr">
        <is>
          <t>A 45309-2025</t>
        </is>
      </c>
      <c r="B629" s="1" t="n">
        <v>45921.71451388889</v>
      </c>
      <c r="C629" s="1" t="n">
        <v>46047</v>
      </c>
      <c r="D629" t="inlineStr">
        <is>
          <t>UPPSALA LÄN</t>
        </is>
      </c>
      <c r="E629" t="inlineStr">
        <is>
          <t>TIERP</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45311-2025</t>
        </is>
      </c>
      <c r="B630" s="1" t="n">
        <v>45921.71875</v>
      </c>
      <c r="C630" s="1" t="n">
        <v>46047</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45328-2025</t>
        </is>
      </c>
      <c r="B631" s="1" t="n">
        <v>45922.33063657407</v>
      </c>
      <c r="C631" s="1" t="n">
        <v>46047</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36069-2021</t>
        </is>
      </c>
      <c r="B632" s="1" t="n">
        <v>44389</v>
      </c>
      <c r="C632" s="1" t="n">
        <v>46047</v>
      </c>
      <c r="D632" t="inlineStr">
        <is>
          <t>UPPSALA LÄN</t>
        </is>
      </c>
      <c r="E632" t="inlineStr">
        <is>
          <t>TIERP</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46390-2025</t>
        </is>
      </c>
      <c r="B633" s="1" t="n">
        <v>45925.54199074074</v>
      </c>
      <c r="C633" s="1" t="n">
        <v>46047</v>
      </c>
      <c r="D633" t="inlineStr">
        <is>
          <t>UPPSALA LÄN</t>
        </is>
      </c>
      <c r="E633" t="inlineStr">
        <is>
          <t>TIERP</t>
        </is>
      </c>
      <c r="F633" t="inlineStr">
        <is>
          <t>Bergvik skog öst AB</t>
        </is>
      </c>
      <c r="G633" t="n">
        <v>16.3</v>
      </c>
      <c r="H633" t="n">
        <v>0</v>
      </c>
      <c r="I633" t="n">
        <v>0</v>
      </c>
      <c r="J633" t="n">
        <v>0</v>
      </c>
      <c r="K633" t="n">
        <v>0</v>
      </c>
      <c r="L633" t="n">
        <v>0</v>
      </c>
      <c r="M633" t="n">
        <v>0</v>
      </c>
      <c r="N633" t="n">
        <v>0</v>
      </c>
      <c r="O633" t="n">
        <v>0</v>
      </c>
      <c r="P633" t="n">
        <v>0</v>
      </c>
      <c r="Q633" t="n">
        <v>0</v>
      </c>
      <c r="R633" s="2" t="inlineStr"/>
    </row>
    <row r="634" ht="15" customHeight="1">
      <c r="A634" t="inlineStr">
        <is>
          <t>A 54764-2022</t>
        </is>
      </c>
      <c r="B634" s="1" t="n">
        <v>44883</v>
      </c>
      <c r="C634" s="1" t="n">
        <v>46047</v>
      </c>
      <c r="D634" t="inlineStr">
        <is>
          <t>UPPSALA LÄN</t>
        </is>
      </c>
      <c r="E634" t="inlineStr">
        <is>
          <t>TIERP</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46842-2025</t>
        </is>
      </c>
      <c r="B635" s="1" t="n">
        <v>45928.59989583334</v>
      </c>
      <c r="C635" s="1" t="n">
        <v>46047</v>
      </c>
      <c r="D635" t="inlineStr">
        <is>
          <t>UPPSALA LÄN</t>
        </is>
      </c>
      <c r="E635" t="inlineStr">
        <is>
          <t>TIERP</t>
        </is>
      </c>
      <c r="F635" t="inlineStr">
        <is>
          <t>Bergvik skog väst AB</t>
        </is>
      </c>
      <c r="G635" t="n">
        <v>0.5</v>
      </c>
      <c r="H635" t="n">
        <v>0</v>
      </c>
      <c r="I635" t="n">
        <v>0</v>
      </c>
      <c r="J635" t="n">
        <v>0</v>
      </c>
      <c r="K635" t="n">
        <v>0</v>
      </c>
      <c r="L635" t="n">
        <v>0</v>
      </c>
      <c r="M635" t="n">
        <v>0</v>
      </c>
      <c r="N635" t="n">
        <v>0</v>
      </c>
      <c r="O635" t="n">
        <v>0</v>
      </c>
      <c r="P635" t="n">
        <v>0</v>
      </c>
      <c r="Q635" t="n">
        <v>0</v>
      </c>
      <c r="R635" s="2" t="inlineStr"/>
    </row>
    <row r="636" ht="15" customHeight="1">
      <c r="A636" t="inlineStr">
        <is>
          <t>A 46952-2025</t>
        </is>
      </c>
      <c r="B636" s="1" t="n">
        <v>45929.471875</v>
      </c>
      <c r="C636" s="1" t="n">
        <v>46047</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46843-2025</t>
        </is>
      </c>
      <c r="B637" s="1" t="n">
        <v>45928.60292824074</v>
      </c>
      <c r="C637" s="1" t="n">
        <v>46047</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46844-2025</t>
        </is>
      </c>
      <c r="B638" s="1" t="n">
        <v>45928.60719907407</v>
      </c>
      <c r="C638" s="1" t="n">
        <v>46047</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46644-2025</t>
        </is>
      </c>
      <c r="B639" s="1" t="n">
        <v>45926.47443287037</v>
      </c>
      <c r="C639" s="1" t="n">
        <v>46047</v>
      </c>
      <c r="D639" t="inlineStr">
        <is>
          <t>UPPSALA LÄN</t>
        </is>
      </c>
      <c r="E639" t="inlineStr">
        <is>
          <t>TIERP</t>
        </is>
      </c>
      <c r="G639" t="n">
        <v>2.1</v>
      </c>
      <c r="H639" t="n">
        <v>0</v>
      </c>
      <c r="I639" t="n">
        <v>0</v>
      </c>
      <c r="J639" t="n">
        <v>0</v>
      </c>
      <c r="K639" t="n">
        <v>0</v>
      </c>
      <c r="L639" t="n">
        <v>0</v>
      </c>
      <c r="M639" t="n">
        <v>0</v>
      </c>
      <c r="N639" t="n">
        <v>0</v>
      </c>
      <c r="O639" t="n">
        <v>0</v>
      </c>
      <c r="P639" t="n">
        <v>0</v>
      </c>
      <c r="Q639" t="n">
        <v>0</v>
      </c>
      <c r="R639" s="2" t="inlineStr"/>
    </row>
    <row r="640" ht="15" customHeight="1">
      <c r="A640" t="inlineStr">
        <is>
          <t>A 39928-2023</t>
        </is>
      </c>
      <c r="B640" s="1" t="n">
        <v>45167</v>
      </c>
      <c r="C640" s="1" t="n">
        <v>46047</v>
      </c>
      <c r="D640" t="inlineStr">
        <is>
          <t>UPPSALA LÄN</t>
        </is>
      </c>
      <c r="E640" t="inlineStr">
        <is>
          <t>TIERP</t>
        </is>
      </c>
      <c r="G640" t="n">
        <v>2.1</v>
      </c>
      <c r="H640" t="n">
        <v>0</v>
      </c>
      <c r="I640" t="n">
        <v>0</v>
      </c>
      <c r="J640" t="n">
        <v>0</v>
      </c>
      <c r="K640" t="n">
        <v>0</v>
      </c>
      <c r="L640" t="n">
        <v>0</v>
      </c>
      <c r="M640" t="n">
        <v>0</v>
      </c>
      <c r="N640" t="n">
        <v>0</v>
      </c>
      <c r="O640" t="n">
        <v>0</v>
      </c>
      <c r="P640" t="n">
        <v>0</v>
      </c>
      <c r="Q640" t="n">
        <v>0</v>
      </c>
      <c r="R640" s="2" t="inlineStr"/>
    </row>
    <row r="641" ht="15" customHeight="1">
      <c r="A641" t="inlineStr">
        <is>
          <t>A 61717-2022</t>
        </is>
      </c>
      <c r="B641" s="1" t="n">
        <v>44917</v>
      </c>
      <c r="C641" s="1" t="n">
        <v>46047</v>
      </c>
      <c r="D641" t="inlineStr">
        <is>
          <t>UPPSALA LÄN</t>
        </is>
      </c>
      <c r="E641" t="inlineStr">
        <is>
          <t>TIERP</t>
        </is>
      </c>
      <c r="G641" t="n">
        <v>3.2</v>
      </c>
      <c r="H641" t="n">
        <v>0</v>
      </c>
      <c r="I641" t="n">
        <v>0</v>
      </c>
      <c r="J641" t="n">
        <v>0</v>
      </c>
      <c r="K641" t="n">
        <v>0</v>
      </c>
      <c r="L641" t="n">
        <v>0</v>
      </c>
      <c r="M641" t="n">
        <v>0</v>
      </c>
      <c r="N641" t="n">
        <v>0</v>
      </c>
      <c r="O641" t="n">
        <v>0</v>
      </c>
      <c r="P641" t="n">
        <v>0</v>
      </c>
      <c r="Q641" t="n">
        <v>0</v>
      </c>
      <c r="R641" s="2" t="inlineStr"/>
    </row>
    <row r="642" ht="15" customHeight="1">
      <c r="A642" t="inlineStr">
        <is>
          <t>A 36561-2022</t>
        </is>
      </c>
      <c r="B642" s="1" t="n">
        <v>44804</v>
      </c>
      <c r="C642" s="1" t="n">
        <v>46047</v>
      </c>
      <c r="D642" t="inlineStr">
        <is>
          <t>UPPSALA LÄN</t>
        </is>
      </c>
      <c r="E642" t="inlineStr">
        <is>
          <t>TIERP</t>
        </is>
      </c>
      <c r="G642" t="n">
        <v>0.3</v>
      </c>
      <c r="H642" t="n">
        <v>0</v>
      </c>
      <c r="I642" t="n">
        <v>0</v>
      </c>
      <c r="J642" t="n">
        <v>0</v>
      </c>
      <c r="K642" t="n">
        <v>0</v>
      </c>
      <c r="L642" t="n">
        <v>0</v>
      </c>
      <c r="M642" t="n">
        <v>0</v>
      </c>
      <c r="N642" t="n">
        <v>0</v>
      </c>
      <c r="O642" t="n">
        <v>0</v>
      </c>
      <c r="P642" t="n">
        <v>0</v>
      </c>
      <c r="Q642" t="n">
        <v>0</v>
      </c>
      <c r="R642" s="2" t="inlineStr"/>
    </row>
    <row r="643" ht="15" customHeight="1">
      <c r="A643" t="inlineStr">
        <is>
          <t>A 19172-2023</t>
        </is>
      </c>
      <c r="B643" s="1" t="n">
        <v>45046</v>
      </c>
      <c r="C643" s="1" t="n">
        <v>46047</v>
      </c>
      <c r="D643" t="inlineStr">
        <is>
          <t>UPPSALA LÄN</t>
        </is>
      </c>
      <c r="E643" t="inlineStr">
        <is>
          <t>TIERP</t>
        </is>
      </c>
      <c r="G643" t="n">
        <v>1</v>
      </c>
      <c r="H643" t="n">
        <v>0</v>
      </c>
      <c r="I643" t="n">
        <v>0</v>
      </c>
      <c r="J643" t="n">
        <v>0</v>
      </c>
      <c r="K643" t="n">
        <v>0</v>
      </c>
      <c r="L643" t="n">
        <v>0</v>
      </c>
      <c r="M643" t="n">
        <v>0</v>
      </c>
      <c r="N643" t="n">
        <v>0</v>
      </c>
      <c r="O643" t="n">
        <v>0</v>
      </c>
      <c r="P643" t="n">
        <v>0</v>
      </c>
      <c r="Q643" t="n">
        <v>0</v>
      </c>
      <c r="R643" s="2" t="inlineStr"/>
    </row>
    <row r="644" ht="15" customHeight="1">
      <c r="A644" t="inlineStr">
        <is>
          <t>A 14116-2024</t>
        </is>
      </c>
      <c r="B644" s="1" t="n">
        <v>45392.64703703704</v>
      </c>
      <c r="C644" s="1" t="n">
        <v>46047</v>
      </c>
      <c r="D644" t="inlineStr">
        <is>
          <t>UPPSALA LÄN</t>
        </is>
      </c>
      <c r="E644" t="inlineStr">
        <is>
          <t>TIERP</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46047</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18368-2025</t>
        </is>
      </c>
      <c r="B646" s="1" t="n">
        <v>45762.56429398148</v>
      </c>
      <c r="C646" s="1" t="n">
        <v>46047</v>
      </c>
      <c r="D646" t="inlineStr">
        <is>
          <t>UPPSALA LÄN</t>
        </is>
      </c>
      <c r="E646" t="inlineStr">
        <is>
          <t>TIERP</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46047</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11568-2025</t>
        </is>
      </c>
      <c r="B648" s="1" t="n">
        <v>45727.37728009259</v>
      </c>
      <c r="C648" s="1" t="n">
        <v>46047</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26380-2023</t>
        </is>
      </c>
      <c r="B649" s="1" t="n">
        <v>45092</v>
      </c>
      <c r="C649" s="1" t="n">
        <v>46047</v>
      </c>
      <c r="D649" t="inlineStr">
        <is>
          <t>UPPSALA LÄN</t>
        </is>
      </c>
      <c r="E649" t="inlineStr">
        <is>
          <t>TIERP</t>
        </is>
      </c>
      <c r="G649" t="n">
        <v>2.2</v>
      </c>
      <c r="H649" t="n">
        <v>0</v>
      </c>
      <c r="I649" t="n">
        <v>0</v>
      </c>
      <c r="J649" t="n">
        <v>0</v>
      </c>
      <c r="K649" t="n">
        <v>0</v>
      </c>
      <c r="L649" t="n">
        <v>0</v>
      </c>
      <c r="M649" t="n">
        <v>0</v>
      </c>
      <c r="N649" t="n">
        <v>0</v>
      </c>
      <c r="O649" t="n">
        <v>0</v>
      </c>
      <c r="P649" t="n">
        <v>0</v>
      </c>
      <c r="Q649" t="n">
        <v>0</v>
      </c>
      <c r="R649" s="2" t="inlineStr"/>
    </row>
    <row r="650" ht="15" customHeight="1">
      <c r="A650" t="inlineStr">
        <is>
          <t>A 18885-2025</t>
        </is>
      </c>
      <c r="B650" s="1" t="n">
        <v>45764.44233796297</v>
      </c>
      <c r="C650" s="1" t="n">
        <v>46047</v>
      </c>
      <c r="D650" t="inlineStr">
        <is>
          <t>UPPSALA LÄN</t>
        </is>
      </c>
      <c r="E650" t="inlineStr">
        <is>
          <t>TIERP</t>
        </is>
      </c>
      <c r="F650" t="inlineStr">
        <is>
          <t>Bergvik skog öst AB</t>
        </is>
      </c>
      <c r="G650" t="n">
        <v>4.7</v>
      </c>
      <c r="H650" t="n">
        <v>0</v>
      </c>
      <c r="I650" t="n">
        <v>0</v>
      </c>
      <c r="J650" t="n">
        <v>0</v>
      </c>
      <c r="K650" t="n">
        <v>0</v>
      </c>
      <c r="L650" t="n">
        <v>0</v>
      </c>
      <c r="M650" t="n">
        <v>0</v>
      </c>
      <c r="N650" t="n">
        <v>0</v>
      </c>
      <c r="O650" t="n">
        <v>0</v>
      </c>
      <c r="P650" t="n">
        <v>0</v>
      </c>
      <c r="Q650" t="n">
        <v>0</v>
      </c>
      <c r="R650" s="2" t="inlineStr"/>
    </row>
    <row r="651" ht="15" customHeight="1">
      <c r="A651" t="inlineStr">
        <is>
          <t>A 16852-2025</t>
        </is>
      </c>
      <c r="B651" s="1" t="n">
        <v>45754.72487268518</v>
      </c>
      <c r="C651" s="1" t="n">
        <v>46047</v>
      </c>
      <c r="D651" t="inlineStr">
        <is>
          <t>UPPSALA LÄN</t>
        </is>
      </c>
      <c r="E651" t="inlineStr">
        <is>
          <t>TIERP</t>
        </is>
      </c>
      <c r="G651" t="n">
        <v>5.2</v>
      </c>
      <c r="H651" t="n">
        <v>0</v>
      </c>
      <c r="I651" t="n">
        <v>0</v>
      </c>
      <c r="J651" t="n">
        <v>0</v>
      </c>
      <c r="K651" t="n">
        <v>0</v>
      </c>
      <c r="L651" t="n">
        <v>0</v>
      </c>
      <c r="M651" t="n">
        <v>0</v>
      </c>
      <c r="N651" t="n">
        <v>0</v>
      </c>
      <c r="O651" t="n">
        <v>0</v>
      </c>
      <c r="P651" t="n">
        <v>0</v>
      </c>
      <c r="Q651" t="n">
        <v>0</v>
      </c>
      <c r="R651" s="2" t="inlineStr"/>
    </row>
    <row r="652" ht="15" customHeight="1">
      <c r="A652" t="inlineStr">
        <is>
          <t>A 13687-2024</t>
        </is>
      </c>
      <c r="B652" s="1" t="n">
        <v>45390.5662962963</v>
      </c>
      <c r="C652" s="1" t="n">
        <v>46047</v>
      </c>
      <c r="D652" t="inlineStr">
        <is>
          <t>UPPSALA LÄN</t>
        </is>
      </c>
      <c r="E652" t="inlineStr">
        <is>
          <t>TIERP</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16791-2023</t>
        </is>
      </c>
      <c r="B653" s="1" t="n">
        <v>45033</v>
      </c>
      <c r="C653" s="1" t="n">
        <v>46047</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59597-2024</t>
        </is>
      </c>
      <c r="B654" s="1" t="n">
        <v>45638</v>
      </c>
      <c r="C654" s="1" t="n">
        <v>46047</v>
      </c>
      <c r="D654" t="inlineStr">
        <is>
          <t>UPPSALA LÄN</t>
        </is>
      </c>
      <c r="E654" t="inlineStr">
        <is>
          <t>TIERP</t>
        </is>
      </c>
      <c r="G654" t="n">
        <v>0.5</v>
      </c>
      <c r="H654" t="n">
        <v>0</v>
      </c>
      <c r="I654" t="n">
        <v>0</v>
      </c>
      <c r="J654" t="n">
        <v>0</v>
      </c>
      <c r="K654" t="n">
        <v>0</v>
      </c>
      <c r="L654" t="n">
        <v>0</v>
      </c>
      <c r="M654" t="n">
        <v>0</v>
      </c>
      <c r="N654" t="n">
        <v>0</v>
      </c>
      <c r="O654" t="n">
        <v>0</v>
      </c>
      <c r="P654" t="n">
        <v>0</v>
      </c>
      <c r="Q654" t="n">
        <v>0</v>
      </c>
      <c r="R654" s="2" t="inlineStr"/>
    </row>
    <row r="655" ht="15" customHeight="1">
      <c r="A655" t="inlineStr">
        <is>
          <t>A 48523-2025</t>
        </is>
      </c>
      <c r="B655" s="1" t="n">
        <v>45936.40495370371</v>
      </c>
      <c r="C655" s="1" t="n">
        <v>46047</v>
      </c>
      <c r="D655" t="inlineStr">
        <is>
          <t>UPPSALA LÄN</t>
        </is>
      </c>
      <c r="E655" t="inlineStr">
        <is>
          <t>TIERP</t>
        </is>
      </c>
      <c r="F655" t="inlineStr">
        <is>
          <t>Bergvik skog väst AB</t>
        </is>
      </c>
      <c r="G655" t="n">
        <v>16.4</v>
      </c>
      <c r="H655" t="n">
        <v>0</v>
      </c>
      <c r="I655" t="n">
        <v>0</v>
      </c>
      <c r="J655" t="n">
        <v>0</v>
      </c>
      <c r="K655" t="n">
        <v>0</v>
      </c>
      <c r="L655" t="n">
        <v>0</v>
      </c>
      <c r="M655" t="n">
        <v>0</v>
      </c>
      <c r="N655" t="n">
        <v>0</v>
      </c>
      <c r="O655" t="n">
        <v>0</v>
      </c>
      <c r="P655" t="n">
        <v>0</v>
      </c>
      <c r="Q655" t="n">
        <v>0</v>
      </c>
      <c r="R655" s="2" t="inlineStr"/>
    </row>
    <row r="656" ht="15" customHeight="1">
      <c r="A656" t="inlineStr">
        <is>
          <t>A 48674-2025</t>
        </is>
      </c>
      <c r="B656" s="1" t="n">
        <v>45936.58931712963</v>
      </c>
      <c r="C656" s="1" t="n">
        <v>46047</v>
      </c>
      <c r="D656" t="inlineStr">
        <is>
          <t>UPPSALA LÄN</t>
        </is>
      </c>
      <c r="E656" t="inlineStr">
        <is>
          <t>TIERP</t>
        </is>
      </c>
      <c r="G656" t="n">
        <v>4.7</v>
      </c>
      <c r="H656" t="n">
        <v>0</v>
      </c>
      <c r="I656" t="n">
        <v>0</v>
      </c>
      <c r="J656" t="n">
        <v>0</v>
      </c>
      <c r="K656" t="n">
        <v>0</v>
      </c>
      <c r="L656" t="n">
        <v>0</v>
      </c>
      <c r="M656" t="n">
        <v>0</v>
      </c>
      <c r="N656" t="n">
        <v>0</v>
      </c>
      <c r="O656" t="n">
        <v>0</v>
      </c>
      <c r="P656" t="n">
        <v>0</v>
      </c>
      <c r="Q656" t="n">
        <v>0</v>
      </c>
      <c r="R656" s="2" t="inlineStr"/>
    </row>
    <row r="657" ht="15" customHeight="1">
      <c r="A657" t="inlineStr">
        <is>
          <t>A 48487-2025</t>
        </is>
      </c>
      <c r="B657" s="1" t="n">
        <v>45936.36195601852</v>
      </c>
      <c r="C657" s="1" t="n">
        <v>46047</v>
      </c>
      <c r="D657" t="inlineStr">
        <is>
          <t>UPPSALA LÄN</t>
        </is>
      </c>
      <c r="E657" t="inlineStr">
        <is>
          <t>TIERP</t>
        </is>
      </c>
      <c r="F657" t="inlineStr">
        <is>
          <t>Bergvik skog väst AB</t>
        </is>
      </c>
      <c r="G657" t="n">
        <v>4.7</v>
      </c>
      <c r="H657" t="n">
        <v>0</v>
      </c>
      <c r="I657" t="n">
        <v>0</v>
      </c>
      <c r="J657" t="n">
        <v>0</v>
      </c>
      <c r="K657" t="n">
        <v>0</v>
      </c>
      <c r="L657" t="n">
        <v>0</v>
      </c>
      <c r="M657" t="n">
        <v>0</v>
      </c>
      <c r="N657" t="n">
        <v>0</v>
      </c>
      <c r="O657" t="n">
        <v>0</v>
      </c>
      <c r="P657" t="n">
        <v>0</v>
      </c>
      <c r="Q657" t="n">
        <v>0</v>
      </c>
      <c r="R657" s="2" t="inlineStr"/>
    </row>
    <row r="658" ht="15" customHeight="1">
      <c r="A658" t="inlineStr">
        <is>
          <t>A 48685-2025</t>
        </is>
      </c>
      <c r="B658" s="1" t="n">
        <v>45936.60018518518</v>
      </c>
      <c r="C658" s="1" t="n">
        <v>46047</v>
      </c>
      <c r="D658" t="inlineStr">
        <is>
          <t>UPPSALA LÄN</t>
        </is>
      </c>
      <c r="E658" t="inlineStr">
        <is>
          <t>TIERP</t>
        </is>
      </c>
      <c r="G658" t="n">
        <v>0.4</v>
      </c>
      <c r="H658" t="n">
        <v>0</v>
      </c>
      <c r="I658" t="n">
        <v>0</v>
      </c>
      <c r="J658" t="n">
        <v>0</v>
      </c>
      <c r="K658" t="n">
        <v>0</v>
      </c>
      <c r="L658" t="n">
        <v>0</v>
      </c>
      <c r="M658" t="n">
        <v>0</v>
      </c>
      <c r="N658" t="n">
        <v>0</v>
      </c>
      <c r="O658" t="n">
        <v>0</v>
      </c>
      <c r="P658" t="n">
        <v>0</v>
      </c>
      <c r="Q658" t="n">
        <v>0</v>
      </c>
      <c r="R658" s="2" t="inlineStr"/>
    </row>
    <row r="659" ht="15" customHeight="1">
      <c r="A659" t="inlineStr">
        <is>
          <t>A 48545-2025</t>
        </is>
      </c>
      <c r="B659" s="1" t="n">
        <v>45936.41964120371</v>
      </c>
      <c r="C659" s="1" t="n">
        <v>46047</v>
      </c>
      <c r="D659" t="inlineStr">
        <is>
          <t>UPPSALA LÄN</t>
        </is>
      </c>
      <c r="E659" t="inlineStr">
        <is>
          <t>TIERP</t>
        </is>
      </c>
      <c r="F659" t="inlineStr">
        <is>
          <t>Bergvik skog väst AB</t>
        </is>
      </c>
      <c r="G659" t="n">
        <v>8</v>
      </c>
      <c r="H659" t="n">
        <v>0</v>
      </c>
      <c r="I659" t="n">
        <v>0</v>
      </c>
      <c r="J659" t="n">
        <v>0</v>
      </c>
      <c r="K659" t="n">
        <v>0</v>
      </c>
      <c r="L659" t="n">
        <v>0</v>
      </c>
      <c r="M659" t="n">
        <v>0</v>
      </c>
      <c r="N659" t="n">
        <v>0</v>
      </c>
      <c r="O659" t="n">
        <v>0</v>
      </c>
      <c r="P659" t="n">
        <v>0</v>
      </c>
      <c r="Q659" t="n">
        <v>0</v>
      </c>
      <c r="R659" s="2" t="inlineStr"/>
    </row>
    <row r="660" ht="15" customHeight="1">
      <c r="A660" t="inlineStr">
        <is>
          <t>A 48550-2025</t>
        </is>
      </c>
      <c r="B660" s="1" t="n">
        <v>45936.42704861111</v>
      </c>
      <c r="C660" s="1" t="n">
        <v>46047</v>
      </c>
      <c r="D660" t="inlineStr">
        <is>
          <t>UPPSALA LÄN</t>
        </is>
      </c>
      <c r="E660" t="inlineStr">
        <is>
          <t>TIERP</t>
        </is>
      </c>
      <c r="F660" t="inlineStr">
        <is>
          <t>Bergvik skog väst AB</t>
        </is>
      </c>
      <c r="G660" t="n">
        <v>1.7</v>
      </c>
      <c r="H660" t="n">
        <v>0</v>
      </c>
      <c r="I660" t="n">
        <v>0</v>
      </c>
      <c r="J660" t="n">
        <v>0</v>
      </c>
      <c r="K660" t="n">
        <v>0</v>
      </c>
      <c r="L660" t="n">
        <v>0</v>
      </c>
      <c r="M660" t="n">
        <v>0</v>
      </c>
      <c r="N660" t="n">
        <v>0</v>
      </c>
      <c r="O660" t="n">
        <v>0</v>
      </c>
      <c r="P660" t="n">
        <v>0</v>
      </c>
      <c r="Q660" t="n">
        <v>0</v>
      </c>
      <c r="R660" s="2" t="inlineStr"/>
    </row>
    <row r="661" ht="15" customHeight="1">
      <c r="A661" t="inlineStr">
        <is>
          <t>A 48684-2025</t>
        </is>
      </c>
      <c r="B661" s="1" t="n">
        <v>45936.59858796297</v>
      </c>
      <c r="C661" s="1" t="n">
        <v>46047</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48494-2025</t>
        </is>
      </c>
      <c r="B662" s="1" t="n">
        <v>45936.36921296296</v>
      </c>
      <c r="C662" s="1" t="n">
        <v>46047</v>
      </c>
      <c r="D662" t="inlineStr">
        <is>
          <t>UPPSALA LÄN</t>
        </is>
      </c>
      <c r="E662" t="inlineStr">
        <is>
          <t>TIERP</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49191-2025</t>
        </is>
      </c>
      <c r="B663" s="1" t="n">
        <v>45938.40780092592</v>
      </c>
      <c r="C663" s="1" t="n">
        <v>46047</v>
      </c>
      <c r="D663" t="inlineStr">
        <is>
          <t>UPPSALA LÄN</t>
        </is>
      </c>
      <c r="E663" t="inlineStr">
        <is>
          <t>TIERP</t>
        </is>
      </c>
      <c r="F663" t="inlineStr">
        <is>
          <t>Bergvik skog väst AB</t>
        </is>
      </c>
      <c r="G663" t="n">
        <v>38.9</v>
      </c>
      <c r="H663" t="n">
        <v>0</v>
      </c>
      <c r="I663" t="n">
        <v>0</v>
      </c>
      <c r="J663" t="n">
        <v>0</v>
      </c>
      <c r="K663" t="n">
        <v>0</v>
      </c>
      <c r="L663" t="n">
        <v>0</v>
      </c>
      <c r="M663" t="n">
        <v>0</v>
      </c>
      <c r="N663" t="n">
        <v>0</v>
      </c>
      <c r="O663" t="n">
        <v>0</v>
      </c>
      <c r="P663" t="n">
        <v>0</v>
      </c>
      <c r="Q663" t="n">
        <v>0</v>
      </c>
      <c r="R663" s="2" t="inlineStr"/>
    </row>
    <row r="664" ht="15" customHeight="1">
      <c r="A664" t="inlineStr">
        <is>
          <t>A 49558-2025</t>
        </is>
      </c>
      <c r="B664" s="1" t="n">
        <v>45939.45197916667</v>
      </c>
      <c r="C664" s="1" t="n">
        <v>46047</v>
      </c>
      <c r="D664" t="inlineStr">
        <is>
          <t>UPPSALA LÄN</t>
        </is>
      </c>
      <c r="E664" t="inlineStr">
        <is>
          <t>TIERP</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49305-2025</t>
        </is>
      </c>
      <c r="B665" s="1" t="n">
        <v>45938.55978009259</v>
      </c>
      <c r="C665" s="1" t="n">
        <v>46047</v>
      </c>
      <c r="D665" t="inlineStr">
        <is>
          <t>UPPSALA LÄN</t>
        </is>
      </c>
      <c r="E665" t="inlineStr">
        <is>
          <t>TIERP</t>
        </is>
      </c>
      <c r="F665" t="inlineStr">
        <is>
          <t>Bergvik skog väst AB</t>
        </is>
      </c>
      <c r="G665" t="n">
        <v>2.8</v>
      </c>
      <c r="H665" t="n">
        <v>0</v>
      </c>
      <c r="I665" t="n">
        <v>0</v>
      </c>
      <c r="J665" t="n">
        <v>0</v>
      </c>
      <c r="K665" t="n">
        <v>0</v>
      </c>
      <c r="L665" t="n">
        <v>0</v>
      </c>
      <c r="M665" t="n">
        <v>0</v>
      </c>
      <c r="N665" t="n">
        <v>0</v>
      </c>
      <c r="O665" t="n">
        <v>0</v>
      </c>
      <c r="P665" t="n">
        <v>0</v>
      </c>
      <c r="Q665" t="n">
        <v>0</v>
      </c>
      <c r="R665" s="2" t="inlineStr"/>
    </row>
    <row r="666" ht="15" customHeight="1">
      <c r="A666" t="inlineStr">
        <is>
          <t>A 48871-2025</t>
        </is>
      </c>
      <c r="B666" s="1" t="n">
        <v>45937.4534375</v>
      </c>
      <c r="C666" s="1" t="n">
        <v>46047</v>
      </c>
      <c r="D666" t="inlineStr">
        <is>
          <t>UPPSALA LÄN</t>
        </is>
      </c>
      <c r="E666" t="inlineStr">
        <is>
          <t>TIERP</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49524-2025</t>
        </is>
      </c>
      <c r="B667" s="1" t="n">
        <v>45939.39984953704</v>
      </c>
      <c r="C667" s="1" t="n">
        <v>46047</v>
      </c>
      <c r="D667" t="inlineStr">
        <is>
          <t>UPPSALA LÄN</t>
        </is>
      </c>
      <c r="E667" t="inlineStr">
        <is>
          <t>TIERP</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49270-2025</t>
        </is>
      </c>
      <c r="B668" s="1" t="n">
        <v>45938.50260416666</v>
      </c>
      <c r="C668" s="1" t="n">
        <v>46047</v>
      </c>
      <c r="D668" t="inlineStr">
        <is>
          <t>UPPSALA LÄN</t>
        </is>
      </c>
      <c r="E668" t="inlineStr">
        <is>
          <t>TIERP</t>
        </is>
      </c>
      <c r="F668" t="inlineStr">
        <is>
          <t>Bergvik skog väst AB</t>
        </is>
      </c>
      <c r="G668" t="n">
        <v>6.5</v>
      </c>
      <c r="H668" t="n">
        <v>0</v>
      </c>
      <c r="I668" t="n">
        <v>0</v>
      </c>
      <c r="J668" t="n">
        <v>0</v>
      </c>
      <c r="K668" t="n">
        <v>0</v>
      </c>
      <c r="L668" t="n">
        <v>0</v>
      </c>
      <c r="M668" t="n">
        <v>0</v>
      </c>
      <c r="N668" t="n">
        <v>0</v>
      </c>
      <c r="O668" t="n">
        <v>0</v>
      </c>
      <c r="P668" t="n">
        <v>0</v>
      </c>
      <c r="Q668" t="n">
        <v>0</v>
      </c>
      <c r="R668" s="2" t="inlineStr"/>
    </row>
    <row r="669" ht="15" customHeight="1">
      <c r="A669" t="inlineStr">
        <is>
          <t>A 48596-2025</t>
        </is>
      </c>
      <c r="B669" s="1" t="n">
        <v>45936</v>
      </c>
      <c r="C669" s="1" t="n">
        <v>46047</v>
      </c>
      <c r="D669" t="inlineStr">
        <is>
          <t>UPPSALA LÄN</t>
        </is>
      </c>
      <c r="E669" t="inlineStr">
        <is>
          <t>TIERP</t>
        </is>
      </c>
      <c r="G669" t="n">
        <v>7.4</v>
      </c>
      <c r="H669" t="n">
        <v>0</v>
      </c>
      <c r="I669" t="n">
        <v>0</v>
      </c>
      <c r="J669" t="n">
        <v>0</v>
      </c>
      <c r="K669" t="n">
        <v>0</v>
      </c>
      <c r="L669" t="n">
        <v>0</v>
      </c>
      <c r="M669" t="n">
        <v>0</v>
      </c>
      <c r="N669" t="n">
        <v>0</v>
      </c>
      <c r="O669" t="n">
        <v>0</v>
      </c>
      <c r="P669" t="n">
        <v>0</v>
      </c>
      <c r="Q669" t="n">
        <v>0</v>
      </c>
      <c r="R669" s="2" t="inlineStr"/>
    </row>
    <row r="670" ht="15" customHeight="1">
      <c r="A670" t="inlineStr">
        <is>
          <t>A 48598-2025</t>
        </is>
      </c>
      <c r="B670" s="1" t="n">
        <v>45936</v>
      </c>
      <c r="C670" s="1" t="n">
        <v>46047</v>
      </c>
      <c r="D670" t="inlineStr">
        <is>
          <t>UPPSALA LÄN</t>
        </is>
      </c>
      <c r="E670" t="inlineStr">
        <is>
          <t>TIERP</t>
        </is>
      </c>
      <c r="G670" t="n">
        <v>8.1</v>
      </c>
      <c r="H670" t="n">
        <v>0</v>
      </c>
      <c r="I670" t="n">
        <v>0</v>
      </c>
      <c r="J670" t="n">
        <v>0</v>
      </c>
      <c r="K670" t="n">
        <v>0</v>
      </c>
      <c r="L670" t="n">
        <v>0</v>
      </c>
      <c r="M670" t="n">
        <v>0</v>
      </c>
      <c r="N670" t="n">
        <v>0</v>
      </c>
      <c r="O670" t="n">
        <v>0</v>
      </c>
      <c r="P670" t="n">
        <v>0</v>
      </c>
      <c r="Q670" t="n">
        <v>0</v>
      </c>
      <c r="R670" s="2" t="inlineStr"/>
    </row>
    <row r="671" ht="15" customHeight="1">
      <c r="A671" t="inlineStr">
        <is>
          <t>A 48808-2025</t>
        </is>
      </c>
      <c r="B671" s="1" t="n">
        <v>45937.35484953703</v>
      </c>
      <c r="C671" s="1" t="n">
        <v>46047</v>
      </c>
      <c r="D671" t="inlineStr">
        <is>
          <t>UPPSALA LÄN</t>
        </is>
      </c>
      <c r="E671" t="inlineStr">
        <is>
          <t>TIERP</t>
        </is>
      </c>
      <c r="F671" t="inlineStr">
        <is>
          <t>Bergvik skog väst AB</t>
        </is>
      </c>
      <c r="G671" t="n">
        <v>5.4</v>
      </c>
      <c r="H671" t="n">
        <v>0</v>
      </c>
      <c r="I671" t="n">
        <v>0</v>
      </c>
      <c r="J671" t="n">
        <v>0</v>
      </c>
      <c r="K671" t="n">
        <v>0</v>
      </c>
      <c r="L671" t="n">
        <v>0</v>
      </c>
      <c r="M671" t="n">
        <v>0</v>
      </c>
      <c r="N671" t="n">
        <v>0</v>
      </c>
      <c r="O671" t="n">
        <v>0</v>
      </c>
      <c r="P671" t="n">
        <v>0</v>
      </c>
      <c r="Q671" t="n">
        <v>0</v>
      </c>
      <c r="R671" s="2" t="inlineStr"/>
    </row>
    <row r="672" ht="15" customHeight="1">
      <c r="A672" t="inlineStr">
        <is>
          <t>A 49214-2025</t>
        </is>
      </c>
      <c r="B672" s="1" t="n">
        <v>45938</v>
      </c>
      <c r="C672" s="1" t="n">
        <v>46047</v>
      </c>
      <c r="D672" t="inlineStr">
        <is>
          <t>UPPSALA LÄN</t>
        </is>
      </c>
      <c r="E672" t="inlineStr">
        <is>
          <t>TIERP</t>
        </is>
      </c>
      <c r="F672" t="inlineStr">
        <is>
          <t>Bergvik skog väst AB</t>
        </is>
      </c>
      <c r="G672" t="n">
        <v>15.7</v>
      </c>
      <c r="H672" t="n">
        <v>0</v>
      </c>
      <c r="I672" t="n">
        <v>0</v>
      </c>
      <c r="J672" t="n">
        <v>0</v>
      </c>
      <c r="K672" t="n">
        <v>0</v>
      </c>
      <c r="L672" t="n">
        <v>0</v>
      </c>
      <c r="M672" t="n">
        <v>0</v>
      </c>
      <c r="N672" t="n">
        <v>0</v>
      </c>
      <c r="O672" t="n">
        <v>0</v>
      </c>
      <c r="P672" t="n">
        <v>0</v>
      </c>
      <c r="Q672" t="n">
        <v>0</v>
      </c>
      <c r="R672" s="2" t="inlineStr"/>
    </row>
    <row r="673" ht="15" customHeight="1">
      <c r="A673" t="inlineStr">
        <is>
          <t>A 49538-2025</t>
        </is>
      </c>
      <c r="B673" s="1" t="n">
        <v>45939.42364583333</v>
      </c>
      <c r="C673" s="1" t="n">
        <v>46047</v>
      </c>
      <c r="D673" t="inlineStr">
        <is>
          <t>UPPSALA LÄN</t>
        </is>
      </c>
      <c r="E673" t="inlineStr">
        <is>
          <t>TIERP</t>
        </is>
      </c>
      <c r="F673" t="inlineStr">
        <is>
          <t>Bergvik skog väst AB</t>
        </is>
      </c>
      <c r="G673" t="n">
        <v>20.3</v>
      </c>
      <c r="H673" t="n">
        <v>0</v>
      </c>
      <c r="I673" t="n">
        <v>0</v>
      </c>
      <c r="J673" t="n">
        <v>0</v>
      </c>
      <c r="K673" t="n">
        <v>0</v>
      </c>
      <c r="L673" t="n">
        <v>0</v>
      </c>
      <c r="M673" t="n">
        <v>0</v>
      </c>
      <c r="N673" t="n">
        <v>0</v>
      </c>
      <c r="O673" t="n">
        <v>0</v>
      </c>
      <c r="P673" t="n">
        <v>0</v>
      </c>
      <c r="Q673" t="n">
        <v>0</v>
      </c>
      <c r="R673" s="2" t="inlineStr"/>
    </row>
    <row r="674" ht="15" customHeight="1">
      <c r="A674" t="inlineStr">
        <is>
          <t>A 50110-2025</t>
        </is>
      </c>
      <c r="B674" s="1" t="n">
        <v>45943.54231481482</v>
      </c>
      <c r="C674" s="1" t="n">
        <v>46047</v>
      </c>
      <c r="D674" t="inlineStr">
        <is>
          <t>UPPSALA LÄN</t>
        </is>
      </c>
      <c r="E674" t="inlineStr">
        <is>
          <t>TIERP</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50117-2025</t>
        </is>
      </c>
      <c r="B675" s="1" t="n">
        <v>45943.54678240741</v>
      </c>
      <c r="C675" s="1" t="n">
        <v>46047</v>
      </c>
      <c r="D675" t="inlineStr">
        <is>
          <t>UPPSALA LÄN</t>
        </is>
      </c>
      <c r="E675" t="inlineStr">
        <is>
          <t>TIERP</t>
        </is>
      </c>
      <c r="F675" t="inlineStr">
        <is>
          <t>Bergvik skog väst AB</t>
        </is>
      </c>
      <c r="G675" t="n">
        <v>3.1</v>
      </c>
      <c r="H675" t="n">
        <v>0</v>
      </c>
      <c r="I675" t="n">
        <v>0</v>
      </c>
      <c r="J675" t="n">
        <v>0</v>
      </c>
      <c r="K675" t="n">
        <v>0</v>
      </c>
      <c r="L675" t="n">
        <v>0</v>
      </c>
      <c r="M675" t="n">
        <v>0</v>
      </c>
      <c r="N675" t="n">
        <v>0</v>
      </c>
      <c r="O675" t="n">
        <v>0</v>
      </c>
      <c r="P675" t="n">
        <v>0</v>
      </c>
      <c r="Q675" t="n">
        <v>0</v>
      </c>
      <c r="R675" s="2" t="inlineStr"/>
    </row>
    <row r="676" ht="15" customHeight="1">
      <c r="A676" t="inlineStr">
        <is>
          <t>A 50335-2025</t>
        </is>
      </c>
      <c r="B676" s="1" t="n">
        <v>45944.47350694444</v>
      </c>
      <c r="C676" s="1" t="n">
        <v>46047</v>
      </c>
      <c r="D676" t="inlineStr">
        <is>
          <t>UPPSALA LÄN</t>
        </is>
      </c>
      <c r="E676" t="inlineStr">
        <is>
          <t>TIERP</t>
        </is>
      </c>
      <c r="G676" t="n">
        <v>3.2</v>
      </c>
      <c r="H676" t="n">
        <v>0</v>
      </c>
      <c r="I676" t="n">
        <v>0</v>
      </c>
      <c r="J676" t="n">
        <v>0</v>
      </c>
      <c r="K676" t="n">
        <v>0</v>
      </c>
      <c r="L676" t="n">
        <v>0</v>
      </c>
      <c r="M676" t="n">
        <v>0</v>
      </c>
      <c r="N676" t="n">
        <v>0</v>
      </c>
      <c r="O676" t="n">
        <v>0</v>
      </c>
      <c r="P676" t="n">
        <v>0</v>
      </c>
      <c r="Q676" t="n">
        <v>0</v>
      </c>
      <c r="R676" s="2" t="inlineStr"/>
    </row>
    <row r="677" ht="15" customHeight="1">
      <c r="A677" t="inlineStr">
        <is>
          <t>A 49048-2025</t>
        </is>
      </c>
      <c r="B677" s="1" t="n">
        <v>45937</v>
      </c>
      <c r="C677" s="1" t="n">
        <v>46047</v>
      </c>
      <c r="D677" t="inlineStr">
        <is>
          <t>UPPSALA LÄN</t>
        </is>
      </c>
      <c r="E677" t="inlineStr">
        <is>
          <t>TIERP</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51116-2025</t>
        </is>
      </c>
      <c r="B678" s="1" t="n">
        <v>45947.52800925926</v>
      </c>
      <c r="C678" s="1" t="n">
        <v>46047</v>
      </c>
      <c r="D678" t="inlineStr">
        <is>
          <t>UPPSALA LÄN</t>
        </is>
      </c>
      <c r="E678" t="inlineStr">
        <is>
          <t>TIERP</t>
        </is>
      </c>
      <c r="G678" t="n">
        <v>2.2</v>
      </c>
      <c r="H678" t="n">
        <v>0</v>
      </c>
      <c r="I678" t="n">
        <v>0</v>
      </c>
      <c r="J678" t="n">
        <v>0</v>
      </c>
      <c r="K678" t="n">
        <v>0</v>
      </c>
      <c r="L678" t="n">
        <v>0</v>
      </c>
      <c r="M678" t="n">
        <v>0</v>
      </c>
      <c r="N678" t="n">
        <v>0</v>
      </c>
      <c r="O678" t="n">
        <v>0</v>
      </c>
      <c r="P678" t="n">
        <v>0</v>
      </c>
      <c r="Q678" t="n">
        <v>0</v>
      </c>
      <c r="R678" s="2" t="inlineStr"/>
    </row>
    <row r="679" ht="15" customHeight="1">
      <c r="A679" t="inlineStr">
        <is>
          <t>A 50730-2025</t>
        </is>
      </c>
      <c r="B679" s="1" t="n">
        <v>45946.36325231481</v>
      </c>
      <c r="C679" s="1" t="n">
        <v>46047</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51012-2025</t>
        </is>
      </c>
      <c r="B680" s="1" t="n">
        <v>45947.38002314815</v>
      </c>
      <c r="C680" s="1" t="n">
        <v>46047</v>
      </c>
      <c r="D680" t="inlineStr">
        <is>
          <t>UPPSALA LÄN</t>
        </is>
      </c>
      <c r="E680" t="inlineStr">
        <is>
          <t>TIERP</t>
        </is>
      </c>
      <c r="G680" t="n">
        <v>26.8</v>
      </c>
      <c r="H680" t="n">
        <v>0</v>
      </c>
      <c r="I680" t="n">
        <v>0</v>
      </c>
      <c r="J680" t="n">
        <v>0</v>
      </c>
      <c r="K680" t="n">
        <v>0</v>
      </c>
      <c r="L680" t="n">
        <v>0</v>
      </c>
      <c r="M680" t="n">
        <v>0</v>
      </c>
      <c r="N680" t="n">
        <v>0</v>
      </c>
      <c r="O680" t="n">
        <v>0</v>
      </c>
      <c r="P680" t="n">
        <v>0</v>
      </c>
      <c r="Q680" t="n">
        <v>0</v>
      </c>
      <c r="R680" s="2" t="inlineStr"/>
    </row>
    <row r="681" ht="15" customHeight="1">
      <c r="A681" t="inlineStr">
        <is>
          <t>A 50832-2025</t>
        </is>
      </c>
      <c r="B681" s="1" t="n">
        <v>45946.55498842592</v>
      </c>
      <c r="C681" s="1" t="n">
        <v>46047</v>
      </c>
      <c r="D681" t="inlineStr">
        <is>
          <t>UPPSALA LÄN</t>
        </is>
      </c>
      <c r="E681" t="inlineStr">
        <is>
          <t>TIERP</t>
        </is>
      </c>
      <c r="G681" t="n">
        <v>3.5</v>
      </c>
      <c r="H681" t="n">
        <v>0</v>
      </c>
      <c r="I681" t="n">
        <v>0</v>
      </c>
      <c r="J681" t="n">
        <v>0</v>
      </c>
      <c r="K681" t="n">
        <v>0</v>
      </c>
      <c r="L681" t="n">
        <v>0</v>
      </c>
      <c r="M681" t="n">
        <v>0</v>
      </c>
      <c r="N681" t="n">
        <v>0</v>
      </c>
      <c r="O681" t="n">
        <v>0</v>
      </c>
      <c r="P681" t="n">
        <v>0</v>
      </c>
      <c r="Q681" t="n">
        <v>0</v>
      </c>
      <c r="R681" s="2" t="inlineStr"/>
    </row>
    <row r="682" ht="15" customHeight="1">
      <c r="A682" t="inlineStr">
        <is>
          <t>A 50879-2025</t>
        </is>
      </c>
      <c r="B682" s="1" t="n">
        <v>45946.62524305555</v>
      </c>
      <c r="C682" s="1" t="n">
        <v>46047</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50820-2025</t>
        </is>
      </c>
      <c r="B683" s="1" t="n">
        <v>45946.53392361111</v>
      </c>
      <c r="C683" s="1" t="n">
        <v>46047</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51044-2025</t>
        </is>
      </c>
      <c r="B684" s="1" t="n">
        <v>45947.4264699074</v>
      </c>
      <c r="C684" s="1" t="n">
        <v>46047</v>
      </c>
      <c r="D684" t="inlineStr">
        <is>
          <t>UPPSALA LÄN</t>
        </is>
      </c>
      <c r="E684" t="inlineStr">
        <is>
          <t>TIERP</t>
        </is>
      </c>
      <c r="G684" t="n">
        <v>11.7</v>
      </c>
      <c r="H684" t="n">
        <v>0</v>
      </c>
      <c r="I684" t="n">
        <v>0</v>
      </c>
      <c r="J684" t="n">
        <v>0</v>
      </c>
      <c r="K684" t="n">
        <v>0</v>
      </c>
      <c r="L684" t="n">
        <v>0</v>
      </c>
      <c r="M684" t="n">
        <v>0</v>
      </c>
      <c r="N684" t="n">
        <v>0</v>
      </c>
      <c r="O684" t="n">
        <v>0</v>
      </c>
      <c r="P684" t="n">
        <v>0</v>
      </c>
      <c r="Q684" t="n">
        <v>0</v>
      </c>
      <c r="R684" s="2" t="inlineStr"/>
    </row>
    <row r="685" ht="15" customHeight="1">
      <c r="A685" t="inlineStr">
        <is>
          <t>A 51066-2025</t>
        </is>
      </c>
      <c r="B685" s="1" t="n">
        <v>45947.45293981482</v>
      </c>
      <c r="C685" s="1" t="n">
        <v>46047</v>
      </c>
      <c r="D685" t="inlineStr">
        <is>
          <t>UPPSALA LÄN</t>
        </is>
      </c>
      <c r="E685" t="inlineStr">
        <is>
          <t>TIERP</t>
        </is>
      </c>
      <c r="G685" t="n">
        <v>1.5</v>
      </c>
      <c r="H685" t="n">
        <v>0</v>
      </c>
      <c r="I685" t="n">
        <v>0</v>
      </c>
      <c r="J685" t="n">
        <v>0</v>
      </c>
      <c r="K685" t="n">
        <v>0</v>
      </c>
      <c r="L685" t="n">
        <v>0</v>
      </c>
      <c r="M685" t="n">
        <v>0</v>
      </c>
      <c r="N685" t="n">
        <v>0</v>
      </c>
      <c r="O685" t="n">
        <v>0</v>
      </c>
      <c r="P685" t="n">
        <v>0</v>
      </c>
      <c r="Q685" t="n">
        <v>0</v>
      </c>
      <c r="R685" s="2" t="inlineStr"/>
    </row>
    <row r="686" ht="15" customHeight="1">
      <c r="A686" t="inlineStr">
        <is>
          <t>A 51085-2025</t>
        </is>
      </c>
      <c r="B686" s="1" t="n">
        <v>45947.46891203704</v>
      </c>
      <c r="C686" s="1" t="n">
        <v>46047</v>
      </c>
      <c r="D686" t="inlineStr">
        <is>
          <t>UPPSALA LÄN</t>
        </is>
      </c>
      <c r="E686" t="inlineStr">
        <is>
          <t>TIERP</t>
        </is>
      </c>
      <c r="G686" t="n">
        <v>0.9</v>
      </c>
      <c r="H686" t="n">
        <v>0</v>
      </c>
      <c r="I686" t="n">
        <v>0</v>
      </c>
      <c r="J686" t="n">
        <v>0</v>
      </c>
      <c r="K686" t="n">
        <v>0</v>
      </c>
      <c r="L686" t="n">
        <v>0</v>
      </c>
      <c r="M686" t="n">
        <v>0</v>
      </c>
      <c r="N686" t="n">
        <v>0</v>
      </c>
      <c r="O686" t="n">
        <v>0</v>
      </c>
      <c r="P686" t="n">
        <v>0</v>
      </c>
      <c r="Q686" t="n">
        <v>0</v>
      </c>
      <c r="R686" s="2" t="inlineStr"/>
    </row>
    <row r="687" ht="15" customHeight="1">
      <c r="A687" t="inlineStr">
        <is>
          <t>A 50713-2025</t>
        </is>
      </c>
      <c r="B687" s="1" t="n">
        <v>45946.34517361111</v>
      </c>
      <c r="C687" s="1" t="n">
        <v>46047</v>
      </c>
      <c r="D687" t="inlineStr">
        <is>
          <t>UPPSALA LÄN</t>
        </is>
      </c>
      <c r="E687" t="inlineStr">
        <is>
          <t>TIERP</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51712-2025</t>
        </is>
      </c>
      <c r="B688" s="1" t="n">
        <v>45951.57142361111</v>
      </c>
      <c r="C688" s="1" t="n">
        <v>46047</v>
      </c>
      <c r="D688" t="inlineStr">
        <is>
          <t>UPPSALA LÄN</t>
        </is>
      </c>
      <c r="E688" t="inlineStr">
        <is>
          <t>TIERP</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51331-2025</t>
        </is>
      </c>
      <c r="B689" s="1" t="n">
        <v>45950.41685185185</v>
      </c>
      <c r="C689" s="1" t="n">
        <v>46047</v>
      </c>
      <c r="D689" t="inlineStr">
        <is>
          <t>UPPSALA LÄN</t>
        </is>
      </c>
      <c r="E689" t="inlineStr">
        <is>
          <t>TIERP</t>
        </is>
      </c>
      <c r="G689" t="n">
        <v>8.9</v>
      </c>
      <c r="H689" t="n">
        <v>0</v>
      </c>
      <c r="I689" t="n">
        <v>0</v>
      </c>
      <c r="J689" t="n">
        <v>0</v>
      </c>
      <c r="K689" t="n">
        <v>0</v>
      </c>
      <c r="L689" t="n">
        <v>0</v>
      </c>
      <c r="M689" t="n">
        <v>0</v>
      </c>
      <c r="N689" t="n">
        <v>0</v>
      </c>
      <c r="O689" t="n">
        <v>0</v>
      </c>
      <c r="P689" t="n">
        <v>0</v>
      </c>
      <c r="Q689" t="n">
        <v>0</v>
      </c>
      <c r="R689" s="2" t="inlineStr"/>
    </row>
    <row r="690" ht="15" customHeight="1">
      <c r="A690" t="inlineStr">
        <is>
          <t>A 53164-2025</t>
        </is>
      </c>
      <c r="B690" s="1" t="n">
        <v>45957</v>
      </c>
      <c r="C690" s="1" t="n">
        <v>46047</v>
      </c>
      <c r="D690" t="inlineStr">
        <is>
          <t>UPPSALA LÄN</t>
        </is>
      </c>
      <c r="E690" t="inlineStr">
        <is>
          <t>TIERP</t>
        </is>
      </c>
      <c r="G690" t="n">
        <v>2.2</v>
      </c>
      <c r="H690" t="n">
        <v>0</v>
      </c>
      <c r="I690" t="n">
        <v>0</v>
      </c>
      <c r="J690" t="n">
        <v>0</v>
      </c>
      <c r="K690" t="n">
        <v>0</v>
      </c>
      <c r="L690" t="n">
        <v>0</v>
      </c>
      <c r="M690" t="n">
        <v>0</v>
      </c>
      <c r="N690" t="n">
        <v>0</v>
      </c>
      <c r="O690" t="n">
        <v>0</v>
      </c>
      <c r="P690" t="n">
        <v>0</v>
      </c>
      <c r="Q690" t="n">
        <v>0</v>
      </c>
      <c r="R690" s="2" t="inlineStr"/>
    </row>
    <row r="691" ht="15" customHeight="1">
      <c r="A691" t="inlineStr">
        <is>
          <t>A 52844-2025</t>
        </is>
      </c>
      <c r="B691" s="1" t="n">
        <v>45957.48424768518</v>
      </c>
      <c r="C691" s="1" t="n">
        <v>46047</v>
      </c>
      <c r="D691" t="inlineStr">
        <is>
          <t>UPPSALA LÄN</t>
        </is>
      </c>
      <c r="E691" t="inlineStr">
        <is>
          <t>TIERP</t>
        </is>
      </c>
      <c r="G691" t="n">
        <v>5.5</v>
      </c>
      <c r="H691" t="n">
        <v>0</v>
      </c>
      <c r="I691" t="n">
        <v>0</v>
      </c>
      <c r="J691" t="n">
        <v>0</v>
      </c>
      <c r="K691" t="n">
        <v>0</v>
      </c>
      <c r="L691" t="n">
        <v>0</v>
      </c>
      <c r="M691" t="n">
        <v>0</v>
      </c>
      <c r="N691" t="n">
        <v>0</v>
      </c>
      <c r="O691" t="n">
        <v>0</v>
      </c>
      <c r="P691" t="n">
        <v>0</v>
      </c>
      <c r="Q691" t="n">
        <v>0</v>
      </c>
      <c r="R691" s="2" t="inlineStr"/>
    </row>
    <row r="692" ht="15" customHeight="1">
      <c r="A692" t="inlineStr">
        <is>
          <t>A 52863-2025</t>
        </is>
      </c>
      <c r="B692" s="1" t="n">
        <v>45957.50965277778</v>
      </c>
      <c r="C692" s="1" t="n">
        <v>46047</v>
      </c>
      <c r="D692" t="inlineStr">
        <is>
          <t>UPPSALA LÄN</t>
        </is>
      </c>
      <c r="E692" t="inlineStr">
        <is>
          <t>TIERP</t>
        </is>
      </c>
      <c r="G692" t="n">
        <v>5.2</v>
      </c>
      <c r="H692" t="n">
        <v>0</v>
      </c>
      <c r="I692" t="n">
        <v>0</v>
      </c>
      <c r="J692" t="n">
        <v>0</v>
      </c>
      <c r="K692" t="n">
        <v>0</v>
      </c>
      <c r="L692" t="n">
        <v>0</v>
      </c>
      <c r="M692" t="n">
        <v>0</v>
      </c>
      <c r="N692" t="n">
        <v>0</v>
      </c>
      <c r="O692" t="n">
        <v>0</v>
      </c>
      <c r="P692" t="n">
        <v>0</v>
      </c>
      <c r="Q692" t="n">
        <v>0</v>
      </c>
      <c r="R692" s="2" t="inlineStr"/>
    </row>
    <row r="693" ht="15" customHeight="1">
      <c r="A693" t="inlineStr">
        <is>
          <t>A 52873-2025</t>
        </is>
      </c>
      <c r="B693" s="1" t="n">
        <v>45957.52932870371</v>
      </c>
      <c r="C693" s="1" t="n">
        <v>46047</v>
      </c>
      <c r="D693" t="inlineStr">
        <is>
          <t>UPPSALA LÄN</t>
        </is>
      </c>
      <c r="E693" t="inlineStr">
        <is>
          <t>TIERP</t>
        </is>
      </c>
      <c r="G693" t="n">
        <v>6.6</v>
      </c>
      <c r="H693" t="n">
        <v>0</v>
      </c>
      <c r="I693" t="n">
        <v>0</v>
      </c>
      <c r="J693" t="n">
        <v>0</v>
      </c>
      <c r="K693" t="n">
        <v>0</v>
      </c>
      <c r="L693" t="n">
        <v>0</v>
      </c>
      <c r="M693" t="n">
        <v>0</v>
      </c>
      <c r="N693" t="n">
        <v>0</v>
      </c>
      <c r="O693" t="n">
        <v>0</v>
      </c>
      <c r="P693" t="n">
        <v>0</v>
      </c>
      <c r="Q693" t="n">
        <v>0</v>
      </c>
      <c r="R693" s="2" t="inlineStr"/>
    </row>
    <row r="694" ht="15" customHeight="1">
      <c r="A694" t="inlineStr">
        <is>
          <t>A 53199-2025</t>
        </is>
      </c>
      <c r="B694" s="1" t="n">
        <v>45957</v>
      </c>
      <c r="C694" s="1" t="n">
        <v>46047</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52421-2025</t>
        </is>
      </c>
      <c r="B695" s="1" t="n">
        <v>45954.37163194444</v>
      </c>
      <c r="C695" s="1" t="n">
        <v>46047</v>
      </c>
      <c r="D695" t="inlineStr">
        <is>
          <t>UPPSALA LÄN</t>
        </is>
      </c>
      <c r="E695" t="inlineStr">
        <is>
          <t>TIERP</t>
        </is>
      </c>
      <c r="G695" t="n">
        <v>4.7</v>
      </c>
      <c r="H695" t="n">
        <v>0</v>
      </c>
      <c r="I695" t="n">
        <v>0</v>
      </c>
      <c r="J695" t="n">
        <v>0</v>
      </c>
      <c r="K695" t="n">
        <v>0</v>
      </c>
      <c r="L695" t="n">
        <v>0</v>
      </c>
      <c r="M695" t="n">
        <v>0</v>
      </c>
      <c r="N695" t="n">
        <v>0</v>
      </c>
      <c r="O695" t="n">
        <v>0</v>
      </c>
      <c r="P695" t="n">
        <v>0</v>
      </c>
      <c r="Q695" t="n">
        <v>0</v>
      </c>
      <c r="R695" s="2" t="inlineStr"/>
    </row>
    <row r="696" ht="15" customHeight="1">
      <c r="A696" t="inlineStr">
        <is>
          <t>A 52859-2025</t>
        </is>
      </c>
      <c r="B696" s="1" t="n">
        <v>45957.50313657407</v>
      </c>
      <c r="C696" s="1" t="n">
        <v>46047</v>
      </c>
      <c r="D696" t="inlineStr">
        <is>
          <t>UPPSALA LÄN</t>
        </is>
      </c>
      <c r="E696" t="inlineStr">
        <is>
          <t>TIERP</t>
        </is>
      </c>
      <c r="G696" t="n">
        <v>5.7</v>
      </c>
      <c r="H696" t="n">
        <v>0</v>
      </c>
      <c r="I696" t="n">
        <v>0</v>
      </c>
      <c r="J696" t="n">
        <v>0</v>
      </c>
      <c r="K696" t="n">
        <v>0</v>
      </c>
      <c r="L696" t="n">
        <v>0</v>
      </c>
      <c r="M696" t="n">
        <v>0</v>
      </c>
      <c r="N696" t="n">
        <v>0</v>
      </c>
      <c r="O696" t="n">
        <v>0</v>
      </c>
      <c r="P696" t="n">
        <v>0</v>
      </c>
      <c r="Q696" t="n">
        <v>0</v>
      </c>
      <c r="R696" s="2" t="inlineStr"/>
    </row>
    <row r="697" ht="15" customHeight="1">
      <c r="A697" t="inlineStr">
        <is>
          <t>A 52502-2025</t>
        </is>
      </c>
      <c r="B697" s="1" t="n">
        <v>45954.4975462963</v>
      </c>
      <c r="C697" s="1" t="n">
        <v>46047</v>
      </c>
      <c r="D697" t="inlineStr">
        <is>
          <t>UPPSALA LÄN</t>
        </is>
      </c>
      <c r="E697" t="inlineStr">
        <is>
          <t>TIERP</t>
        </is>
      </c>
      <c r="F697" t="inlineStr">
        <is>
          <t>Bergvik skog väst AB</t>
        </is>
      </c>
      <c r="G697" t="n">
        <v>2.7</v>
      </c>
      <c r="H697" t="n">
        <v>0</v>
      </c>
      <c r="I697" t="n">
        <v>0</v>
      </c>
      <c r="J697" t="n">
        <v>0</v>
      </c>
      <c r="K697" t="n">
        <v>0</v>
      </c>
      <c r="L697" t="n">
        <v>0</v>
      </c>
      <c r="M697" t="n">
        <v>0</v>
      </c>
      <c r="N697" t="n">
        <v>0</v>
      </c>
      <c r="O697" t="n">
        <v>0</v>
      </c>
      <c r="P697" t="n">
        <v>0</v>
      </c>
      <c r="Q697" t="n">
        <v>0</v>
      </c>
      <c r="R697" s="2" t="inlineStr"/>
    </row>
    <row r="698" ht="15" customHeight="1">
      <c r="A698" t="inlineStr">
        <is>
          <t>A 52508-2025</t>
        </is>
      </c>
      <c r="B698" s="1" t="n">
        <v>45954.50453703704</v>
      </c>
      <c r="C698" s="1" t="n">
        <v>46047</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52790-2025</t>
        </is>
      </c>
      <c r="B699" s="1" t="n">
        <v>45957.43148148148</v>
      </c>
      <c r="C699" s="1" t="n">
        <v>46047</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52490-2025</t>
        </is>
      </c>
      <c r="B700" s="1" t="n">
        <v>45954.48096064815</v>
      </c>
      <c r="C700" s="1" t="n">
        <v>46047</v>
      </c>
      <c r="D700" t="inlineStr">
        <is>
          <t>UPPSALA LÄN</t>
        </is>
      </c>
      <c r="E700" t="inlineStr">
        <is>
          <t>TIERP</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53036-2025</t>
        </is>
      </c>
      <c r="B701" s="1" t="n">
        <v>45958</v>
      </c>
      <c r="C701" s="1" t="n">
        <v>46047</v>
      </c>
      <c r="D701" t="inlineStr">
        <is>
          <t>UPPSALA LÄN</t>
        </is>
      </c>
      <c r="E701" t="inlineStr">
        <is>
          <t>TIERP</t>
        </is>
      </c>
      <c r="G701" t="n">
        <v>12.3</v>
      </c>
      <c r="H701" t="n">
        <v>0</v>
      </c>
      <c r="I701" t="n">
        <v>0</v>
      </c>
      <c r="J701" t="n">
        <v>0</v>
      </c>
      <c r="K701" t="n">
        <v>0</v>
      </c>
      <c r="L701" t="n">
        <v>0</v>
      </c>
      <c r="M701" t="n">
        <v>0</v>
      </c>
      <c r="N701" t="n">
        <v>0</v>
      </c>
      <c r="O701" t="n">
        <v>0</v>
      </c>
      <c r="P701" t="n">
        <v>0</v>
      </c>
      <c r="Q701" t="n">
        <v>0</v>
      </c>
      <c r="R701" s="2" t="inlineStr"/>
    </row>
    <row r="702" ht="15" customHeight="1">
      <c r="A702" t="inlineStr">
        <is>
          <t>A 53609-2025</t>
        </is>
      </c>
      <c r="B702" s="1" t="n">
        <v>45960.46894675926</v>
      </c>
      <c r="C702" s="1" t="n">
        <v>46047</v>
      </c>
      <c r="D702" t="inlineStr">
        <is>
          <t>UPPSALA LÄN</t>
        </is>
      </c>
      <c r="E702" t="inlineStr">
        <is>
          <t>TIERP</t>
        </is>
      </c>
      <c r="F702" t="inlineStr">
        <is>
          <t>Bergvik skog öst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53483-2025</t>
        </is>
      </c>
      <c r="B703" s="1" t="n">
        <v>45959.83425925926</v>
      </c>
      <c r="C703" s="1" t="n">
        <v>46047</v>
      </c>
      <c r="D703" t="inlineStr">
        <is>
          <t>UPPSALA LÄN</t>
        </is>
      </c>
      <c r="E703" t="inlineStr">
        <is>
          <t>TIERP</t>
        </is>
      </c>
      <c r="G703" t="n">
        <v>6.7</v>
      </c>
      <c r="H703" t="n">
        <v>0</v>
      </c>
      <c r="I703" t="n">
        <v>0</v>
      </c>
      <c r="J703" t="n">
        <v>0</v>
      </c>
      <c r="K703" t="n">
        <v>0</v>
      </c>
      <c r="L703" t="n">
        <v>0</v>
      </c>
      <c r="M703" t="n">
        <v>0</v>
      </c>
      <c r="N703" t="n">
        <v>0</v>
      </c>
      <c r="O703" t="n">
        <v>0</v>
      </c>
      <c r="P703" t="n">
        <v>0</v>
      </c>
      <c r="Q703" t="n">
        <v>0</v>
      </c>
      <c r="R703" s="2" t="inlineStr"/>
    </row>
    <row r="704" ht="15" customHeight="1">
      <c r="A704" t="inlineStr">
        <is>
          <t>A 53764-2025</t>
        </is>
      </c>
      <c r="B704" s="1" t="n">
        <v>45960.67751157407</v>
      </c>
      <c r="C704" s="1" t="n">
        <v>46047</v>
      </c>
      <c r="D704" t="inlineStr">
        <is>
          <t>UPPSALA LÄN</t>
        </is>
      </c>
      <c r="E704" t="inlineStr">
        <is>
          <t>TIERP</t>
        </is>
      </c>
      <c r="G704" t="n">
        <v>5.5</v>
      </c>
      <c r="H704" t="n">
        <v>0</v>
      </c>
      <c r="I704" t="n">
        <v>0</v>
      </c>
      <c r="J704" t="n">
        <v>0</v>
      </c>
      <c r="K704" t="n">
        <v>0</v>
      </c>
      <c r="L704" t="n">
        <v>0</v>
      </c>
      <c r="M704" t="n">
        <v>0</v>
      </c>
      <c r="N704" t="n">
        <v>0</v>
      </c>
      <c r="O704" t="n">
        <v>0</v>
      </c>
      <c r="P704" t="n">
        <v>0</v>
      </c>
      <c r="Q704" t="n">
        <v>0</v>
      </c>
      <c r="R704" s="2" t="inlineStr"/>
    </row>
    <row r="705" ht="15" customHeight="1">
      <c r="A705" t="inlineStr">
        <is>
          <t>A 53486-2025</t>
        </is>
      </c>
      <c r="B705" s="1" t="n">
        <v>45960.01471064815</v>
      </c>
      <c r="C705" s="1" t="n">
        <v>46047</v>
      </c>
      <c r="D705" t="inlineStr">
        <is>
          <t>UPPSALA LÄN</t>
        </is>
      </c>
      <c r="E705" t="inlineStr">
        <is>
          <t>TIERP</t>
        </is>
      </c>
      <c r="G705" t="n">
        <v>1.7</v>
      </c>
      <c r="H705" t="n">
        <v>0</v>
      </c>
      <c r="I705" t="n">
        <v>0</v>
      </c>
      <c r="J705" t="n">
        <v>0</v>
      </c>
      <c r="K705" t="n">
        <v>0</v>
      </c>
      <c r="L705" t="n">
        <v>0</v>
      </c>
      <c r="M705" t="n">
        <v>0</v>
      </c>
      <c r="N705" t="n">
        <v>0</v>
      </c>
      <c r="O705" t="n">
        <v>0</v>
      </c>
      <c r="P705" t="n">
        <v>0</v>
      </c>
      <c r="Q705" t="n">
        <v>0</v>
      </c>
      <c r="R705" s="2" t="inlineStr"/>
      <c r="U705">
        <f>HYPERLINK("https://klasma.github.io/Logging_0360/knärot/A 53486-2025 karta knärot.png", "A 53486-2025")</f>
        <v/>
      </c>
      <c r="V705">
        <f>HYPERLINK("https://klasma.github.io/Logging_0360/klagomål/A 53486-2025 FSC-klagomål.docx", "A 53486-2025")</f>
        <v/>
      </c>
      <c r="W705">
        <f>HYPERLINK("https://klasma.github.io/Logging_0360/klagomålsmail/A 53486-2025 FSC-klagomål mail.docx", "A 53486-2025")</f>
        <v/>
      </c>
      <c r="X705">
        <f>HYPERLINK("https://klasma.github.io/Logging_0360/tillsyn/A 53486-2025 tillsynsbegäran.docx", "A 53486-2025")</f>
        <v/>
      </c>
      <c r="Y705">
        <f>HYPERLINK("https://klasma.github.io/Logging_0360/tillsynsmail/A 53486-2025 tillsynsbegäran mail.docx", "A 53486-2025")</f>
        <v/>
      </c>
    </row>
    <row r="706" ht="15" customHeight="1">
      <c r="A706" t="inlineStr">
        <is>
          <t>A 53774-2025</t>
        </is>
      </c>
      <c r="B706" s="1" t="n">
        <v>45960.688125</v>
      </c>
      <c r="C706" s="1" t="n">
        <v>46047</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53856-2025</t>
        </is>
      </c>
      <c r="B707" s="1" t="n">
        <v>45961.37568287037</v>
      </c>
      <c r="C707" s="1" t="n">
        <v>46047</v>
      </c>
      <c r="D707" t="inlineStr">
        <is>
          <t>UPPSALA LÄN</t>
        </is>
      </c>
      <c r="E707" t="inlineStr">
        <is>
          <t>TIERP</t>
        </is>
      </c>
      <c r="G707" t="n">
        <v>2.3</v>
      </c>
      <c r="H707" t="n">
        <v>0</v>
      </c>
      <c r="I707" t="n">
        <v>0</v>
      </c>
      <c r="J707" t="n">
        <v>0</v>
      </c>
      <c r="K707" t="n">
        <v>0</v>
      </c>
      <c r="L707" t="n">
        <v>0</v>
      </c>
      <c r="M707" t="n">
        <v>0</v>
      </c>
      <c r="N707" t="n">
        <v>0</v>
      </c>
      <c r="O707" t="n">
        <v>0</v>
      </c>
      <c r="P707" t="n">
        <v>0</v>
      </c>
      <c r="Q707" t="n">
        <v>0</v>
      </c>
      <c r="R707" s="2" t="inlineStr"/>
    </row>
    <row r="708" ht="15" customHeight="1">
      <c r="A708" t="inlineStr">
        <is>
          <t>A 54458-2025</t>
        </is>
      </c>
      <c r="B708" s="1" t="n">
        <v>45965.55327546296</v>
      </c>
      <c r="C708" s="1" t="n">
        <v>46047</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54553-2025</t>
        </is>
      </c>
      <c r="B709" s="1" t="n">
        <v>45965.65832175926</v>
      </c>
      <c r="C709" s="1" t="n">
        <v>46047</v>
      </c>
      <c r="D709" t="inlineStr">
        <is>
          <t>UPPSALA LÄN</t>
        </is>
      </c>
      <c r="E709" t="inlineStr">
        <is>
          <t>TIERP</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54534-2025</t>
        </is>
      </c>
      <c r="B710" s="1" t="n">
        <v>45965.63770833334</v>
      </c>
      <c r="C710" s="1" t="n">
        <v>46047</v>
      </c>
      <c r="D710" t="inlineStr">
        <is>
          <t>UPPSALA LÄN</t>
        </is>
      </c>
      <c r="E710" t="inlineStr">
        <is>
          <t>TIERP</t>
        </is>
      </c>
      <c r="F710" t="inlineStr">
        <is>
          <t>Bergvik skog väst AB</t>
        </is>
      </c>
      <c r="G710" t="n">
        <v>7.7</v>
      </c>
      <c r="H710" t="n">
        <v>0</v>
      </c>
      <c r="I710" t="n">
        <v>0</v>
      </c>
      <c r="J710" t="n">
        <v>0</v>
      </c>
      <c r="K710" t="n">
        <v>0</v>
      </c>
      <c r="L710" t="n">
        <v>0</v>
      </c>
      <c r="M710" t="n">
        <v>0</v>
      </c>
      <c r="N710" t="n">
        <v>0</v>
      </c>
      <c r="O710" t="n">
        <v>0</v>
      </c>
      <c r="P710" t="n">
        <v>0</v>
      </c>
      <c r="Q710" t="n">
        <v>0</v>
      </c>
      <c r="R710" s="2" t="inlineStr"/>
    </row>
    <row r="711" ht="15" customHeight="1">
      <c r="A711" t="inlineStr">
        <is>
          <t>A 54482-2025</t>
        </is>
      </c>
      <c r="B711" s="1" t="n">
        <v>45965.58917824074</v>
      </c>
      <c r="C711" s="1" t="n">
        <v>46047</v>
      </c>
      <c r="D711" t="inlineStr">
        <is>
          <t>UPPSALA LÄN</t>
        </is>
      </c>
      <c r="E711" t="inlineStr">
        <is>
          <t>TIERP</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62537-2025</t>
        </is>
      </c>
      <c r="B712" s="1" t="n">
        <v>46007.64109953704</v>
      </c>
      <c r="C712" s="1" t="n">
        <v>46047</v>
      </c>
      <c r="D712" t="inlineStr">
        <is>
          <t>UPPSALA LÄN</t>
        </is>
      </c>
      <c r="E712" t="inlineStr">
        <is>
          <t>TIERP</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54550-2025</t>
        </is>
      </c>
      <c r="B713" s="1" t="n">
        <v>45965.6553125</v>
      </c>
      <c r="C713" s="1" t="n">
        <v>46047</v>
      </c>
      <c r="D713" t="inlineStr">
        <is>
          <t>UPPSALA LÄN</t>
        </is>
      </c>
      <c r="E713" t="inlineStr">
        <is>
          <t>TIERP</t>
        </is>
      </c>
      <c r="F713" t="inlineStr">
        <is>
          <t>Bergvik skog väst AB</t>
        </is>
      </c>
      <c r="G713" t="n">
        <v>5.7</v>
      </c>
      <c r="H713" t="n">
        <v>0</v>
      </c>
      <c r="I713" t="n">
        <v>0</v>
      </c>
      <c r="J713" t="n">
        <v>0</v>
      </c>
      <c r="K713" t="n">
        <v>0</v>
      </c>
      <c r="L713" t="n">
        <v>0</v>
      </c>
      <c r="M713" t="n">
        <v>0</v>
      </c>
      <c r="N713" t="n">
        <v>0</v>
      </c>
      <c r="O713" t="n">
        <v>0</v>
      </c>
      <c r="P713" t="n">
        <v>0</v>
      </c>
      <c r="Q713" t="n">
        <v>0</v>
      </c>
      <c r="R713" s="2" t="inlineStr"/>
    </row>
    <row r="714" ht="15" customHeight="1">
      <c r="A714" t="inlineStr">
        <is>
          <t>A 62484-2025</t>
        </is>
      </c>
      <c r="B714" s="1" t="n">
        <v>46007.56385416666</v>
      </c>
      <c r="C714" s="1" t="n">
        <v>46047</v>
      </c>
      <c r="D714" t="inlineStr">
        <is>
          <t>UPPSALA LÄN</t>
        </is>
      </c>
      <c r="E714" t="inlineStr">
        <is>
          <t>TIERP</t>
        </is>
      </c>
      <c r="G714" t="n">
        <v>1.8</v>
      </c>
      <c r="H714" t="n">
        <v>0</v>
      </c>
      <c r="I714" t="n">
        <v>0</v>
      </c>
      <c r="J714" t="n">
        <v>0</v>
      </c>
      <c r="K714" t="n">
        <v>0</v>
      </c>
      <c r="L714" t="n">
        <v>0</v>
      </c>
      <c r="M714" t="n">
        <v>0</v>
      </c>
      <c r="N714" t="n">
        <v>0</v>
      </c>
      <c r="O714" t="n">
        <v>0</v>
      </c>
      <c r="P714" t="n">
        <v>0</v>
      </c>
      <c r="Q714" t="n">
        <v>0</v>
      </c>
      <c r="R714" s="2" t="inlineStr"/>
    </row>
    <row r="715" ht="15" customHeight="1">
      <c r="A715" t="inlineStr">
        <is>
          <t>A 54712-2025</t>
        </is>
      </c>
      <c r="B715" s="1" t="n">
        <v>45966.50311342593</v>
      </c>
      <c r="C715" s="1" t="n">
        <v>46047</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62872-2025</t>
        </is>
      </c>
      <c r="B716" s="1" t="n">
        <v>46008.84649305556</v>
      </c>
      <c r="C716" s="1" t="n">
        <v>46047</v>
      </c>
      <c r="D716" t="inlineStr">
        <is>
          <t>UPPSALA LÄN</t>
        </is>
      </c>
      <c r="E716" t="inlineStr">
        <is>
          <t>TIERP</t>
        </is>
      </c>
      <c r="G716" t="n">
        <v>2.7</v>
      </c>
      <c r="H716" t="n">
        <v>0</v>
      </c>
      <c r="I716" t="n">
        <v>0</v>
      </c>
      <c r="J716" t="n">
        <v>0</v>
      </c>
      <c r="K716" t="n">
        <v>0</v>
      </c>
      <c r="L716" t="n">
        <v>0</v>
      </c>
      <c r="M716" t="n">
        <v>0</v>
      </c>
      <c r="N716" t="n">
        <v>0</v>
      </c>
      <c r="O716" t="n">
        <v>0</v>
      </c>
      <c r="P716" t="n">
        <v>0</v>
      </c>
      <c r="Q716" t="n">
        <v>0</v>
      </c>
      <c r="R716" s="2" t="inlineStr"/>
    </row>
    <row r="717" ht="15" customHeight="1">
      <c r="A717" t="inlineStr">
        <is>
          <t>A 62855-2025</t>
        </is>
      </c>
      <c r="B717" s="1" t="n">
        <v>46008.7384375</v>
      </c>
      <c r="C717" s="1" t="n">
        <v>46047</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54615-2025</t>
        </is>
      </c>
      <c r="B718" s="1" t="n">
        <v>45966.34025462963</v>
      </c>
      <c r="C718" s="1" t="n">
        <v>46047</v>
      </c>
      <c r="D718" t="inlineStr">
        <is>
          <t>UPPSALA LÄN</t>
        </is>
      </c>
      <c r="E718" t="inlineStr">
        <is>
          <t>TIERP</t>
        </is>
      </c>
      <c r="F718" t="inlineStr">
        <is>
          <t>Bergvik skog väst AB</t>
        </is>
      </c>
      <c r="G718" t="n">
        <v>8.5</v>
      </c>
      <c r="H718" t="n">
        <v>0</v>
      </c>
      <c r="I718" t="n">
        <v>0</v>
      </c>
      <c r="J718" t="n">
        <v>0</v>
      </c>
      <c r="K718" t="n">
        <v>0</v>
      </c>
      <c r="L718" t="n">
        <v>0</v>
      </c>
      <c r="M718" t="n">
        <v>0</v>
      </c>
      <c r="N718" t="n">
        <v>0</v>
      </c>
      <c r="O718" t="n">
        <v>0</v>
      </c>
      <c r="P718" t="n">
        <v>0</v>
      </c>
      <c r="Q718" t="n">
        <v>0</v>
      </c>
      <c r="R718" s="2" t="inlineStr"/>
    </row>
    <row r="719" ht="15" customHeight="1">
      <c r="A719" t="inlineStr">
        <is>
          <t>A 62615-2025</t>
        </is>
      </c>
      <c r="B719" s="1" t="n">
        <v>46008.32130787037</v>
      </c>
      <c r="C719" s="1" t="n">
        <v>46047</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54626-2025</t>
        </is>
      </c>
      <c r="B720" s="1" t="n">
        <v>45966.34560185186</v>
      </c>
      <c r="C720" s="1" t="n">
        <v>46047</v>
      </c>
      <c r="D720" t="inlineStr">
        <is>
          <t>UPPSALA LÄN</t>
        </is>
      </c>
      <c r="E720" t="inlineStr">
        <is>
          <t>TIERP</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54634-2025</t>
        </is>
      </c>
      <c r="B721" s="1" t="n">
        <v>45966.35315972222</v>
      </c>
      <c r="C721" s="1" t="n">
        <v>46047</v>
      </c>
      <c r="D721" t="inlineStr">
        <is>
          <t>UPPSALA LÄN</t>
        </is>
      </c>
      <c r="E721" t="inlineStr">
        <is>
          <t>TIERP</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62624-2025</t>
        </is>
      </c>
      <c r="B722" s="1" t="n">
        <v>46008.34482638889</v>
      </c>
      <c r="C722" s="1" t="n">
        <v>46047</v>
      </c>
      <c r="D722" t="inlineStr">
        <is>
          <t>UPPSALA LÄN</t>
        </is>
      </c>
      <c r="E722" t="inlineStr">
        <is>
          <t>TIERP</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62874-2025</t>
        </is>
      </c>
      <c r="B723" s="1" t="n">
        <v>46008.85138888889</v>
      </c>
      <c r="C723" s="1" t="n">
        <v>46047</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63384-2025</t>
        </is>
      </c>
      <c r="B724" s="1" t="n">
        <v>46011.5487037037</v>
      </c>
      <c r="C724" s="1" t="n">
        <v>46047</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56051-2025</t>
        </is>
      </c>
      <c r="B725" s="1" t="n">
        <v>45973.63171296296</v>
      </c>
      <c r="C725" s="1" t="n">
        <v>46047</v>
      </c>
      <c r="D725" t="inlineStr">
        <is>
          <t>UPPSALA LÄN</t>
        </is>
      </c>
      <c r="E725" t="inlineStr">
        <is>
          <t>TIERP</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55719-2025</t>
        </is>
      </c>
      <c r="B726" s="1" t="n">
        <v>45972</v>
      </c>
      <c r="C726" s="1" t="n">
        <v>46047</v>
      </c>
      <c r="D726" t="inlineStr">
        <is>
          <t>UPPSALA LÄN</t>
        </is>
      </c>
      <c r="E726" t="inlineStr">
        <is>
          <t>TIERP</t>
        </is>
      </c>
      <c r="G726" t="n">
        <v>1.7</v>
      </c>
      <c r="H726" t="n">
        <v>0</v>
      </c>
      <c r="I726" t="n">
        <v>0</v>
      </c>
      <c r="J726" t="n">
        <v>0</v>
      </c>
      <c r="K726" t="n">
        <v>0</v>
      </c>
      <c r="L726" t="n">
        <v>0</v>
      </c>
      <c r="M726" t="n">
        <v>0</v>
      </c>
      <c r="N726" t="n">
        <v>0</v>
      </c>
      <c r="O726" t="n">
        <v>0</v>
      </c>
      <c r="P726" t="n">
        <v>0</v>
      </c>
      <c r="Q726" t="n">
        <v>0</v>
      </c>
      <c r="R726" s="2" t="inlineStr"/>
    </row>
    <row r="727" ht="15" customHeight="1">
      <c r="A727" t="inlineStr">
        <is>
          <t>A 56044-2025</t>
        </is>
      </c>
      <c r="B727" s="1" t="n">
        <v>45973.61974537037</v>
      </c>
      <c r="C727" s="1" t="n">
        <v>46047</v>
      </c>
      <c r="D727" t="inlineStr">
        <is>
          <t>UPPSALA LÄN</t>
        </is>
      </c>
      <c r="E727" t="inlineStr">
        <is>
          <t>TIERP</t>
        </is>
      </c>
      <c r="F727" t="inlineStr">
        <is>
          <t>Bergvik skog väst AB</t>
        </is>
      </c>
      <c r="G727" t="n">
        <v>3.9</v>
      </c>
      <c r="H727" t="n">
        <v>0</v>
      </c>
      <c r="I727" t="n">
        <v>0</v>
      </c>
      <c r="J727" t="n">
        <v>0</v>
      </c>
      <c r="K727" t="n">
        <v>0</v>
      </c>
      <c r="L727" t="n">
        <v>0</v>
      </c>
      <c r="M727" t="n">
        <v>0</v>
      </c>
      <c r="N727" t="n">
        <v>0</v>
      </c>
      <c r="O727" t="n">
        <v>0</v>
      </c>
      <c r="P727" t="n">
        <v>0</v>
      </c>
      <c r="Q727" t="n">
        <v>0</v>
      </c>
      <c r="R727" s="2" t="inlineStr"/>
    </row>
    <row r="728" ht="15" customHeight="1">
      <c r="A728" t="inlineStr">
        <is>
          <t>A 56046-2025</t>
        </is>
      </c>
      <c r="B728" s="1" t="n">
        <v>45973.62456018518</v>
      </c>
      <c r="C728" s="1" t="n">
        <v>46047</v>
      </c>
      <c r="D728" t="inlineStr">
        <is>
          <t>UPPSALA LÄN</t>
        </is>
      </c>
      <c r="E728" t="inlineStr">
        <is>
          <t>TIERP</t>
        </is>
      </c>
      <c r="F728" t="inlineStr">
        <is>
          <t>Bergvik skog väst AB</t>
        </is>
      </c>
      <c r="G728" t="n">
        <v>1.9</v>
      </c>
      <c r="H728" t="n">
        <v>0</v>
      </c>
      <c r="I728" t="n">
        <v>0</v>
      </c>
      <c r="J728" t="n">
        <v>0</v>
      </c>
      <c r="K728" t="n">
        <v>0</v>
      </c>
      <c r="L728" t="n">
        <v>0</v>
      </c>
      <c r="M728" t="n">
        <v>0</v>
      </c>
      <c r="N728" t="n">
        <v>0</v>
      </c>
      <c r="O728" t="n">
        <v>0</v>
      </c>
      <c r="P728" t="n">
        <v>0</v>
      </c>
      <c r="Q728" t="n">
        <v>0</v>
      </c>
      <c r="R728" s="2" t="inlineStr"/>
    </row>
    <row r="729" ht="15" customHeight="1">
      <c r="A729" t="inlineStr">
        <is>
          <t>A 63631-2025</t>
        </is>
      </c>
      <c r="B729" s="1" t="n">
        <v>46014.37875</v>
      </c>
      <c r="C729" s="1" t="n">
        <v>46047</v>
      </c>
      <c r="D729" t="inlineStr">
        <is>
          <t>UPPSALA LÄN</t>
        </is>
      </c>
      <c r="E729" t="inlineStr">
        <is>
          <t>TIERP</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55872-2025</t>
        </is>
      </c>
      <c r="B730" s="1" t="n">
        <v>45973.35476851852</v>
      </c>
      <c r="C730" s="1" t="n">
        <v>46047</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55833-2025</t>
        </is>
      </c>
      <c r="B731" s="1" t="n">
        <v>45972</v>
      </c>
      <c r="C731" s="1" t="n">
        <v>46047</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56059-2025</t>
        </is>
      </c>
      <c r="B732" s="1" t="n">
        <v>45973.63755787037</v>
      </c>
      <c r="C732" s="1" t="n">
        <v>46047</v>
      </c>
      <c r="D732" t="inlineStr">
        <is>
          <t>UPPSALA LÄN</t>
        </is>
      </c>
      <c r="E732" t="inlineStr">
        <is>
          <t>TIERP</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55716-2025</t>
        </is>
      </c>
      <c r="B733" s="1" t="n">
        <v>45972</v>
      </c>
      <c r="C733" s="1" t="n">
        <v>46047</v>
      </c>
      <c r="D733" t="inlineStr">
        <is>
          <t>UPPSALA LÄN</t>
        </is>
      </c>
      <c r="E733" t="inlineStr">
        <is>
          <t>TIERP</t>
        </is>
      </c>
      <c r="G733" t="n">
        <v>4.8</v>
      </c>
      <c r="H733" t="n">
        <v>0</v>
      </c>
      <c r="I733" t="n">
        <v>0</v>
      </c>
      <c r="J733" t="n">
        <v>0</v>
      </c>
      <c r="K733" t="n">
        <v>0</v>
      </c>
      <c r="L733" t="n">
        <v>0</v>
      </c>
      <c r="M733" t="n">
        <v>0</v>
      </c>
      <c r="N733" t="n">
        <v>0</v>
      </c>
      <c r="O733" t="n">
        <v>0</v>
      </c>
      <c r="P733" t="n">
        <v>0</v>
      </c>
      <c r="Q733" t="n">
        <v>0</v>
      </c>
      <c r="R733" s="2" t="inlineStr"/>
    </row>
    <row r="734" ht="15" customHeight="1">
      <c r="A734" t="inlineStr">
        <is>
          <t>A 56067-2025</t>
        </is>
      </c>
      <c r="B734" s="1" t="n">
        <v>45973.6449537037</v>
      </c>
      <c r="C734" s="1" t="n">
        <v>46047</v>
      </c>
      <c r="D734" t="inlineStr">
        <is>
          <t>UPPSALA LÄN</t>
        </is>
      </c>
      <c r="E734" t="inlineStr">
        <is>
          <t>TIERP</t>
        </is>
      </c>
      <c r="F734" t="inlineStr">
        <is>
          <t>Bergvik skog väst AB</t>
        </is>
      </c>
      <c r="G734" t="n">
        <v>8.6</v>
      </c>
      <c r="H734" t="n">
        <v>0</v>
      </c>
      <c r="I734" t="n">
        <v>0</v>
      </c>
      <c r="J734" t="n">
        <v>0</v>
      </c>
      <c r="K734" t="n">
        <v>0</v>
      </c>
      <c r="L734" t="n">
        <v>0</v>
      </c>
      <c r="M734" t="n">
        <v>0</v>
      </c>
      <c r="N734" t="n">
        <v>0</v>
      </c>
      <c r="O734" t="n">
        <v>0</v>
      </c>
      <c r="P734" t="n">
        <v>0</v>
      </c>
      <c r="Q734" t="n">
        <v>0</v>
      </c>
      <c r="R734" s="2" t="inlineStr"/>
    </row>
    <row r="735" ht="15" customHeight="1">
      <c r="A735" t="inlineStr">
        <is>
          <t>A 55720-2025</t>
        </is>
      </c>
      <c r="B735" s="1" t="n">
        <v>45972</v>
      </c>
      <c r="C735" s="1" t="n">
        <v>46047</v>
      </c>
      <c r="D735" t="inlineStr">
        <is>
          <t>UPPSALA LÄN</t>
        </is>
      </c>
      <c r="E735" t="inlineStr">
        <is>
          <t>TIERP</t>
        </is>
      </c>
      <c r="G735" t="n">
        <v>4.2</v>
      </c>
      <c r="H735" t="n">
        <v>0</v>
      </c>
      <c r="I735" t="n">
        <v>0</v>
      </c>
      <c r="J735" t="n">
        <v>0</v>
      </c>
      <c r="K735" t="n">
        <v>0</v>
      </c>
      <c r="L735" t="n">
        <v>0</v>
      </c>
      <c r="M735" t="n">
        <v>0</v>
      </c>
      <c r="N735" t="n">
        <v>0</v>
      </c>
      <c r="O735" t="n">
        <v>0</v>
      </c>
      <c r="P735" t="n">
        <v>0</v>
      </c>
      <c r="Q735" t="n">
        <v>0</v>
      </c>
      <c r="R735" s="2" t="inlineStr"/>
    </row>
    <row r="736" ht="15" customHeight="1">
      <c r="A736" t="inlineStr">
        <is>
          <t>A 57075-2025</t>
        </is>
      </c>
      <c r="B736" s="1" t="n">
        <v>45979.39712962963</v>
      </c>
      <c r="C736" s="1" t="n">
        <v>46047</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63927-2025</t>
        </is>
      </c>
      <c r="B737" s="1" t="n">
        <v>46020.76443287037</v>
      </c>
      <c r="C737" s="1" t="n">
        <v>46047</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57064-2025</t>
        </is>
      </c>
      <c r="B738" s="1" t="n">
        <v>45979.38488425926</v>
      </c>
      <c r="C738" s="1" t="n">
        <v>46047</v>
      </c>
      <c r="D738" t="inlineStr">
        <is>
          <t>UPPSALA LÄN</t>
        </is>
      </c>
      <c r="E738" t="inlineStr">
        <is>
          <t>TIERP</t>
        </is>
      </c>
      <c r="G738" t="n">
        <v>2.6</v>
      </c>
      <c r="H738" t="n">
        <v>0</v>
      </c>
      <c r="I738" t="n">
        <v>0</v>
      </c>
      <c r="J738" t="n">
        <v>0</v>
      </c>
      <c r="K738" t="n">
        <v>0</v>
      </c>
      <c r="L738" t="n">
        <v>0</v>
      </c>
      <c r="M738" t="n">
        <v>0</v>
      </c>
      <c r="N738" t="n">
        <v>0</v>
      </c>
      <c r="O738" t="n">
        <v>0</v>
      </c>
      <c r="P738" t="n">
        <v>0</v>
      </c>
      <c r="Q738" t="n">
        <v>0</v>
      </c>
      <c r="R738" s="2" t="inlineStr"/>
    </row>
    <row r="739" ht="15" customHeight="1">
      <c r="A739" t="inlineStr">
        <is>
          <t>A 63924-2025</t>
        </is>
      </c>
      <c r="B739" s="1" t="n">
        <v>46020.7575</v>
      </c>
      <c r="C739" s="1" t="n">
        <v>46047</v>
      </c>
      <c r="D739" t="inlineStr">
        <is>
          <t>UPPSALA LÄN</t>
        </is>
      </c>
      <c r="E739" t="inlineStr">
        <is>
          <t>TIERP</t>
        </is>
      </c>
      <c r="F739" t="inlineStr">
        <is>
          <t>Bergvik skog öst AB</t>
        </is>
      </c>
      <c r="G739" t="n">
        <v>6.3</v>
      </c>
      <c r="H739" t="n">
        <v>0</v>
      </c>
      <c r="I739" t="n">
        <v>0</v>
      </c>
      <c r="J739" t="n">
        <v>0</v>
      </c>
      <c r="K739" t="n">
        <v>0</v>
      </c>
      <c r="L739" t="n">
        <v>0</v>
      </c>
      <c r="M739" t="n">
        <v>0</v>
      </c>
      <c r="N739" t="n">
        <v>0</v>
      </c>
      <c r="O739" t="n">
        <v>0</v>
      </c>
      <c r="P739" t="n">
        <v>0</v>
      </c>
      <c r="Q739" t="n">
        <v>0</v>
      </c>
      <c r="R739" s="2" t="inlineStr"/>
    </row>
    <row r="740" ht="15" customHeight="1">
      <c r="A740" t="inlineStr">
        <is>
          <t>A 63926-2025</t>
        </is>
      </c>
      <c r="B740" s="1" t="n">
        <v>46020.76140046296</v>
      </c>
      <c r="C740" s="1" t="n">
        <v>46047</v>
      </c>
      <c r="D740" t="inlineStr">
        <is>
          <t>UPPSALA LÄN</t>
        </is>
      </c>
      <c r="E740" t="inlineStr">
        <is>
          <t>TIERP</t>
        </is>
      </c>
      <c r="F740" t="inlineStr">
        <is>
          <t>Bergvik skog öst AB</t>
        </is>
      </c>
      <c r="G740" t="n">
        <v>4.5</v>
      </c>
      <c r="H740" t="n">
        <v>0</v>
      </c>
      <c r="I740" t="n">
        <v>0</v>
      </c>
      <c r="J740" t="n">
        <v>0</v>
      </c>
      <c r="K740" t="n">
        <v>0</v>
      </c>
      <c r="L740" t="n">
        <v>0</v>
      </c>
      <c r="M740" t="n">
        <v>0</v>
      </c>
      <c r="N740" t="n">
        <v>0</v>
      </c>
      <c r="O740" t="n">
        <v>0</v>
      </c>
      <c r="P740" t="n">
        <v>0</v>
      </c>
      <c r="Q740" t="n">
        <v>0</v>
      </c>
      <c r="R740" s="2" t="inlineStr"/>
    </row>
    <row r="741" ht="15" customHeight="1">
      <c r="A741" t="inlineStr">
        <is>
          <t>A 63928-2025</t>
        </is>
      </c>
      <c r="B741" s="1" t="n">
        <v>46020.76618055555</v>
      </c>
      <c r="C741" s="1" t="n">
        <v>46047</v>
      </c>
      <c r="D741" t="inlineStr">
        <is>
          <t>UPPSALA LÄN</t>
        </is>
      </c>
      <c r="E741" t="inlineStr">
        <is>
          <t>TIERP</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63930-2025</t>
        </is>
      </c>
      <c r="B742" s="1" t="n">
        <v>46020.77010416667</v>
      </c>
      <c r="C742" s="1" t="n">
        <v>46047</v>
      </c>
      <c r="D742" t="inlineStr">
        <is>
          <t>UPPSALA LÄN</t>
        </is>
      </c>
      <c r="E742" t="inlineStr">
        <is>
          <t>TIERP</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63921-2025</t>
        </is>
      </c>
      <c r="B743" s="1" t="n">
        <v>46020.75388888889</v>
      </c>
      <c r="C743" s="1" t="n">
        <v>46047</v>
      </c>
      <c r="D743" t="inlineStr">
        <is>
          <t>UPPSALA LÄN</t>
        </is>
      </c>
      <c r="E743" t="inlineStr">
        <is>
          <t>TIERP</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57277-2025</t>
        </is>
      </c>
      <c r="B744" s="1" t="n">
        <v>45979.68946759259</v>
      </c>
      <c r="C744" s="1" t="n">
        <v>46047</v>
      </c>
      <c r="D744" t="inlineStr">
        <is>
          <t>UPPSALA LÄN</t>
        </is>
      </c>
      <c r="E744" t="inlineStr">
        <is>
          <t>TIERP</t>
        </is>
      </c>
      <c r="G744" t="n">
        <v>4</v>
      </c>
      <c r="H744" t="n">
        <v>0</v>
      </c>
      <c r="I744" t="n">
        <v>0</v>
      </c>
      <c r="J744" t="n">
        <v>0</v>
      </c>
      <c r="K744" t="n">
        <v>0</v>
      </c>
      <c r="L744" t="n">
        <v>0</v>
      </c>
      <c r="M744" t="n">
        <v>0</v>
      </c>
      <c r="N744" t="n">
        <v>0</v>
      </c>
      <c r="O744" t="n">
        <v>0</v>
      </c>
      <c r="P744" t="n">
        <v>0</v>
      </c>
      <c r="Q744" t="n">
        <v>0</v>
      </c>
      <c r="R744" s="2" t="inlineStr"/>
    </row>
    <row r="745" ht="15" customHeight="1">
      <c r="A745" t="inlineStr">
        <is>
          <t>A 57878-2025</t>
        </is>
      </c>
      <c r="B745" s="1" t="n">
        <v>45981.65857638889</v>
      </c>
      <c r="C745" s="1" t="n">
        <v>46047</v>
      </c>
      <c r="D745" t="inlineStr">
        <is>
          <t>UPPSALA LÄN</t>
        </is>
      </c>
      <c r="E745" t="inlineStr">
        <is>
          <t>TIERP</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57657-2025</t>
        </is>
      </c>
      <c r="B746" s="1" t="n">
        <v>45981.40962962963</v>
      </c>
      <c r="C746" s="1" t="n">
        <v>46047</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57811-2025</t>
        </is>
      </c>
      <c r="B747" s="1" t="n">
        <v>45981.5921875</v>
      </c>
      <c r="C747" s="1" t="n">
        <v>46047</v>
      </c>
      <c r="D747" t="inlineStr">
        <is>
          <t>UPPSALA LÄN</t>
        </is>
      </c>
      <c r="E747" t="inlineStr">
        <is>
          <t>TIERP</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57692-2025</t>
        </is>
      </c>
      <c r="B748" s="1" t="n">
        <v>45981.4483912037</v>
      </c>
      <c r="C748" s="1" t="n">
        <v>46047</v>
      </c>
      <c r="D748" t="inlineStr">
        <is>
          <t>UPPSALA LÄN</t>
        </is>
      </c>
      <c r="E748" t="inlineStr">
        <is>
          <t>TIERP</t>
        </is>
      </c>
      <c r="G748" t="n">
        <v>2.5</v>
      </c>
      <c r="H748" t="n">
        <v>0</v>
      </c>
      <c r="I748" t="n">
        <v>0</v>
      </c>
      <c r="J748" t="n">
        <v>0</v>
      </c>
      <c r="K748" t="n">
        <v>0</v>
      </c>
      <c r="L748" t="n">
        <v>0</v>
      </c>
      <c r="M748" t="n">
        <v>0</v>
      </c>
      <c r="N748" t="n">
        <v>0</v>
      </c>
      <c r="O748" t="n">
        <v>0</v>
      </c>
      <c r="P748" t="n">
        <v>0</v>
      </c>
      <c r="Q748" t="n">
        <v>0</v>
      </c>
      <c r="R748" s="2" t="inlineStr"/>
    </row>
    <row r="749" ht="15" customHeight="1">
      <c r="A749" t="inlineStr">
        <is>
          <t>A 57699-2025</t>
        </is>
      </c>
      <c r="B749" s="1" t="n">
        <v>45981.45741898148</v>
      </c>
      <c r="C749" s="1" t="n">
        <v>46047</v>
      </c>
      <c r="D749" t="inlineStr">
        <is>
          <t>UPPSALA LÄN</t>
        </is>
      </c>
      <c r="E749" t="inlineStr">
        <is>
          <t>TIERP</t>
        </is>
      </c>
      <c r="G749" t="n">
        <v>1.2</v>
      </c>
      <c r="H749" t="n">
        <v>0</v>
      </c>
      <c r="I749" t="n">
        <v>0</v>
      </c>
      <c r="J749" t="n">
        <v>0</v>
      </c>
      <c r="K749" t="n">
        <v>0</v>
      </c>
      <c r="L749" t="n">
        <v>0</v>
      </c>
      <c r="M749" t="n">
        <v>0</v>
      </c>
      <c r="N749" t="n">
        <v>0</v>
      </c>
      <c r="O749" t="n">
        <v>0</v>
      </c>
      <c r="P749" t="n">
        <v>0</v>
      </c>
      <c r="Q749" t="n">
        <v>0</v>
      </c>
      <c r="R749" s="2" t="inlineStr"/>
    </row>
    <row r="750" ht="15" customHeight="1">
      <c r="A750" t="inlineStr">
        <is>
          <t>A 57422-2025</t>
        </is>
      </c>
      <c r="B750" s="1" t="n">
        <v>45980.45951388889</v>
      </c>
      <c r="C750" s="1" t="n">
        <v>46047</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58134-2025</t>
        </is>
      </c>
      <c r="B751" s="1" t="n">
        <v>45982.61978009259</v>
      </c>
      <c r="C751" s="1" t="n">
        <v>46047</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57944-2025</t>
        </is>
      </c>
      <c r="B752" s="1" t="n">
        <v>45982.32059027778</v>
      </c>
      <c r="C752" s="1" t="n">
        <v>46047</v>
      </c>
      <c r="D752" t="inlineStr">
        <is>
          <t>UPPSALA LÄN</t>
        </is>
      </c>
      <c r="E752" t="inlineStr">
        <is>
          <t>TIERP</t>
        </is>
      </c>
      <c r="F752" t="inlineStr">
        <is>
          <t>Övriga Aktiebolag</t>
        </is>
      </c>
      <c r="G752" t="n">
        <v>6.2</v>
      </c>
      <c r="H752" t="n">
        <v>0</v>
      </c>
      <c r="I752" t="n">
        <v>0</v>
      </c>
      <c r="J752" t="n">
        <v>0</v>
      </c>
      <c r="K752" t="n">
        <v>0</v>
      </c>
      <c r="L752" t="n">
        <v>0</v>
      </c>
      <c r="M752" t="n">
        <v>0</v>
      </c>
      <c r="N752" t="n">
        <v>0</v>
      </c>
      <c r="O752" t="n">
        <v>0</v>
      </c>
      <c r="P752" t="n">
        <v>0</v>
      </c>
      <c r="Q752" t="n">
        <v>0</v>
      </c>
      <c r="R752" s="2" t="inlineStr"/>
    </row>
    <row r="753" ht="15" customHeight="1">
      <c r="A753" t="inlineStr">
        <is>
          <t>A 57945-2025</t>
        </is>
      </c>
      <c r="B753" s="1" t="n">
        <v>45982.32641203704</v>
      </c>
      <c r="C753" s="1" t="n">
        <v>46047</v>
      </c>
      <c r="D753" t="inlineStr">
        <is>
          <t>UPPSALA LÄN</t>
        </is>
      </c>
      <c r="E753" t="inlineStr">
        <is>
          <t>TIERP</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57966-2025</t>
        </is>
      </c>
      <c r="B754" s="1" t="n">
        <v>45982.38324074074</v>
      </c>
      <c r="C754" s="1" t="n">
        <v>46047</v>
      </c>
      <c r="D754" t="inlineStr">
        <is>
          <t>UPPSALA LÄN</t>
        </is>
      </c>
      <c r="E754" t="inlineStr">
        <is>
          <t>TIERP</t>
        </is>
      </c>
      <c r="G754" t="n">
        <v>1.8</v>
      </c>
      <c r="H754" t="n">
        <v>0</v>
      </c>
      <c r="I754" t="n">
        <v>0</v>
      </c>
      <c r="J754" t="n">
        <v>0</v>
      </c>
      <c r="K754" t="n">
        <v>0</v>
      </c>
      <c r="L754" t="n">
        <v>0</v>
      </c>
      <c r="M754" t="n">
        <v>0</v>
      </c>
      <c r="N754" t="n">
        <v>0</v>
      </c>
      <c r="O754" t="n">
        <v>0</v>
      </c>
      <c r="P754" t="n">
        <v>0</v>
      </c>
      <c r="Q754" t="n">
        <v>0</v>
      </c>
      <c r="R754" s="2" t="inlineStr"/>
    </row>
    <row r="755" ht="15" customHeight="1">
      <c r="A755" t="inlineStr">
        <is>
          <t>A 380-2026</t>
        </is>
      </c>
      <c r="B755" s="1" t="n">
        <v>46027.73540509259</v>
      </c>
      <c r="C755" s="1" t="n">
        <v>46047</v>
      </c>
      <c r="D755" t="inlineStr">
        <is>
          <t>UPPSALA LÄN</t>
        </is>
      </c>
      <c r="E755" t="inlineStr">
        <is>
          <t>TIERP</t>
        </is>
      </c>
      <c r="G755" t="n">
        <v>5.1</v>
      </c>
      <c r="H755" t="n">
        <v>0</v>
      </c>
      <c r="I755" t="n">
        <v>0</v>
      </c>
      <c r="J755" t="n">
        <v>0</v>
      </c>
      <c r="K755" t="n">
        <v>0</v>
      </c>
      <c r="L755" t="n">
        <v>0</v>
      </c>
      <c r="M755" t="n">
        <v>0</v>
      </c>
      <c r="N755" t="n">
        <v>0</v>
      </c>
      <c r="O755" t="n">
        <v>0</v>
      </c>
      <c r="P755" t="n">
        <v>0</v>
      </c>
      <c r="Q755" t="n">
        <v>0</v>
      </c>
      <c r="R755" s="2" t="inlineStr"/>
    </row>
    <row r="756" ht="15" customHeight="1">
      <c r="A756" t="inlineStr">
        <is>
          <t>A 63883-2025</t>
        </is>
      </c>
      <c r="B756" s="1" t="n">
        <v>46020.58802083333</v>
      </c>
      <c r="C756" s="1" t="n">
        <v>46047</v>
      </c>
      <c r="D756" t="inlineStr">
        <is>
          <t>UPPSALA LÄN</t>
        </is>
      </c>
      <c r="E756" t="inlineStr">
        <is>
          <t>TIERP</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63258-2025</t>
        </is>
      </c>
      <c r="B757" s="1" t="n">
        <v>46010.55542824074</v>
      </c>
      <c r="C757" s="1" t="n">
        <v>46047</v>
      </c>
      <c r="D757" t="inlineStr">
        <is>
          <t>UPPSALA LÄN</t>
        </is>
      </c>
      <c r="E757" t="inlineStr">
        <is>
          <t>TIERP</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63261-2025</t>
        </is>
      </c>
      <c r="B758" s="1" t="n">
        <v>46010.55767361111</v>
      </c>
      <c r="C758" s="1" t="n">
        <v>46047</v>
      </c>
      <c r="D758" t="inlineStr">
        <is>
          <t>UPPSALA LÄN</t>
        </is>
      </c>
      <c r="E758" t="inlineStr">
        <is>
          <t>TIERP</t>
        </is>
      </c>
      <c r="F758" t="inlineStr">
        <is>
          <t>Bergvik skog öst AB</t>
        </is>
      </c>
      <c r="G758" t="n">
        <v>16.6</v>
      </c>
      <c r="H758" t="n">
        <v>0</v>
      </c>
      <c r="I758" t="n">
        <v>0</v>
      </c>
      <c r="J758" t="n">
        <v>0</v>
      </c>
      <c r="K758" t="n">
        <v>0</v>
      </c>
      <c r="L758" t="n">
        <v>0</v>
      </c>
      <c r="M758" t="n">
        <v>0</v>
      </c>
      <c r="N758" t="n">
        <v>0</v>
      </c>
      <c r="O758" t="n">
        <v>0</v>
      </c>
      <c r="P758" t="n">
        <v>0</v>
      </c>
      <c r="Q758" t="n">
        <v>0</v>
      </c>
      <c r="R758" s="2" t="inlineStr"/>
    </row>
    <row r="759" ht="15" customHeight="1">
      <c r="A759" t="inlineStr">
        <is>
          <t>A 402-2026</t>
        </is>
      </c>
      <c r="B759" s="1" t="n">
        <v>46028.66145833334</v>
      </c>
      <c r="C759" s="1" t="n">
        <v>46047</v>
      </c>
      <c r="D759" t="inlineStr">
        <is>
          <t>UPPSALA LÄN</t>
        </is>
      </c>
      <c r="E759" t="inlineStr">
        <is>
          <t>TIERP</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58842-2025</t>
        </is>
      </c>
      <c r="B760" s="1" t="n">
        <v>45987.36651620371</v>
      </c>
      <c r="C760" s="1" t="n">
        <v>46047</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399-2026</t>
        </is>
      </c>
      <c r="B761" s="1" t="n">
        <v>46028.65712962963</v>
      </c>
      <c r="C761" s="1" t="n">
        <v>46047</v>
      </c>
      <c r="D761" t="inlineStr">
        <is>
          <t>UPPSALA LÄN</t>
        </is>
      </c>
      <c r="E761" t="inlineStr">
        <is>
          <t>TIERP</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53090-2025</t>
        </is>
      </c>
      <c r="B762" s="1" t="n">
        <v>45958.42043981481</v>
      </c>
      <c r="C762" s="1" t="n">
        <v>46047</v>
      </c>
      <c r="D762" t="inlineStr">
        <is>
          <t>UPPSALA LÄN</t>
        </is>
      </c>
      <c r="E762" t="inlineStr">
        <is>
          <t>TIERP</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51646-2025</t>
        </is>
      </c>
      <c r="B763" s="1" t="n">
        <v>45951.44916666667</v>
      </c>
      <c r="C763" s="1" t="n">
        <v>46047</v>
      </c>
      <c r="D763" t="inlineStr">
        <is>
          <t>UPPSALA LÄN</t>
        </is>
      </c>
      <c r="E763" t="inlineStr">
        <is>
          <t>TIERP</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401-2026</t>
        </is>
      </c>
      <c r="B764" s="1" t="n">
        <v>46028.65945601852</v>
      </c>
      <c r="C764" s="1" t="n">
        <v>46047</v>
      </c>
      <c r="D764" t="inlineStr">
        <is>
          <t>UPPSALA LÄN</t>
        </is>
      </c>
      <c r="E764" t="inlineStr">
        <is>
          <t>TIERP</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39383-2025</t>
        </is>
      </c>
      <c r="B765" s="1" t="n">
        <v>45889.61184027778</v>
      </c>
      <c r="C765" s="1" t="n">
        <v>46047</v>
      </c>
      <c r="D765" t="inlineStr">
        <is>
          <t>UPPSALA LÄN</t>
        </is>
      </c>
      <c r="E765" t="inlineStr">
        <is>
          <t>TIERP</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49777-2025</t>
        </is>
      </c>
      <c r="B766" s="1" t="n">
        <v>45940.38178240741</v>
      </c>
      <c r="C766" s="1" t="n">
        <v>46047</v>
      </c>
      <c r="D766" t="inlineStr">
        <is>
          <t>UPPSALA LÄN</t>
        </is>
      </c>
      <c r="E766" t="inlineStr">
        <is>
          <t>TIERP</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53516-2025</t>
        </is>
      </c>
      <c r="B767" s="1" t="n">
        <v>45960.34961805555</v>
      </c>
      <c r="C767" s="1" t="n">
        <v>46047</v>
      </c>
      <c r="D767" t="inlineStr">
        <is>
          <t>UPPSALA LÄN</t>
        </is>
      </c>
      <c r="E767" t="inlineStr">
        <is>
          <t>TIERP</t>
        </is>
      </c>
      <c r="F767" t="inlineStr">
        <is>
          <t>Bergvik skog öst AB</t>
        </is>
      </c>
      <c r="G767" t="n">
        <v>2</v>
      </c>
      <c r="H767" t="n">
        <v>0</v>
      </c>
      <c r="I767" t="n">
        <v>0</v>
      </c>
      <c r="J767" t="n">
        <v>0</v>
      </c>
      <c r="K767" t="n">
        <v>0</v>
      </c>
      <c r="L767" t="n">
        <v>0</v>
      </c>
      <c r="M767" t="n">
        <v>0</v>
      </c>
      <c r="N767" t="n">
        <v>0</v>
      </c>
      <c r="O767" t="n">
        <v>0</v>
      </c>
      <c r="P767" t="n">
        <v>0</v>
      </c>
      <c r="Q767" t="n">
        <v>0</v>
      </c>
      <c r="R767" s="2" t="inlineStr"/>
    </row>
    <row r="768" ht="15" customHeight="1">
      <c r="A768" t="inlineStr">
        <is>
          <t>A 55130-2025</t>
        </is>
      </c>
      <c r="B768" s="1" t="n">
        <v>45968.41636574074</v>
      </c>
      <c r="C768" s="1" t="n">
        <v>46047</v>
      </c>
      <c r="D768" t="inlineStr">
        <is>
          <t>UPPSALA LÄN</t>
        </is>
      </c>
      <c r="E768" t="inlineStr">
        <is>
          <t>TIERP</t>
        </is>
      </c>
      <c r="F768" t="inlineStr">
        <is>
          <t>Bergvik skog öst AB</t>
        </is>
      </c>
      <c r="G768" t="n">
        <v>3.3</v>
      </c>
      <c r="H768" t="n">
        <v>0</v>
      </c>
      <c r="I768" t="n">
        <v>0</v>
      </c>
      <c r="J768" t="n">
        <v>0</v>
      </c>
      <c r="K768" t="n">
        <v>0</v>
      </c>
      <c r="L768" t="n">
        <v>0</v>
      </c>
      <c r="M768" t="n">
        <v>0</v>
      </c>
      <c r="N768" t="n">
        <v>0</v>
      </c>
      <c r="O768" t="n">
        <v>0</v>
      </c>
      <c r="P768" t="n">
        <v>0</v>
      </c>
      <c r="Q768" t="n">
        <v>0</v>
      </c>
      <c r="R768" s="2" t="inlineStr"/>
    </row>
    <row r="769" ht="15" customHeight="1">
      <c r="A769" t="inlineStr">
        <is>
          <t>A 53679-2025</t>
        </is>
      </c>
      <c r="B769" s="1" t="n">
        <v>45960.57180555556</v>
      </c>
      <c r="C769" s="1" t="n">
        <v>46047</v>
      </c>
      <c r="D769" t="inlineStr">
        <is>
          <t>UPPSALA LÄN</t>
        </is>
      </c>
      <c r="E769" t="inlineStr">
        <is>
          <t>TIERP</t>
        </is>
      </c>
      <c r="F769" t="inlineStr">
        <is>
          <t>Bergvik skog öst AB</t>
        </is>
      </c>
      <c r="G769" t="n">
        <v>3</v>
      </c>
      <c r="H769" t="n">
        <v>0</v>
      </c>
      <c r="I769" t="n">
        <v>0</v>
      </c>
      <c r="J769" t="n">
        <v>0</v>
      </c>
      <c r="K769" t="n">
        <v>0</v>
      </c>
      <c r="L769" t="n">
        <v>0</v>
      </c>
      <c r="M769" t="n">
        <v>0</v>
      </c>
      <c r="N769" t="n">
        <v>0</v>
      </c>
      <c r="O769" t="n">
        <v>0</v>
      </c>
      <c r="P769" t="n">
        <v>0</v>
      </c>
      <c r="Q769" t="n">
        <v>0</v>
      </c>
      <c r="R769" s="2" t="inlineStr"/>
    </row>
    <row r="770" ht="15" customHeight="1">
      <c r="A770" t="inlineStr">
        <is>
          <t>A 51060-2025</t>
        </is>
      </c>
      <c r="B770" s="1" t="n">
        <v>45947.44677083333</v>
      </c>
      <c r="C770" s="1" t="n">
        <v>46047</v>
      </c>
      <c r="D770" t="inlineStr">
        <is>
          <t>UPPSALA LÄN</t>
        </is>
      </c>
      <c r="E770" t="inlineStr">
        <is>
          <t>TIERP</t>
        </is>
      </c>
      <c r="F770" t="inlineStr">
        <is>
          <t>Bergvik skog öst AB</t>
        </is>
      </c>
      <c r="G770" t="n">
        <v>2.3</v>
      </c>
      <c r="H770" t="n">
        <v>0</v>
      </c>
      <c r="I770" t="n">
        <v>0</v>
      </c>
      <c r="J770" t="n">
        <v>0</v>
      </c>
      <c r="K770" t="n">
        <v>0</v>
      </c>
      <c r="L770" t="n">
        <v>0</v>
      </c>
      <c r="M770" t="n">
        <v>0</v>
      </c>
      <c r="N770" t="n">
        <v>0</v>
      </c>
      <c r="O770" t="n">
        <v>0</v>
      </c>
      <c r="P770" t="n">
        <v>0</v>
      </c>
      <c r="Q770" t="n">
        <v>0</v>
      </c>
      <c r="R770" s="2" t="inlineStr"/>
    </row>
    <row r="771" ht="15" customHeight="1">
      <c r="A771" t="inlineStr">
        <is>
          <t>A 53121-2025</t>
        </is>
      </c>
      <c r="B771" s="1" t="n">
        <v>45958.45113425926</v>
      </c>
      <c r="C771" s="1" t="n">
        <v>46047</v>
      </c>
      <c r="D771" t="inlineStr">
        <is>
          <t>UPPSALA LÄN</t>
        </is>
      </c>
      <c r="E771" t="inlineStr">
        <is>
          <t>TIERP</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398-2026</t>
        </is>
      </c>
      <c r="B772" s="1" t="n">
        <v>46028.65503472222</v>
      </c>
      <c r="C772" s="1" t="n">
        <v>46047</v>
      </c>
      <c r="D772" t="inlineStr">
        <is>
          <t>UPPSALA LÄN</t>
        </is>
      </c>
      <c r="E772" t="inlineStr">
        <is>
          <t>TIERP</t>
        </is>
      </c>
      <c r="F772" t="inlineStr">
        <is>
          <t>Bergvik skog öst AB</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63259-2025</t>
        </is>
      </c>
      <c r="B773" s="1" t="n">
        <v>46010.55642361111</v>
      </c>
      <c r="C773" s="1" t="n">
        <v>46047</v>
      </c>
      <c r="D773" t="inlineStr">
        <is>
          <t>UPPSALA LÄN</t>
        </is>
      </c>
      <c r="E773" t="inlineStr">
        <is>
          <t>TIERP</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63262-2025</t>
        </is>
      </c>
      <c r="B774" s="1" t="n">
        <v>46010.55979166667</v>
      </c>
      <c r="C774" s="1" t="n">
        <v>46047</v>
      </c>
      <c r="D774" t="inlineStr">
        <is>
          <t>UPPSALA LÄN</t>
        </is>
      </c>
      <c r="E774" t="inlineStr">
        <is>
          <t>TIERP</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52795-2025</t>
        </is>
      </c>
      <c r="B775" s="1" t="n">
        <v>45957.43520833334</v>
      </c>
      <c r="C775" s="1" t="n">
        <v>46047</v>
      </c>
      <c r="D775" t="inlineStr">
        <is>
          <t>UPPSALA LÄN</t>
        </is>
      </c>
      <c r="E775" t="inlineStr">
        <is>
          <t>TIERP</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55143-2025</t>
        </is>
      </c>
      <c r="B776" s="1" t="n">
        <v>45968.4377662037</v>
      </c>
      <c r="C776" s="1" t="n">
        <v>46047</v>
      </c>
      <c r="D776" t="inlineStr">
        <is>
          <t>UPPSALA LÄN</t>
        </is>
      </c>
      <c r="E776" t="inlineStr">
        <is>
          <t>TIERP</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63263-2025</t>
        </is>
      </c>
      <c r="B777" s="1" t="n">
        <v>46010.56049768518</v>
      </c>
      <c r="C777" s="1" t="n">
        <v>46047</v>
      </c>
      <c r="D777" t="inlineStr">
        <is>
          <t>UPPSALA LÄN</t>
        </is>
      </c>
      <c r="E777" t="inlineStr">
        <is>
          <t>TIERP</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58946-2025</t>
        </is>
      </c>
      <c r="B778" s="1" t="n">
        <v>45987.58097222223</v>
      </c>
      <c r="C778" s="1" t="n">
        <v>46047</v>
      </c>
      <c r="D778" t="inlineStr">
        <is>
          <t>UPPSALA LÄN</t>
        </is>
      </c>
      <c r="E778" t="inlineStr">
        <is>
          <t>TIERP</t>
        </is>
      </c>
      <c r="G778" t="n">
        <v>5.5</v>
      </c>
      <c r="H778" t="n">
        <v>0</v>
      </c>
      <c r="I778" t="n">
        <v>0</v>
      </c>
      <c r="J778" t="n">
        <v>0</v>
      </c>
      <c r="K778" t="n">
        <v>0</v>
      </c>
      <c r="L778" t="n">
        <v>0</v>
      </c>
      <c r="M778" t="n">
        <v>0</v>
      </c>
      <c r="N778" t="n">
        <v>0</v>
      </c>
      <c r="O778" t="n">
        <v>0</v>
      </c>
      <c r="P778" t="n">
        <v>0</v>
      </c>
      <c r="Q778" t="n">
        <v>0</v>
      </c>
      <c r="R778" s="2" t="inlineStr"/>
    </row>
    <row r="779" ht="15" customHeight="1">
      <c r="A779" t="inlineStr">
        <is>
          <t>A 58661-2025</t>
        </is>
      </c>
      <c r="B779" s="1" t="n">
        <v>45986.53128472222</v>
      </c>
      <c r="C779" s="1" t="n">
        <v>46047</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53094-2025</t>
        </is>
      </c>
      <c r="B780" s="1" t="n">
        <v>45958.42452546296</v>
      </c>
      <c r="C780" s="1" t="n">
        <v>46047</v>
      </c>
      <c r="D780" t="inlineStr">
        <is>
          <t>UPPSALA LÄN</t>
        </is>
      </c>
      <c r="E780" t="inlineStr">
        <is>
          <t>TIERP</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53784-2025</t>
        </is>
      </c>
      <c r="B781" s="1" t="n">
        <v>45960.71332175926</v>
      </c>
      <c r="C781" s="1" t="n">
        <v>46047</v>
      </c>
      <c r="D781" t="inlineStr">
        <is>
          <t>UPPSALA LÄN</t>
        </is>
      </c>
      <c r="E781" t="inlineStr">
        <is>
          <t>TIERP</t>
        </is>
      </c>
      <c r="F781" t="inlineStr">
        <is>
          <t>Bergvik skog öst AB</t>
        </is>
      </c>
      <c r="G781" t="n">
        <v>2.1</v>
      </c>
      <c r="H781" t="n">
        <v>0</v>
      </c>
      <c r="I781" t="n">
        <v>0</v>
      </c>
      <c r="J781" t="n">
        <v>0</v>
      </c>
      <c r="K781" t="n">
        <v>0</v>
      </c>
      <c r="L781" t="n">
        <v>0</v>
      </c>
      <c r="M781" t="n">
        <v>0</v>
      </c>
      <c r="N781" t="n">
        <v>0</v>
      </c>
      <c r="O781" t="n">
        <v>0</v>
      </c>
      <c r="P781" t="n">
        <v>0</v>
      </c>
      <c r="Q781" t="n">
        <v>0</v>
      </c>
      <c r="R781" s="2" t="inlineStr"/>
    </row>
    <row r="782" ht="15" customHeight="1">
      <c r="A782" t="inlineStr">
        <is>
          <t>A 99-2026</t>
        </is>
      </c>
      <c r="B782" s="1" t="n">
        <v>46024.50481481481</v>
      </c>
      <c r="C782" s="1" t="n">
        <v>46047</v>
      </c>
      <c r="D782" t="inlineStr">
        <is>
          <t>UPPSALA LÄN</t>
        </is>
      </c>
      <c r="E782" t="inlineStr">
        <is>
          <t>TIERP</t>
        </is>
      </c>
      <c r="F782" t="inlineStr">
        <is>
          <t>Bergvik skog öst AB</t>
        </is>
      </c>
      <c r="G782" t="n">
        <v>8.4</v>
      </c>
      <c r="H782" t="n">
        <v>0</v>
      </c>
      <c r="I782" t="n">
        <v>0</v>
      </c>
      <c r="J782" t="n">
        <v>0</v>
      </c>
      <c r="K782" t="n">
        <v>0</v>
      </c>
      <c r="L782" t="n">
        <v>0</v>
      </c>
      <c r="M782" t="n">
        <v>0</v>
      </c>
      <c r="N782" t="n">
        <v>0</v>
      </c>
      <c r="O782" t="n">
        <v>0</v>
      </c>
      <c r="P782" t="n">
        <v>0</v>
      </c>
      <c r="Q782" t="n">
        <v>0</v>
      </c>
      <c r="R782" s="2" t="inlineStr"/>
    </row>
    <row r="783" ht="15" customHeight="1">
      <c r="A783" t="inlineStr">
        <is>
          <t>A 53798-2025</t>
        </is>
      </c>
      <c r="B783" s="1" t="n">
        <v>45960.76657407408</v>
      </c>
      <c r="C783" s="1" t="n">
        <v>46047</v>
      </c>
      <c r="D783" t="inlineStr">
        <is>
          <t>UPPSALA LÄN</t>
        </is>
      </c>
      <c r="E783" t="inlineStr">
        <is>
          <t>TIERP</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39380-2025</t>
        </is>
      </c>
      <c r="B784" s="1" t="n">
        <v>45889.60385416666</v>
      </c>
      <c r="C784" s="1" t="n">
        <v>46047</v>
      </c>
      <c r="D784" t="inlineStr">
        <is>
          <t>UPPSALA LÄN</t>
        </is>
      </c>
      <c r="E784" t="inlineStr">
        <is>
          <t>TIERP</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796-2026</t>
        </is>
      </c>
      <c r="B785" s="1" t="n">
        <v>46029.86646990741</v>
      </c>
      <c r="C785" s="1" t="n">
        <v>46047</v>
      </c>
      <c r="D785" t="inlineStr">
        <is>
          <t>UPPSALA LÄN</t>
        </is>
      </c>
      <c r="E785" t="inlineStr">
        <is>
          <t>TIERP</t>
        </is>
      </c>
      <c r="G785" t="n">
        <v>2.6</v>
      </c>
      <c r="H785" t="n">
        <v>0</v>
      </c>
      <c r="I785" t="n">
        <v>0</v>
      </c>
      <c r="J785" t="n">
        <v>0</v>
      </c>
      <c r="K785" t="n">
        <v>0</v>
      </c>
      <c r="L785" t="n">
        <v>0</v>
      </c>
      <c r="M785" t="n">
        <v>0</v>
      </c>
      <c r="N785" t="n">
        <v>0</v>
      </c>
      <c r="O785" t="n">
        <v>0</v>
      </c>
      <c r="P785" t="n">
        <v>0</v>
      </c>
      <c r="Q785" t="n">
        <v>0</v>
      </c>
      <c r="R785" s="2" t="inlineStr"/>
    </row>
    <row r="786" ht="15" customHeight="1">
      <c r="A786" t="inlineStr">
        <is>
          <t>A 63746-2025</t>
        </is>
      </c>
      <c r="B786" s="1" t="n">
        <v>46017.47381944444</v>
      </c>
      <c r="C786" s="1" t="n">
        <v>46047</v>
      </c>
      <c r="D786" t="inlineStr">
        <is>
          <t>UPPSALA LÄN</t>
        </is>
      </c>
      <c r="E786" t="inlineStr">
        <is>
          <t>TIERP</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58969-2025</t>
        </is>
      </c>
      <c r="B787" s="1" t="n">
        <v>45987.60527777778</v>
      </c>
      <c r="C787" s="1" t="n">
        <v>46047</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51094-2025</t>
        </is>
      </c>
      <c r="B788" s="1" t="n">
        <v>45947.47751157408</v>
      </c>
      <c r="C788" s="1" t="n">
        <v>46047</v>
      </c>
      <c r="D788" t="inlineStr">
        <is>
          <t>UPPSALA LÄN</t>
        </is>
      </c>
      <c r="E788" t="inlineStr">
        <is>
          <t>TIERP</t>
        </is>
      </c>
      <c r="F788" t="inlineStr">
        <is>
          <t>Bergvik skog öst AB</t>
        </is>
      </c>
      <c r="G788" t="n">
        <v>5.2</v>
      </c>
      <c r="H788" t="n">
        <v>0</v>
      </c>
      <c r="I788" t="n">
        <v>0</v>
      </c>
      <c r="J788" t="n">
        <v>0</v>
      </c>
      <c r="K788" t="n">
        <v>0</v>
      </c>
      <c r="L788" t="n">
        <v>0</v>
      </c>
      <c r="M788" t="n">
        <v>0</v>
      </c>
      <c r="N788" t="n">
        <v>0</v>
      </c>
      <c r="O788" t="n">
        <v>0</v>
      </c>
      <c r="P788" t="n">
        <v>0</v>
      </c>
      <c r="Q788" t="n">
        <v>0</v>
      </c>
      <c r="R788" s="2" t="inlineStr"/>
    </row>
    <row r="789" ht="15" customHeight="1">
      <c r="A789" t="inlineStr">
        <is>
          <t>A 51125-2025</t>
        </is>
      </c>
      <c r="B789" s="1" t="n">
        <v>45947.5503587963</v>
      </c>
      <c r="C789" s="1" t="n">
        <v>46047</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51139-2025</t>
        </is>
      </c>
      <c r="B790" s="1" t="n">
        <v>45947.56074074074</v>
      </c>
      <c r="C790" s="1" t="n">
        <v>46047</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53088-2025</t>
        </is>
      </c>
      <c r="B791" s="1" t="n">
        <v>45958.41660879629</v>
      </c>
      <c r="C791" s="1" t="n">
        <v>46047</v>
      </c>
      <c r="D791" t="inlineStr">
        <is>
          <t>UPPSALA LÄN</t>
        </is>
      </c>
      <c r="E791" t="inlineStr">
        <is>
          <t>TIERP</t>
        </is>
      </c>
      <c r="F791" t="inlineStr">
        <is>
          <t>Bergvik skog öst AB</t>
        </is>
      </c>
      <c r="G791" t="n">
        <v>3</v>
      </c>
      <c r="H791" t="n">
        <v>0</v>
      </c>
      <c r="I791" t="n">
        <v>0</v>
      </c>
      <c r="J791" t="n">
        <v>0</v>
      </c>
      <c r="K791" t="n">
        <v>0</v>
      </c>
      <c r="L791" t="n">
        <v>0</v>
      </c>
      <c r="M791" t="n">
        <v>0</v>
      </c>
      <c r="N791" t="n">
        <v>0</v>
      </c>
      <c r="O791" t="n">
        <v>0</v>
      </c>
      <c r="P791" t="n">
        <v>0</v>
      </c>
      <c r="Q791" t="n">
        <v>0</v>
      </c>
      <c r="R791" s="2" t="inlineStr"/>
    </row>
    <row r="792" ht="15" customHeight="1">
      <c r="A792" t="inlineStr">
        <is>
          <t>A 53106-2025</t>
        </is>
      </c>
      <c r="B792" s="1" t="n">
        <v>45958.43461805556</v>
      </c>
      <c r="C792" s="1" t="n">
        <v>46047</v>
      </c>
      <c r="D792" t="inlineStr">
        <is>
          <t>UPPSALA LÄN</t>
        </is>
      </c>
      <c r="E792" t="inlineStr">
        <is>
          <t>TIERP</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63331-2025</t>
        </is>
      </c>
      <c r="B793" s="1" t="n">
        <v>46010.64234953704</v>
      </c>
      <c r="C793" s="1" t="n">
        <v>46047</v>
      </c>
      <c r="D793" t="inlineStr">
        <is>
          <t>UPPSALA LÄN</t>
        </is>
      </c>
      <c r="E793" t="inlineStr">
        <is>
          <t>TIERP</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63348-2025</t>
        </is>
      </c>
      <c r="B794" s="1" t="n">
        <v>46010.66298611111</v>
      </c>
      <c r="C794" s="1" t="n">
        <v>46047</v>
      </c>
      <c r="D794" t="inlineStr">
        <is>
          <t>UPPSALA LÄN</t>
        </is>
      </c>
      <c r="E794" t="inlineStr">
        <is>
          <t>TIERP</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63747-2025</t>
        </is>
      </c>
      <c r="B795" s="1" t="n">
        <v>46017.53915509259</v>
      </c>
      <c r="C795" s="1" t="n">
        <v>46047</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63886-2025</t>
        </is>
      </c>
      <c r="B796" s="1" t="n">
        <v>46020.61392361111</v>
      </c>
      <c r="C796" s="1" t="n">
        <v>46047</v>
      </c>
      <c r="D796" t="inlineStr">
        <is>
          <t>UPPSALA LÄN</t>
        </is>
      </c>
      <c r="E796" t="inlineStr">
        <is>
          <t>TIERP</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53686-2025</t>
        </is>
      </c>
      <c r="B797" s="1" t="n">
        <v>45960.57493055556</v>
      </c>
      <c r="C797" s="1" t="n">
        <v>46047</v>
      </c>
      <c r="D797" t="inlineStr">
        <is>
          <t>UPPSALA LÄN</t>
        </is>
      </c>
      <c r="E797" t="inlineStr">
        <is>
          <t>TIERP</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53795-2025</t>
        </is>
      </c>
      <c r="B798" s="1" t="n">
        <v>45960.75167824074</v>
      </c>
      <c r="C798" s="1" t="n">
        <v>46047</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58966-2025</t>
        </is>
      </c>
      <c r="B799" s="1" t="n">
        <v>45987.60256944445</v>
      </c>
      <c r="C799" s="1" t="n">
        <v>46047</v>
      </c>
      <c r="D799" t="inlineStr">
        <is>
          <t>UPPSALA LÄN</t>
        </is>
      </c>
      <c r="E799" t="inlineStr">
        <is>
          <t>TIERP</t>
        </is>
      </c>
      <c r="F799" t="inlineStr">
        <is>
          <t>Bergvik skog öst AB</t>
        </is>
      </c>
      <c r="G799" t="n">
        <v>5</v>
      </c>
      <c r="H799" t="n">
        <v>0</v>
      </c>
      <c r="I799" t="n">
        <v>0</v>
      </c>
      <c r="J799" t="n">
        <v>0</v>
      </c>
      <c r="K799" t="n">
        <v>0</v>
      </c>
      <c r="L799" t="n">
        <v>0</v>
      </c>
      <c r="M799" t="n">
        <v>0</v>
      </c>
      <c r="N799" t="n">
        <v>0</v>
      </c>
      <c r="O799" t="n">
        <v>0</v>
      </c>
      <c r="P799" t="n">
        <v>0</v>
      </c>
      <c r="Q799" t="n">
        <v>0</v>
      </c>
      <c r="R799" s="2" t="inlineStr"/>
    </row>
    <row r="800" ht="15" customHeight="1">
      <c r="A800" t="inlineStr">
        <is>
          <t>A 534-2026</t>
        </is>
      </c>
      <c r="B800" s="1" t="n">
        <v>46029.45288194445</v>
      </c>
      <c r="C800" s="1" t="n">
        <v>46047</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100-2026</t>
        </is>
      </c>
      <c r="B801" s="1" t="n">
        <v>46024.50523148148</v>
      </c>
      <c r="C801" s="1" t="n">
        <v>46047</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51057-2025</t>
        </is>
      </c>
      <c r="B802" s="1" t="n">
        <v>45947.44466435185</v>
      </c>
      <c r="C802" s="1" t="n">
        <v>46047</v>
      </c>
      <c r="D802" t="inlineStr">
        <is>
          <t>UPPSALA LÄN</t>
        </is>
      </c>
      <c r="E802" t="inlineStr">
        <is>
          <t>TIERP</t>
        </is>
      </c>
      <c r="F802" t="inlineStr">
        <is>
          <t>Bergvik skog öst AB</t>
        </is>
      </c>
      <c r="G802" t="n">
        <v>5.5</v>
      </c>
      <c r="H802" t="n">
        <v>0</v>
      </c>
      <c r="I802" t="n">
        <v>0</v>
      </c>
      <c r="J802" t="n">
        <v>0</v>
      </c>
      <c r="K802" t="n">
        <v>0</v>
      </c>
      <c r="L802" t="n">
        <v>0</v>
      </c>
      <c r="M802" t="n">
        <v>0</v>
      </c>
      <c r="N802" t="n">
        <v>0</v>
      </c>
      <c r="O802" t="n">
        <v>0</v>
      </c>
      <c r="P802" t="n">
        <v>0</v>
      </c>
      <c r="Q802" t="n">
        <v>0</v>
      </c>
      <c r="R802" s="2" t="inlineStr"/>
    </row>
    <row r="803" ht="15" customHeight="1">
      <c r="A803" t="inlineStr">
        <is>
          <t>A 59388-2025</t>
        </is>
      </c>
      <c r="B803" s="1" t="n">
        <v>45989.46065972222</v>
      </c>
      <c r="C803" s="1" t="n">
        <v>46047</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888-2026</t>
        </is>
      </c>
      <c r="B804" s="1" t="n">
        <v>46030.45091435185</v>
      </c>
      <c r="C804" s="1" t="n">
        <v>46047</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59174-2025</t>
        </is>
      </c>
      <c r="B805" s="1" t="n">
        <v>45988.56907407408</v>
      </c>
      <c r="C805" s="1" t="n">
        <v>46047</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1081-2026</t>
        </is>
      </c>
      <c r="B806" s="1" t="n">
        <v>46030.65311342593</v>
      </c>
      <c r="C806" s="1" t="n">
        <v>46047</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59398-2025</t>
        </is>
      </c>
      <c r="B807" s="1" t="n">
        <v>45989.47987268519</v>
      </c>
      <c r="C807" s="1" t="n">
        <v>46047</v>
      </c>
      <c r="D807" t="inlineStr">
        <is>
          <t>UPPSALA LÄN</t>
        </is>
      </c>
      <c r="E807" t="inlineStr">
        <is>
          <t>TIERP</t>
        </is>
      </c>
      <c r="F807" t="inlineStr">
        <is>
          <t>Bergvik skog väst AB</t>
        </is>
      </c>
      <c r="G807" t="n">
        <v>1.3</v>
      </c>
      <c r="H807" t="n">
        <v>0</v>
      </c>
      <c r="I807" t="n">
        <v>0</v>
      </c>
      <c r="J807" t="n">
        <v>0</v>
      </c>
      <c r="K807" t="n">
        <v>0</v>
      </c>
      <c r="L807" t="n">
        <v>0</v>
      </c>
      <c r="M807" t="n">
        <v>0</v>
      </c>
      <c r="N807" t="n">
        <v>0</v>
      </c>
      <c r="O807" t="n">
        <v>0</v>
      </c>
      <c r="P807" t="n">
        <v>0</v>
      </c>
      <c r="Q807" t="n">
        <v>0</v>
      </c>
      <c r="R807" s="2" t="inlineStr"/>
    </row>
    <row r="808" ht="15" customHeight="1">
      <c r="A808" t="inlineStr">
        <is>
          <t>A 1099-2026</t>
        </is>
      </c>
      <c r="B808" s="1" t="n">
        <v>46030.66539351852</v>
      </c>
      <c r="C808" s="1" t="n">
        <v>46047</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59185-2025</t>
        </is>
      </c>
      <c r="B809" s="1" t="n">
        <v>45988.57533564815</v>
      </c>
      <c r="C809" s="1" t="n">
        <v>46047</v>
      </c>
      <c r="D809" t="inlineStr">
        <is>
          <t>UPPSALA LÄN</t>
        </is>
      </c>
      <c r="E809" t="inlineStr">
        <is>
          <t>TIERP</t>
        </is>
      </c>
      <c r="G809" t="n">
        <v>1.5</v>
      </c>
      <c r="H809" t="n">
        <v>0</v>
      </c>
      <c r="I809" t="n">
        <v>0</v>
      </c>
      <c r="J809" t="n">
        <v>0</v>
      </c>
      <c r="K809" t="n">
        <v>0</v>
      </c>
      <c r="L809" t="n">
        <v>0</v>
      </c>
      <c r="M809" t="n">
        <v>0</v>
      </c>
      <c r="N809" t="n">
        <v>0</v>
      </c>
      <c r="O809" t="n">
        <v>0</v>
      </c>
      <c r="P809" t="n">
        <v>0</v>
      </c>
      <c r="Q809" t="n">
        <v>0</v>
      </c>
      <c r="R809" s="2" t="inlineStr"/>
    </row>
    <row r="810" ht="15" customHeight="1">
      <c r="A810" t="inlineStr">
        <is>
          <t>A 59572-2025</t>
        </is>
      </c>
      <c r="B810" s="1" t="n">
        <v>45992.28574074074</v>
      </c>
      <c r="C810" s="1" t="n">
        <v>46047</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59573-2025</t>
        </is>
      </c>
      <c r="B811" s="1" t="n">
        <v>45992.29383101852</v>
      </c>
      <c r="C811" s="1" t="n">
        <v>46047</v>
      </c>
      <c r="D811" t="inlineStr">
        <is>
          <t>UPPSALA LÄN</t>
        </is>
      </c>
      <c r="E811" t="inlineStr">
        <is>
          <t>TIERP</t>
        </is>
      </c>
      <c r="F811" t="inlineStr">
        <is>
          <t>Bergvik skog öst AB</t>
        </is>
      </c>
      <c r="G811" t="n">
        <v>0.2</v>
      </c>
      <c r="H811" t="n">
        <v>0</v>
      </c>
      <c r="I811" t="n">
        <v>0</v>
      </c>
      <c r="J811" t="n">
        <v>0</v>
      </c>
      <c r="K811" t="n">
        <v>0</v>
      </c>
      <c r="L811" t="n">
        <v>0</v>
      </c>
      <c r="M811" t="n">
        <v>0</v>
      </c>
      <c r="N811" t="n">
        <v>0</v>
      </c>
      <c r="O811" t="n">
        <v>0</v>
      </c>
      <c r="P811" t="n">
        <v>0</v>
      </c>
      <c r="Q811" t="n">
        <v>0</v>
      </c>
      <c r="R811" s="2" t="inlineStr"/>
    </row>
    <row r="812" ht="15" customHeight="1">
      <c r="A812" t="inlineStr">
        <is>
          <t>A 59578-2025</t>
        </is>
      </c>
      <c r="B812" s="1" t="n">
        <v>45992.30194444444</v>
      </c>
      <c r="C812" s="1" t="n">
        <v>46047</v>
      </c>
      <c r="D812" t="inlineStr">
        <is>
          <t>UPPSALA LÄN</t>
        </is>
      </c>
      <c r="E812" t="inlineStr">
        <is>
          <t>TIERP</t>
        </is>
      </c>
      <c r="F812" t="inlineStr">
        <is>
          <t>Bergvik skog öst AB</t>
        </is>
      </c>
      <c r="G812" t="n">
        <v>14.4</v>
      </c>
      <c r="H812" t="n">
        <v>0</v>
      </c>
      <c r="I812" t="n">
        <v>0</v>
      </c>
      <c r="J812" t="n">
        <v>0</v>
      </c>
      <c r="K812" t="n">
        <v>0</v>
      </c>
      <c r="L812" t="n">
        <v>0</v>
      </c>
      <c r="M812" t="n">
        <v>0</v>
      </c>
      <c r="N812" t="n">
        <v>0</v>
      </c>
      <c r="O812" t="n">
        <v>0</v>
      </c>
      <c r="P812" t="n">
        <v>0</v>
      </c>
      <c r="Q812" t="n">
        <v>0</v>
      </c>
      <c r="R812" s="2" t="inlineStr"/>
    </row>
    <row r="813" ht="15" customHeight="1">
      <c r="A813" t="inlineStr">
        <is>
          <t>A 59575-2025</t>
        </is>
      </c>
      <c r="B813" s="1" t="n">
        <v>45992.29976851852</v>
      </c>
      <c r="C813" s="1" t="n">
        <v>46047</v>
      </c>
      <c r="D813" t="inlineStr">
        <is>
          <t>UPPSALA LÄN</t>
        </is>
      </c>
      <c r="E813" t="inlineStr">
        <is>
          <t>TIERP</t>
        </is>
      </c>
      <c r="F813" t="inlineStr">
        <is>
          <t>Bergvik skog öst AB</t>
        </is>
      </c>
      <c r="G813" t="n">
        <v>1.8</v>
      </c>
      <c r="H813" t="n">
        <v>0</v>
      </c>
      <c r="I813" t="n">
        <v>0</v>
      </c>
      <c r="J813" t="n">
        <v>0</v>
      </c>
      <c r="K813" t="n">
        <v>0</v>
      </c>
      <c r="L813" t="n">
        <v>0</v>
      </c>
      <c r="M813" t="n">
        <v>0</v>
      </c>
      <c r="N813" t="n">
        <v>0</v>
      </c>
      <c r="O813" t="n">
        <v>0</v>
      </c>
      <c r="P813" t="n">
        <v>0</v>
      </c>
      <c r="Q813" t="n">
        <v>0</v>
      </c>
      <c r="R813" s="2" t="inlineStr"/>
    </row>
    <row r="814" ht="15" customHeight="1">
      <c r="A814" t="inlineStr">
        <is>
          <t>A 59555-2025</t>
        </is>
      </c>
      <c r="B814" s="1" t="n">
        <v>45991.36298611111</v>
      </c>
      <c r="C814" s="1" t="n">
        <v>46047</v>
      </c>
      <c r="D814" t="inlineStr">
        <is>
          <t>UPPSALA LÄN</t>
        </is>
      </c>
      <c r="E814" t="inlineStr">
        <is>
          <t>TIERP</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52869-2025</t>
        </is>
      </c>
      <c r="B815" s="1" t="n">
        <v>45957</v>
      </c>
      <c r="C815" s="1" t="n">
        <v>46047</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2364-2026</t>
        </is>
      </c>
      <c r="B816" s="1" t="n">
        <v>46034</v>
      </c>
      <c r="C816" s="1" t="n">
        <v>46047</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60142-2025</t>
        </is>
      </c>
      <c r="B817" s="1" t="n">
        <v>45994.37430555555</v>
      </c>
      <c r="C817" s="1" t="n">
        <v>46047</v>
      </c>
      <c r="D817" t="inlineStr">
        <is>
          <t>UPPSALA LÄN</t>
        </is>
      </c>
      <c r="E817" t="inlineStr">
        <is>
          <t>TIERP</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2406-2026</t>
        </is>
      </c>
      <c r="B818" s="1" t="n">
        <v>46036.71761574074</v>
      </c>
      <c r="C818" s="1" t="n">
        <v>46047</v>
      </c>
      <c r="D818" t="inlineStr">
        <is>
          <t>UPPSALA LÄN</t>
        </is>
      </c>
      <c r="E818" t="inlineStr">
        <is>
          <t>TIERP</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2366-2026</t>
        </is>
      </c>
      <c r="B819" s="1" t="n">
        <v>46034</v>
      </c>
      <c r="C819" s="1" t="n">
        <v>46047</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60139-2025</t>
        </is>
      </c>
      <c r="B820" s="1" t="n">
        <v>45994.3599537037</v>
      </c>
      <c r="C820" s="1" t="n">
        <v>46047</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60280-2025</t>
        </is>
      </c>
      <c r="B821" s="1" t="n">
        <v>45994.63814814815</v>
      </c>
      <c r="C821" s="1" t="n">
        <v>46047</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60211-2025</t>
        </is>
      </c>
      <c r="B822" s="1" t="n">
        <v>45994.52657407407</v>
      </c>
      <c r="C822" s="1" t="n">
        <v>46047</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60749-2025</t>
        </is>
      </c>
      <c r="B823" s="1" t="n">
        <v>45999.38054398148</v>
      </c>
      <c r="C823" s="1" t="n">
        <v>46047</v>
      </c>
      <c r="D823" t="inlineStr">
        <is>
          <t>UPPSALA LÄN</t>
        </is>
      </c>
      <c r="E823" t="inlineStr">
        <is>
          <t>TIERP</t>
        </is>
      </c>
      <c r="G823" t="n">
        <v>1.8</v>
      </c>
      <c r="H823" t="n">
        <v>0</v>
      </c>
      <c r="I823" t="n">
        <v>0</v>
      </c>
      <c r="J823" t="n">
        <v>0</v>
      </c>
      <c r="K823" t="n">
        <v>0</v>
      </c>
      <c r="L823" t="n">
        <v>0</v>
      </c>
      <c r="M823" t="n">
        <v>0</v>
      </c>
      <c r="N823" t="n">
        <v>0</v>
      </c>
      <c r="O823" t="n">
        <v>0</v>
      </c>
      <c r="P823" t="n">
        <v>0</v>
      </c>
      <c r="Q823" t="n">
        <v>0</v>
      </c>
      <c r="R823" s="2" t="inlineStr"/>
    </row>
    <row r="824" ht="15" customHeight="1">
      <c r="A824" t="inlineStr">
        <is>
          <t>A 60795-2025</t>
        </is>
      </c>
      <c r="B824" s="1" t="n">
        <v>45999.42177083333</v>
      </c>
      <c r="C824" s="1" t="n">
        <v>46047</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1105-2026</t>
        </is>
      </c>
      <c r="B825" s="1" t="n">
        <v>46029</v>
      </c>
      <c r="C825" s="1" t="n">
        <v>46047</v>
      </c>
      <c r="D825" t="inlineStr">
        <is>
          <t>UPPSALA LÄN</t>
        </is>
      </c>
      <c r="E825" t="inlineStr">
        <is>
          <t>TIERP</t>
        </is>
      </c>
      <c r="F825" t="inlineStr">
        <is>
          <t>Naturvårdsverket</t>
        </is>
      </c>
      <c r="G825" t="n">
        <v>2</v>
      </c>
      <c r="H825" t="n">
        <v>0</v>
      </c>
      <c r="I825" t="n">
        <v>0</v>
      </c>
      <c r="J825" t="n">
        <v>0</v>
      </c>
      <c r="K825" t="n">
        <v>0</v>
      </c>
      <c r="L825" t="n">
        <v>0</v>
      </c>
      <c r="M825" t="n">
        <v>0</v>
      </c>
      <c r="N825" t="n">
        <v>0</v>
      </c>
      <c r="O825" t="n">
        <v>0</v>
      </c>
      <c r="P825" t="n">
        <v>0</v>
      </c>
      <c r="Q825" t="n">
        <v>0</v>
      </c>
      <c r="R825" s="2" t="inlineStr"/>
    </row>
    <row r="826" ht="15" customHeight="1">
      <c r="A826" t="inlineStr">
        <is>
          <t>A 60641-2025</t>
        </is>
      </c>
      <c r="B826" s="1" t="n">
        <v>45996.44386574074</v>
      </c>
      <c r="C826" s="1" t="n">
        <v>46047</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3443-2026</t>
        </is>
      </c>
      <c r="B827" s="1" t="n">
        <v>46042.47866898148</v>
      </c>
      <c r="C827" s="1" t="n">
        <v>46047</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3438-2026</t>
        </is>
      </c>
      <c r="B828" s="1" t="n">
        <v>46042.47289351852</v>
      </c>
      <c r="C828" s="1" t="n">
        <v>46047</v>
      </c>
      <c r="D828" t="inlineStr">
        <is>
          <t>UPPSALA LÄN</t>
        </is>
      </c>
      <c r="E828" t="inlineStr">
        <is>
          <t>TIERP</t>
        </is>
      </c>
      <c r="G828" t="n">
        <v>4.5</v>
      </c>
      <c r="H828" t="n">
        <v>0</v>
      </c>
      <c r="I828" t="n">
        <v>0</v>
      </c>
      <c r="J828" t="n">
        <v>0</v>
      </c>
      <c r="K828" t="n">
        <v>0</v>
      </c>
      <c r="L828" t="n">
        <v>0</v>
      </c>
      <c r="M828" t="n">
        <v>0</v>
      </c>
      <c r="N828" t="n">
        <v>0</v>
      </c>
      <c r="O828" t="n">
        <v>0</v>
      </c>
      <c r="P828" t="n">
        <v>0</v>
      </c>
      <c r="Q828" t="n">
        <v>0</v>
      </c>
      <c r="R828" s="2" t="inlineStr"/>
    </row>
    <row r="829" ht="15" customHeight="1">
      <c r="A829" t="inlineStr">
        <is>
          <t>A 3433-2026</t>
        </is>
      </c>
      <c r="B829" s="1" t="n">
        <v>46042.46269675926</v>
      </c>
      <c r="C829" s="1" t="n">
        <v>46047</v>
      </c>
      <c r="D829" t="inlineStr">
        <is>
          <t>UPPSALA LÄN</t>
        </is>
      </c>
      <c r="E829" t="inlineStr">
        <is>
          <t>TIERP</t>
        </is>
      </c>
      <c r="G829" t="n">
        <v>6.4</v>
      </c>
      <c r="H829" t="n">
        <v>0</v>
      </c>
      <c r="I829" t="n">
        <v>0</v>
      </c>
      <c r="J829" t="n">
        <v>0</v>
      </c>
      <c r="K829" t="n">
        <v>0</v>
      </c>
      <c r="L829" t="n">
        <v>0</v>
      </c>
      <c r="M829" t="n">
        <v>0</v>
      </c>
      <c r="N829" t="n">
        <v>0</v>
      </c>
      <c r="O829" t="n">
        <v>0</v>
      </c>
      <c r="P829" t="n">
        <v>0</v>
      </c>
      <c r="Q829" t="n">
        <v>0</v>
      </c>
      <c r="R829" s="2" t="inlineStr"/>
    </row>
    <row r="830" ht="15" customHeight="1">
      <c r="A830" t="inlineStr">
        <is>
          <t>A 1117-2026</t>
        </is>
      </c>
      <c r="B830" s="1" t="n">
        <v>46029</v>
      </c>
      <c r="C830" s="1" t="n">
        <v>46047</v>
      </c>
      <c r="D830" t="inlineStr">
        <is>
          <t>UPPSALA LÄN</t>
        </is>
      </c>
      <c r="E830" t="inlineStr">
        <is>
          <t>TIERP</t>
        </is>
      </c>
      <c r="F830" t="inlineStr">
        <is>
          <t>Naturvårdsverket</t>
        </is>
      </c>
      <c r="G830" t="n">
        <v>2.8</v>
      </c>
      <c r="H830" t="n">
        <v>0</v>
      </c>
      <c r="I830" t="n">
        <v>0</v>
      </c>
      <c r="J830" t="n">
        <v>0</v>
      </c>
      <c r="K830" t="n">
        <v>0</v>
      </c>
      <c r="L830" t="n">
        <v>0</v>
      </c>
      <c r="M830" t="n">
        <v>0</v>
      </c>
      <c r="N830" t="n">
        <v>0</v>
      </c>
      <c r="O830" t="n">
        <v>0</v>
      </c>
      <c r="P830" t="n">
        <v>0</v>
      </c>
      <c r="Q830" t="n">
        <v>0</v>
      </c>
      <c r="R830" s="2" t="inlineStr"/>
    </row>
    <row r="831" ht="15" customHeight="1">
      <c r="A831" t="inlineStr">
        <is>
          <t>A 3767-2026</t>
        </is>
      </c>
      <c r="B831" s="1" t="n">
        <v>46043.5583449074</v>
      </c>
      <c r="C831" s="1" t="n">
        <v>46047</v>
      </c>
      <c r="D831" t="inlineStr">
        <is>
          <t>UPPSALA LÄN</t>
        </is>
      </c>
      <c r="E831" t="inlineStr">
        <is>
          <t>TIERP</t>
        </is>
      </c>
      <c r="G831" t="n">
        <v>1.8</v>
      </c>
      <c r="H831" t="n">
        <v>0</v>
      </c>
      <c r="I831" t="n">
        <v>0</v>
      </c>
      <c r="J831" t="n">
        <v>0</v>
      </c>
      <c r="K831" t="n">
        <v>0</v>
      </c>
      <c r="L831" t="n">
        <v>0</v>
      </c>
      <c r="M831" t="n">
        <v>0</v>
      </c>
      <c r="N831" t="n">
        <v>0</v>
      </c>
      <c r="O831" t="n">
        <v>0</v>
      </c>
      <c r="P831" t="n">
        <v>0</v>
      </c>
      <c r="Q831" t="n">
        <v>0</v>
      </c>
      <c r="R831" s="2" t="inlineStr"/>
    </row>
    <row r="832" ht="15" customHeight="1">
      <c r="A832" t="inlineStr">
        <is>
          <t>A 61252-2025</t>
        </is>
      </c>
      <c r="B832" s="1" t="n">
        <v>46000.668125</v>
      </c>
      <c r="C832" s="1" t="n">
        <v>46047</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53991-2025</t>
        </is>
      </c>
      <c r="B833" s="1" t="n">
        <v>45961.5821412037</v>
      </c>
      <c r="C833" s="1" t="n">
        <v>46047</v>
      </c>
      <c r="D833" t="inlineStr">
        <is>
          <t>UPPSALA LÄN</t>
        </is>
      </c>
      <c r="E833" t="inlineStr">
        <is>
          <t>TIERP</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54006-2025</t>
        </is>
      </c>
      <c r="B834" s="1" t="n">
        <v>45961.61335648148</v>
      </c>
      <c r="C834" s="1" t="n">
        <v>46047</v>
      </c>
      <c r="D834" t="inlineStr">
        <is>
          <t>UPPSALA LÄN</t>
        </is>
      </c>
      <c r="E834" t="inlineStr">
        <is>
          <t>TIERP</t>
        </is>
      </c>
      <c r="F834" t="inlineStr">
        <is>
          <t>Bergvik skog öst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61846-2025</t>
        </is>
      </c>
      <c r="B835" s="1" t="n">
        <v>46003.37525462963</v>
      </c>
      <c r="C835" s="1" t="n">
        <v>46047</v>
      </c>
      <c r="D835" t="inlineStr">
        <is>
          <t>UPPSALA LÄN</t>
        </is>
      </c>
      <c r="E835" t="inlineStr">
        <is>
          <t>TIERP</t>
        </is>
      </c>
      <c r="F835" t="inlineStr">
        <is>
          <t>Bergvik skog öst AB</t>
        </is>
      </c>
      <c r="G835" t="n">
        <v>3.8</v>
      </c>
      <c r="H835" t="n">
        <v>0</v>
      </c>
      <c r="I835" t="n">
        <v>0</v>
      </c>
      <c r="J835" t="n">
        <v>0</v>
      </c>
      <c r="K835" t="n">
        <v>0</v>
      </c>
      <c r="L835" t="n">
        <v>0</v>
      </c>
      <c r="M835" t="n">
        <v>0</v>
      </c>
      <c r="N835" t="n">
        <v>0</v>
      </c>
      <c r="O835" t="n">
        <v>0</v>
      </c>
      <c r="P835" t="n">
        <v>0</v>
      </c>
      <c r="Q835" t="n">
        <v>0</v>
      </c>
      <c r="R835" s="2" t="inlineStr"/>
    </row>
    <row r="836" ht="15" customHeight="1">
      <c r="A836" t="inlineStr">
        <is>
          <t>A 61825-2025</t>
        </is>
      </c>
      <c r="B836" s="1" t="n">
        <v>46003.33967592593</v>
      </c>
      <c r="C836" s="1" t="n">
        <v>46047</v>
      </c>
      <c r="D836" t="inlineStr">
        <is>
          <t>UPPSALA LÄN</t>
        </is>
      </c>
      <c r="E836" t="inlineStr">
        <is>
          <t>TIERP</t>
        </is>
      </c>
      <c r="F836" t="inlineStr">
        <is>
          <t>Bergvik skog öst AB</t>
        </is>
      </c>
      <c r="G836" t="n">
        <v>7.6</v>
      </c>
      <c r="H836" t="n">
        <v>0</v>
      </c>
      <c r="I836" t="n">
        <v>0</v>
      </c>
      <c r="J836" t="n">
        <v>0</v>
      </c>
      <c r="K836" t="n">
        <v>0</v>
      </c>
      <c r="L836" t="n">
        <v>0</v>
      </c>
      <c r="M836" t="n">
        <v>0</v>
      </c>
      <c r="N836" t="n">
        <v>0</v>
      </c>
      <c r="O836" t="n">
        <v>0</v>
      </c>
      <c r="P836" t="n">
        <v>0</v>
      </c>
      <c r="Q836" t="n">
        <v>0</v>
      </c>
      <c r="R836" s="2" t="inlineStr"/>
    </row>
    <row r="837" ht="15" customHeight="1">
      <c r="A837" t="inlineStr">
        <is>
          <t>A 61928-2025</t>
        </is>
      </c>
      <c r="B837" s="1" t="n">
        <v>46003.52034722222</v>
      </c>
      <c r="C837" s="1" t="n">
        <v>46047</v>
      </c>
      <c r="D837" t="inlineStr">
        <is>
          <t>UPPSALA LÄN</t>
        </is>
      </c>
      <c r="E837" t="inlineStr">
        <is>
          <t>TIERP</t>
        </is>
      </c>
      <c r="F837" t="inlineStr">
        <is>
          <t>Övriga Aktiebolag</t>
        </is>
      </c>
      <c r="G837" t="n">
        <v>9.1</v>
      </c>
      <c r="H837" t="n">
        <v>0</v>
      </c>
      <c r="I837" t="n">
        <v>0</v>
      </c>
      <c r="J837" t="n">
        <v>0</v>
      </c>
      <c r="K837" t="n">
        <v>0</v>
      </c>
      <c r="L837" t="n">
        <v>0</v>
      </c>
      <c r="M837" t="n">
        <v>0</v>
      </c>
      <c r="N837" t="n">
        <v>0</v>
      </c>
      <c r="O837" t="n">
        <v>0</v>
      </c>
      <c r="P837" t="n">
        <v>0</v>
      </c>
      <c r="Q837" t="n">
        <v>0</v>
      </c>
      <c r="R837" s="2" t="inlineStr"/>
    </row>
    <row r="838" ht="15" customHeight="1">
      <c r="A838" t="inlineStr">
        <is>
          <t>A 4342-2026</t>
        </is>
      </c>
      <c r="B838" s="1" t="n">
        <v>46045.51246527778</v>
      </c>
      <c r="C838" s="1" t="n">
        <v>46047</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4343-2026</t>
        </is>
      </c>
      <c r="B839" s="1" t="n">
        <v>46045.51665509259</v>
      </c>
      <c r="C839" s="1" t="n">
        <v>46047</v>
      </c>
      <c r="D839" t="inlineStr">
        <is>
          <t>UPPSALA LÄN</t>
        </is>
      </c>
      <c r="E839" t="inlineStr">
        <is>
          <t>TIERP</t>
        </is>
      </c>
      <c r="G839" t="n">
        <v>1.7</v>
      </c>
      <c r="H839" t="n">
        <v>0</v>
      </c>
      <c r="I839" t="n">
        <v>0</v>
      </c>
      <c r="J839" t="n">
        <v>0</v>
      </c>
      <c r="K839" t="n">
        <v>0</v>
      </c>
      <c r="L839" t="n">
        <v>0</v>
      </c>
      <c r="M839" t="n">
        <v>0</v>
      </c>
      <c r="N839" t="n">
        <v>0</v>
      </c>
      <c r="O839" t="n">
        <v>0</v>
      </c>
      <c r="P839" t="n">
        <v>0</v>
      </c>
      <c r="Q839" t="n">
        <v>0</v>
      </c>
      <c r="R839" s="2" t="inlineStr"/>
    </row>
    <row r="840" ht="15" customHeight="1">
      <c r="A840" t="inlineStr">
        <is>
          <t>A 3865-2026</t>
        </is>
      </c>
      <c r="B840" s="1" t="n">
        <v>46043</v>
      </c>
      <c r="C840" s="1" t="n">
        <v>46047</v>
      </c>
      <c r="D840" t="inlineStr">
        <is>
          <t>UPPSALA LÄN</t>
        </is>
      </c>
      <c r="E840" t="inlineStr">
        <is>
          <t>TIERP</t>
        </is>
      </c>
      <c r="F840" t="inlineStr">
        <is>
          <t>Bergvik skog väst AB</t>
        </is>
      </c>
      <c r="G840" t="n">
        <v>4.2</v>
      </c>
      <c r="H840" t="n">
        <v>0</v>
      </c>
      <c r="I840" t="n">
        <v>0</v>
      </c>
      <c r="J840" t="n">
        <v>0</v>
      </c>
      <c r="K840" t="n">
        <v>0</v>
      </c>
      <c r="L840" t="n">
        <v>0</v>
      </c>
      <c r="M840" t="n">
        <v>0</v>
      </c>
      <c r="N840" t="n">
        <v>0</v>
      </c>
      <c r="O840" t="n">
        <v>0</v>
      </c>
      <c r="P840" t="n">
        <v>0</v>
      </c>
      <c r="Q840" t="n">
        <v>0</v>
      </c>
      <c r="R840" s="2" t="inlineStr"/>
    </row>
    <row r="841" ht="15" customHeight="1">
      <c r="A841" t="inlineStr">
        <is>
          <t>A 61672-2025</t>
        </is>
      </c>
      <c r="B841" s="1" t="n">
        <v>46002.47396990741</v>
      </c>
      <c r="C841" s="1" t="n">
        <v>46047</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4055-2026</t>
        </is>
      </c>
      <c r="B842" s="1" t="n">
        <v>46044.4862037037</v>
      </c>
      <c r="C842" s="1" t="n">
        <v>46047</v>
      </c>
      <c r="D842" t="inlineStr">
        <is>
          <t>UPPSALA LÄN</t>
        </is>
      </c>
      <c r="E842" t="inlineStr">
        <is>
          <t>TIERP</t>
        </is>
      </c>
      <c r="G842" t="n">
        <v>5.3</v>
      </c>
      <c r="H842" t="n">
        <v>0</v>
      </c>
      <c r="I842" t="n">
        <v>0</v>
      </c>
      <c r="J842" t="n">
        <v>0</v>
      </c>
      <c r="K842" t="n">
        <v>0</v>
      </c>
      <c r="L842" t="n">
        <v>0</v>
      </c>
      <c r="M842" t="n">
        <v>0</v>
      </c>
      <c r="N842" t="n">
        <v>0</v>
      </c>
      <c r="O842" t="n">
        <v>0</v>
      </c>
      <c r="P842" t="n">
        <v>0</v>
      </c>
      <c r="Q842" t="n">
        <v>0</v>
      </c>
      <c r="R842" s="2" t="inlineStr"/>
    </row>
    <row r="843" ht="15" customHeight="1">
      <c r="A843" t="inlineStr">
        <is>
          <t>A 63066-2025</t>
        </is>
      </c>
      <c r="B843" s="1" t="n">
        <v>46009</v>
      </c>
      <c r="C843" s="1" t="n">
        <v>46047</v>
      </c>
      <c r="D843" t="inlineStr">
        <is>
          <t>UPPSALA LÄN</t>
        </is>
      </c>
      <c r="E843" t="inlineStr">
        <is>
          <t>TIERP</t>
        </is>
      </c>
      <c r="G843" t="n">
        <v>3</v>
      </c>
      <c r="H843" t="n">
        <v>0</v>
      </c>
      <c r="I843" t="n">
        <v>0</v>
      </c>
      <c r="J843" t="n">
        <v>0</v>
      </c>
      <c r="K843" t="n">
        <v>0</v>
      </c>
      <c r="L843" t="n">
        <v>0</v>
      </c>
      <c r="M843" t="n">
        <v>0</v>
      </c>
      <c r="N843" t="n">
        <v>0</v>
      </c>
      <c r="O843" t="n">
        <v>0</v>
      </c>
      <c r="P843" t="n">
        <v>0</v>
      </c>
      <c r="Q843" t="n">
        <v>0</v>
      </c>
      <c r="R843" s="2" t="inlineStr"/>
    </row>
    <row r="844" ht="15" customHeight="1">
      <c r="A844" t="inlineStr">
        <is>
          <t>A 4139-2026</t>
        </is>
      </c>
      <c r="B844" s="1" t="n">
        <v>46044.63179398148</v>
      </c>
      <c r="C844" s="1" t="n">
        <v>46047</v>
      </c>
      <c r="D844" t="inlineStr">
        <is>
          <t>UPPSALA LÄN</t>
        </is>
      </c>
      <c r="E844" t="inlineStr">
        <is>
          <t>TIERP</t>
        </is>
      </c>
      <c r="G844" t="n">
        <v>1.1</v>
      </c>
      <c r="H844" t="n">
        <v>0</v>
      </c>
      <c r="I844" t="n">
        <v>0</v>
      </c>
      <c r="J844" t="n">
        <v>0</v>
      </c>
      <c r="K844" t="n">
        <v>0</v>
      </c>
      <c r="L844" t="n">
        <v>0</v>
      </c>
      <c r="M844" t="n">
        <v>0</v>
      </c>
      <c r="N844" t="n">
        <v>0</v>
      </c>
      <c r="O844" t="n">
        <v>0</v>
      </c>
      <c r="P844" t="n">
        <v>0</v>
      </c>
      <c r="Q844" t="n">
        <v>0</v>
      </c>
      <c r="R844" s="2" t="inlineStr"/>
    </row>
    <row r="845" ht="15" customHeight="1">
      <c r="A845" t="inlineStr">
        <is>
          <t>A 61671-2025</t>
        </is>
      </c>
      <c r="B845" s="1" t="n">
        <v>46002.47112268519</v>
      </c>
      <c r="C845" s="1" t="n">
        <v>46047</v>
      </c>
      <c r="D845" t="inlineStr">
        <is>
          <t>UPPSALA LÄN</t>
        </is>
      </c>
      <c r="E845" t="inlineStr">
        <is>
          <t>TIERP</t>
        </is>
      </c>
      <c r="F845" t="inlineStr">
        <is>
          <t>Bergvik skog öst AB</t>
        </is>
      </c>
      <c r="G845" t="n">
        <v>2</v>
      </c>
      <c r="H845" t="n">
        <v>0</v>
      </c>
      <c r="I845" t="n">
        <v>0</v>
      </c>
      <c r="J845" t="n">
        <v>0</v>
      </c>
      <c r="K845" t="n">
        <v>0</v>
      </c>
      <c r="L845" t="n">
        <v>0</v>
      </c>
      <c r="M845" t="n">
        <v>0</v>
      </c>
      <c r="N845" t="n">
        <v>0</v>
      </c>
      <c r="O845" t="n">
        <v>0</v>
      </c>
      <c r="P845" t="n">
        <v>0</v>
      </c>
      <c r="Q845" t="n">
        <v>0</v>
      </c>
      <c r="R845" s="2" t="inlineStr"/>
    </row>
    <row r="846" ht="15" customHeight="1">
      <c r="A846" t="inlineStr">
        <is>
          <t>A 61674-2025</t>
        </is>
      </c>
      <c r="B846" s="1" t="n">
        <v>46002.48126157407</v>
      </c>
      <c r="C846" s="1" t="n">
        <v>46047</v>
      </c>
      <c r="D846" t="inlineStr">
        <is>
          <t>UPPSALA LÄN</t>
        </is>
      </c>
      <c r="E846" t="inlineStr">
        <is>
          <t>TIERP</t>
        </is>
      </c>
      <c r="F846" t="inlineStr">
        <is>
          <t>Bergvik skog öst AB</t>
        </is>
      </c>
      <c r="G846" t="n">
        <v>2.9</v>
      </c>
      <c r="H846" t="n">
        <v>0</v>
      </c>
      <c r="I846" t="n">
        <v>0</v>
      </c>
      <c r="J846" t="n">
        <v>0</v>
      </c>
      <c r="K846" t="n">
        <v>0</v>
      </c>
      <c r="L846" t="n">
        <v>0</v>
      </c>
      <c r="M846" t="n">
        <v>0</v>
      </c>
      <c r="N846" t="n">
        <v>0</v>
      </c>
      <c r="O846" t="n">
        <v>0</v>
      </c>
      <c r="P846" t="n">
        <v>0</v>
      </c>
      <c r="Q846" t="n">
        <v>0</v>
      </c>
      <c r="R846" s="2" t="inlineStr"/>
    </row>
    <row r="847" ht="15" customHeight="1">
      <c r="A847" t="inlineStr">
        <is>
          <t>A 4152-2026</t>
        </is>
      </c>
      <c r="B847" s="1" t="n">
        <v>46044.64974537037</v>
      </c>
      <c r="C847" s="1" t="n">
        <v>46047</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c r="A848" t="inlineStr">
        <is>
          <t>A 61599-2025</t>
        </is>
      </c>
      <c r="B848" s="1" t="n">
        <v>46002.361875</v>
      </c>
      <c r="C848" s="1" t="n">
        <v>46047</v>
      </c>
      <c r="D848" t="inlineStr">
        <is>
          <t>UPPSALA LÄN</t>
        </is>
      </c>
      <c r="E848" t="inlineStr">
        <is>
          <t>TIERP</t>
        </is>
      </c>
      <c r="F848" t="inlineStr">
        <is>
          <t>Övriga Aktiebolag</t>
        </is>
      </c>
      <c r="G848" t="n">
        <v>13</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2026-01-25T11:03:23Z</dcterms:created>
  <dcterms:modified xmlns:dcterms="http://purl.org/dc/terms/" xmlns:xsi="http://www.w3.org/2001/XMLSchema-instance" xsi:type="dcterms:W3CDTF">2026-01-25T11:03:24Z</dcterms:modified>
</cp:coreProperties>
</file>