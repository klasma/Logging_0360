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45812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45812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45812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45812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45812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45812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45812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45812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45812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45812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45812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45812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45812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45812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45812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45812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45812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45812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45812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45812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45812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45812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45812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45812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45812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45812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45812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45812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45812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45812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45812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45812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45812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45812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45812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45812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45812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45812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45812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45812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45812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45812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45812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45812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45812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45812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45812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45812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45812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45812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45812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45812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45812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45812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45812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45812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45812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45812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45812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45812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45812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45812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45812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45812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45812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45812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45812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45812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45812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45812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45812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45812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45812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45812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45812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45812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45812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45812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45812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45812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45812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45812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45812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45812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45812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45812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45812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45812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45812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45812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45812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45812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45812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45812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45812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45812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45812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45812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45812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45812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45812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45812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38105-2023</t>
        </is>
      </c>
      <c r="B104" s="1" t="n">
        <v>45161</v>
      </c>
      <c r="C104" s="1" t="n">
        <v>45812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HYPERLINK("https://klasma.github.io/Logging_0360/artfynd/A 38105-2023 artfynd.xlsx", "A 38105-2023")</f>
        <v/>
      </c>
      <c r="T104">
        <f>HYPERLINK("https://klasma.github.io/Logging_0360/kartor/A 38105-2023 karta.png", "A 38105-2023")</f>
        <v/>
      </c>
      <c r="V104">
        <f>HYPERLINK("https://klasma.github.io/Logging_0360/klagomål/A 38105-2023 FSC-klagomål.docx", "A 38105-2023")</f>
        <v/>
      </c>
      <c r="W104">
        <f>HYPERLINK("https://klasma.github.io/Logging_0360/klagomålsmail/A 38105-2023 FSC-klagomål mail.docx", "A 38105-2023")</f>
        <v/>
      </c>
      <c r="X104">
        <f>HYPERLINK("https://klasma.github.io/Logging_0360/tillsyn/A 38105-2023 tillsynsbegäran.docx", "A 38105-2023")</f>
        <v/>
      </c>
      <c r="Y104">
        <f>HYPERLINK("https://klasma.github.io/Logging_0360/tillsynsmail/A 38105-2023 tillsynsbegäran mail.docx", "A 38105-2023")</f>
        <v/>
      </c>
      <c r="Z104">
        <f>HYPERLINK("https://klasma.github.io/Logging_0360/fåglar/A 38105-2023 prioriterade fågelarter.docx", "A 38105-2023")</f>
        <v/>
      </c>
    </row>
    <row r="105" ht="15" customHeight="1">
      <c r="A105" t="inlineStr">
        <is>
          <t>A 38821-2023</t>
        </is>
      </c>
      <c r="B105" s="1" t="n">
        <v>45163</v>
      </c>
      <c r="C105" s="1" t="n">
        <v>45812</v>
      </c>
      <c r="D105" t="inlineStr">
        <is>
          <t>UPPSALA LÄN</t>
        </is>
      </c>
      <c r="E105" t="inlineStr">
        <is>
          <t>TIERP</t>
        </is>
      </c>
      <c r="G105" t="n">
        <v>20.3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HYPERLINK("https://klasma.github.io/Logging_0360/artfynd/A 38821-2023 artfynd.xlsx", "A 38821-2023")</f>
        <v/>
      </c>
      <c r="T105">
        <f>HYPERLINK("https://klasma.github.io/Logging_0360/kartor/A 38821-2023 karta.png", "A 38821-2023")</f>
        <v/>
      </c>
      <c r="V105">
        <f>HYPERLINK("https://klasma.github.io/Logging_0360/klagomål/A 38821-2023 FSC-klagomål.docx", "A 38821-2023")</f>
        <v/>
      </c>
      <c r="W105">
        <f>HYPERLINK("https://klasma.github.io/Logging_0360/klagomålsmail/A 38821-2023 FSC-klagomål mail.docx", "A 38821-2023")</f>
        <v/>
      </c>
      <c r="X105">
        <f>HYPERLINK("https://klasma.github.io/Logging_0360/tillsyn/A 38821-2023 tillsynsbegäran.docx", "A 38821-2023")</f>
        <v/>
      </c>
      <c r="Y105">
        <f>HYPERLINK("https://klasma.github.io/Logging_0360/tillsynsmail/A 38821-2023 tillsynsbegäran mail.docx", "A 38821-2023")</f>
        <v/>
      </c>
    </row>
    <row r="106" ht="15" customHeight="1">
      <c r="A106" t="inlineStr">
        <is>
          <t>A 40878-2023</t>
        </is>
      </c>
      <c r="B106" s="1" t="n">
        <v>45173</v>
      </c>
      <c r="C106" s="1" t="n">
        <v>45812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4.7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HYPERLINK("https://klasma.github.io/Logging_0360/artfynd/A 40878-2023 artfynd.xlsx", "A 40878-2023")</f>
        <v/>
      </c>
      <c r="T106">
        <f>HYPERLINK("https://klasma.github.io/Logging_0360/kartor/A 40878-2023 karta.png", "A 40878-2023")</f>
        <v/>
      </c>
      <c r="V106">
        <f>HYPERLINK("https://klasma.github.io/Logging_0360/klagomål/A 40878-2023 FSC-klagomål.docx", "A 40878-2023")</f>
        <v/>
      </c>
      <c r="W106">
        <f>HYPERLINK("https://klasma.github.io/Logging_0360/klagomålsmail/A 40878-2023 FSC-klagomål mail.docx", "A 40878-2023")</f>
        <v/>
      </c>
      <c r="X106">
        <f>HYPERLINK("https://klasma.github.io/Logging_0360/tillsyn/A 40878-2023 tillsynsbegäran.docx", "A 40878-2023")</f>
        <v/>
      </c>
      <c r="Y106">
        <f>HYPERLINK("https://klasma.github.io/Logging_0360/tillsynsmail/A 40878-2023 tillsynsbegäran mail.docx", "A 40878-2023")</f>
        <v/>
      </c>
    </row>
    <row r="107" ht="15" customHeight="1">
      <c r="A107" t="inlineStr">
        <is>
          <t>A 40940-2023</t>
        </is>
      </c>
      <c r="B107" s="1" t="n">
        <v>45173</v>
      </c>
      <c r="C107" s="1" t="n">
        <v>45812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40940-2023 artfynd.xlsx", "A 40940-2023")</f>
        <v/>
      </c>
      <c r="T107">
        <f>HYPERLINK("https://klasma.github.io/Logging_0360/kartor/A 40940-2023 karta.png", "A 40940-2023")</f>
        <v/>
      </c>
      <c r="V107">
        <f>HYPERLINK("https://klasma.github.io/Logging_0360/klagomål/A 40940-2023 FSC-klagomål.docx", "A 40940-2023")</f>
        <v/>
      </c>
      <c r="W107">
        <f>HYPERLINK("https://klasma.github.io/Logging_0360/klagomålsmail/A 40940-2023 FSC-klagomål mail.docx", "A 40940-2023")</f>
        <v/>
      </c>
      <c r="X107">
        <f>HYPERLINK("https://klasma.github.io/Logging_0360/tillsyn/A 40940-2023 tillsynsbegäran.docx", "A 40940-2023")</f>
        <v/>
      </c>
      <c r="Y107">
        <f>HYPERLINK("https://klasma.github.io/Logging_0360/tillsynsmail/A 40940-2023 tillsynsbegäran mail.docx", "A 40940-2023")</f>
        <v/>
      </c>
    </row>
    <row r="108" ht="15" customHeight="1">
      <c r="A108" t="inlineStr">
        <is>
          <t>A 43162-2023</t>
        </is>
      </c>
      <c r="B108" s="1" t="n">
        <v>45183</v>
      </c>
      <c r="C108" s="1" t="n">
        <v>45812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15.7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43162-2023 artfynd.xlsx", "A 43162-2023")</f>
        <v/>
      </c>
      <c r="T108">
        <f>HYPERLINK("https://klasma.github.io/Logging_0360/kartor/A 43162-2023 karta.png", "A 43162-2023")</f>
        <v/>
      </c>
      <c r="V108">
        <f>HYPERLINK("https://klasma.github.io/Logging_0360/klagomål/A 43162-2023 FSC-klagomål.docx", "A 43162-2023")</f>
        <v/>
      </c>
      <c r="W108">
        <f>HYPERLINK("https://klasma.github.io/Logging_0360/klagomålsmail/A 43162-2023 FSC-klagomål mail.docx", "A 43162-2023")</f>
        <v/>
      </c>
      <c r="X108">
        <f>HYPERLINK("https://klasma.github.io/Logging_0360/tillsyn/A 43162-2023 tillsynsbegäran.docx", "A 43162-2023")</f>
        <v/>
      </c>
      <c r="Y108">
        <f>HYPERLINK("https://klasma.github.io/Logging_0360/tillsynsmail/A 43162-2023 tillsynsbegäran mail.docx", "A 43162-2023")</f>
        <v/>
      </c>
      <c r="Z108">
        <f>HYPERLINK("https://klasma.github.io/Logging_0360/fåglar/A 43162-2023 prioriterade fågelarter.docx", "A 43162-2023")</f>
        <v/>
      </c>
    </row>
    <row r="109" ht="15" customHeight="1">
      <c r="A109" t="inlineStr">
        <is>
          <t>A 48687-2023</t>
        </is>
      </c>
      <c r="B109" s="1" t="n">
        <v>45208</v>
      </c>
      <c r="C109" s="1" t="n">
        <v>45812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48687-2023 artfynd.xlsx", "A 48687-2023")</f>
        <v/>
      </c>
      <c r="T109">
        <f>HYPERLINK("https://klasma.github.io/Logging_0360/kartor/A 48687-2023 karta.png", "A 48687-2023")</f>
        <v/>
      </c>
      <c r="V109">
        <f>HYPERLINK("https://klasma.github.io/Logging_0360/klagomål/A 48687-2023 FSC-klagomål.docx", "A 48687-2023")</f>
        <v/>
      </c>
      <c r="W109">
        <f>HYPERLINK("https://klasma.github.io/Logging_0360/klagomålsmail/A 48687-2023 FSC-klagomål mail.docx", "A 48687-2023")</f>
        <v/>
      </c>
      <c r="X109">
        <f>HYPERLINK("https://klasma.github.io/Logging_0360/tillsyn/A 48687-2023 tillsynsbegäran.docx", "A 48687-2023")</f>
        <v/>
      </c>
      <c r="Y109">
        <f>HYPERLINK("https://klasma.github.io/Logging_0360/tillsynsmail/A 48687-2023 tillsynsbegäran mail.docx", "A 48687-2023")</f>
        <v/>
      </c>
      <c r="Z109">
        <f>HYPERLINK("https://klasma.github.io/Logging_0360/fåglar/A 48687-2023 prioriterade fågelarter.docx", "A 48687-2023")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45812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45812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45812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45812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45812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45812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45812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45812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45812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45812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45812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45812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45812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45812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45812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45812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45812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45812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45812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45812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45812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45812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45812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45812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45812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45812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45812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45812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45812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45812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45812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45812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45812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45812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45812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45812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45812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45812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45812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45812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45812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45812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45812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45812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45812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45812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45812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45812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45812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45812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45812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45812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45812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45812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45812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45812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45812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45812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45812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45812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45812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45812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45812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45812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45812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45812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45812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45812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45812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45812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45812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45812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45812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45812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45812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45812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45812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45812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45812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45812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45812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45812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45812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45812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45812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45812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45812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45812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45812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45812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45812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45812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45812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45812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45812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45812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45812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45812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45812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45812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45812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45812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45812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45812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45812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45812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45812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45812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45812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45812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45812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45812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45812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45812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45812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45812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45812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45812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45812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45812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45812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45812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45812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45812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45812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45812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45812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45812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45812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45812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45812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45812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45812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45812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45812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45812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45812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45812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45812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45812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45812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45812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45812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45812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45812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45812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45812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45812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45812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45812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45812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45812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45812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45812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45812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45812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45812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45812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45812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45812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45812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45812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45812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45812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45812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45812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45812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45812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45812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45812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45812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45812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45812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45812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45812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45812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45812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45812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45812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45812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45812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45812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45812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45812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45812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45812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45812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45812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45812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45812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45812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45812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45812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45812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45812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45812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45812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45812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45812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45812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45812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45812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45812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45812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45812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45812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45812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45812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45812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45812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45812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45812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45812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45812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45812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45812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45812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45812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45812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45812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45812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45812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45812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45812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45812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45812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45812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45812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45812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45812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45812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45812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45812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45812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45812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45812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45812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45812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45812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45812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45812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45812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45812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45812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45812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45812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45812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45812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45812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45812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45812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45812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45812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45812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45812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45812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45812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45812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45812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45812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45812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45812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45812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45812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45812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45812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45812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45812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45812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45812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45812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45812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45812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45812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45812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45812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45812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45812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45812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45812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45812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45812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45812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45812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45812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45812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45812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45812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45812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45812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45812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45812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45812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45812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45812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45812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45812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45812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45812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45812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45812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45812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45812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45812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45812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45812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45812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45812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45812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45812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45812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45812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45812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45812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45812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45812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45812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45812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45812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45812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45812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45812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45812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45812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45812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45812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45812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45812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45812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45812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45812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45812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45812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45812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45812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45812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45812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45812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45812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45812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45812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45812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45812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45812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45812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45812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45812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45812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45812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45812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45812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45812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45812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45812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45812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45812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45812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45812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45812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45812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45812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45812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45812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45812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45812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45812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45812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45812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45812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45812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45812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45812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45812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45812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45812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45812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45812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45812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45812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45812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45812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45812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45812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45812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45812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45812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45812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45812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45812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45812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45812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45812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45812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45812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45812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45812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45812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45812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45812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45812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45812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45812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45812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45812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45812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45812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45812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45812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45812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45812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45812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45812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45812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45812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45812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45812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45812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45812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45812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45812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45812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45812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45812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45812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45812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45812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45812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45812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45812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45812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45812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45812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45812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45812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45812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45812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45812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45812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45812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45812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45812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45812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45812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45812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45812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45812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45812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45812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45812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45812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45812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45812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45812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45812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45812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45812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45812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45812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45812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45812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45812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45812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45812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45812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45812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45812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45812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45812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45812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45812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45812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45812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45812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45812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45812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45812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45812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45812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45812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45812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45812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45812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45812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45812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45812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45812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45812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45812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45812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45812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45812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45812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45812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45812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45812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45812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45812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45812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45812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45812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45812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45812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45812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45812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45812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45812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45812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45812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45812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45812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45812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45812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45812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45812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45812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45812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45812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45812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45812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45812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45812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45812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45812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45812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45812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45812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45812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45812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45812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45812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45812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45812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45812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45812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45812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45812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45812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45812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45812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45812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45812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45812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45812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45812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45812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45812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45812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45812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45812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45812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45812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45812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45812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45812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45812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45812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45812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45812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45812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45812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45812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45812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45812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45812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45812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45812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45812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45812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45812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45812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45812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45812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45812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45812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45812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45812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45812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45812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45812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45812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45812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45812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45812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45812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45812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45812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45812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45812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45812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45812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45812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45812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45812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45812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45812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45812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45812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45812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45812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45812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45812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45812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45812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45812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45812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45812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45812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45812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45812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45812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45812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45812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45812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45812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45812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45812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45812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45812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45812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45812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45812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45812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45812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45812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45812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45812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45812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45812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45812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45812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45812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45812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45812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45812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45812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45812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45812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45812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45812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45812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45812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45812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45812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45812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45812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45812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45812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45812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45812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45812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45812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45812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45812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45812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45812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45812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45812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45812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45812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45812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45812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45812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45812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45812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45812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45812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45812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45812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45812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45812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45812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45812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45812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45812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45812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45812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45812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45812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45812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45812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45812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45812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45812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45812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45812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45812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45812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45812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45812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45812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45812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45812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45812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45812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45812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45812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45812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45812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45812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45812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45812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45812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45812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45812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45812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45812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45812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45812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45812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45812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45812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45812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45812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45812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45812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45812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45812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45812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45812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45812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45812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45812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45812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45812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45812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45812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45812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45812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45812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45812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45812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45812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45812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45812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45812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45812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45812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45812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45812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45812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45812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45812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45812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45812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45812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45812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45812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45812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45812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45812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45812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45812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45812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45812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45812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45812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45812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45812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45812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45812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45812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45812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45812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45812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45812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45812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45812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45812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45812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45812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45812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45812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45812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45812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45812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45812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45812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45812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45812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45812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45812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45812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45812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45812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45812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45812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45812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45812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45812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45812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45812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45812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45812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45812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45812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45812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45812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45812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45812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45812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45812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45812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45812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45812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45812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45812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45812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45812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45812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45812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45812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45812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45812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45812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45812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45812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45812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45812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45812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45812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45812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45812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45812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45812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45812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45812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45812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45812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45812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45812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45812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45812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45812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45812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45812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45812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45812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45812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45812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45812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45812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45812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45812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45812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45812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45812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45812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45812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45812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45812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45812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45812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45812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45812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45812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45812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45812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45812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45812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45812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45812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45812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45812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45812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45812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45812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45812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45812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45812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45812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45812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45812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45812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45812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45812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45812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45812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45812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45812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45812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45812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45812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45812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45812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45812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45812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45812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45812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45812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45812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45812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45812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45812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45812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45812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45812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45812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45812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45812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45812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45812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45812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45812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45812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45812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45812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45812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45812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45812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45812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45812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45812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45812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45812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45812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45812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45812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45812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45812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45812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45812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45812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45812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45812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45812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45812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45812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45812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45812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45812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45812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45812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45812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45812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45812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45812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45812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45812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45812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45812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45812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45812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45812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45812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45812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45812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45812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45812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45812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45812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45812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45812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45812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45812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45812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45812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45812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45812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45812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45812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45812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45812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45812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45812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45812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45812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45812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45812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45812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45812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45812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45812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45812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45812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45812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45812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45812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45812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45812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45812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45812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45812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45812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45812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45812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45812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45812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45812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45812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45812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45812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45812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45812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45812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45812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45812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45812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45812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45812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45812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45812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45812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45812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45812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45812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45812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45812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45812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45812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45812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45812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45812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45812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45812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45812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45812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45812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45812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45812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45812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45812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45812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45812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45812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45812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45812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45812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45812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45812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45812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45812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45812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45812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45812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45812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45812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45812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45812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45812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45812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45812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45812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45812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45812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45812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45812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45812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45812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45812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45812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45812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45812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45812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45812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45812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45812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45812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45812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45812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45812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45812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45812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45812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45812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45812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45812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45812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45812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45812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45812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45812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45812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45812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45812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45812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45812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45812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45812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45812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45812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45812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45812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45812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45812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45812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45812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45812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45812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45812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45812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45812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45812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45812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45812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45812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45812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45812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45812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45812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45812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45812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45812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45812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45812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45812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45812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45812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45812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45812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45812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45812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45812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45812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45812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45812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45812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45812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45812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45812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45812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45812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45812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45812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45812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45812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45812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45812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45812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45812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45812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45812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45812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45812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45812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45812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45812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45812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45812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45812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45812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45812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45812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45812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45812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45812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45812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45812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22529-2025</t>
        </is>
      </c>
      <c r="B1257" s="1" t="n">
        <v>45786</v>
      </c>
      <c r="C1257" s="1" t="n">
        <v>45812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45812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45812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45812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45812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45812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23204-2025</t>
        </is>
      </c>
      <c r="B1263" s="1" t="n">
        <v>45791</v>
      </c>
      <c r="C1263" s="1" t="n">
        <v>45812</v>
      </c>
      <c r="D1263" t="inlineStr">
        <is>
          <t>UPPSALA LÄN</t>
        </is>
      </c>
      <c r="E1263" t="inlineStr">
        <is>
          <t>TIERP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45812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23201-2025</t>
        </is>
      </c>
      <c r="B1265" s="1" t="n">
        <v>45791</v>
      </c>
      <c r="C1265" s="1" t="n">
        <v>45812</v>
      </c>
      <c r="D1265" t="inlineStr">
        <is>
          <t>UPPSALA LÄN</t>
        </is>
      </c>
      <c r="E1265" t="inlineStr">
        <is>
          <t>TIERP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45812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45812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45812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45812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45812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45812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45812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24841-2025</t>
        </is>
      </c>
      <c r="B1273" s="1" t="n">
        <v>45799</v>
      </c>
      <c r="C1273" s="1" t="n">
        <v>45812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45812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24799-2025</t>
        </is>
      </c>
      <c r="B1275" s="1" t="n">
        <v>45799</v>
      </c>
      <c r="C1275" s="1" t="n">
        <v>45812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45812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26040-2025</t>
        </is>
      </c>
      <c r="B1277" s="1" t="n">
        <v>45804</v>
      </c>
      <c r="C1277" s="1" t="n">
        <v>45812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45812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25927-2025</t>
        </is>
      </c>
      <c r="B1279" s="1" t="n">
        <v>45804</v>
      </c>
      <c r="C1279" s="1" t="n">
        <v>45812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45812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26556-2025</t>
        </is>
      </c>
      <c r="B1281" s="1" t="n">
        <v>45807</v>
      </c>
      <c r="C1281" s="1" t="n">
        <v>45812</v>
      </c>
      <c r="D1281" t="inlineStr">
        <is>
          <t>UPPSALA LÄN</t>
        </is>
      </c>
      <c r="E1281" t="inlineStr">
        <is>
          <t>TIERP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45812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45812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45812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26559-2025</t>
        </is>
      </c>
      <c r="B1285" s="1" t="n">
        <v>45807</v>
      </c>
      <c r="C1285" s="1" t="n">
        <v>45812</v>
      </c>
      <c r="D1285" t="inlineStr">
        <is>
          <t>UPPSALA LÄN</t>
        </is>
      </c>
      <c r="E1285" t="inlineStr">
        <is>
          <t>TIERP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26714-2025</t>
        </is>
      </c>
      <c r="B1286" s="1" t="n">
        <v>45810</v>
      </c>
      <c r="C1286" s="1" t="n">
        <v>45812</v>
      </c>
      <c r="D1286" t="inlineStr">
        <is>
          <t>UPPSALA LÄN</t>
        </is>
      </c>
      <c r="E1286" t="inlineStr">
        <is>
          <t>TIERP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2025-06-04T18:15:54Z</dcterms:created>
  <dcterms:modified xmlns:dcterms="http://purl.org/dc/terms/" xmlns:xsi="http://www.w3.org/2001/XMLSchema-instance" xsi:type="dcterms:W3CDTF">2025-06-04T18:15:55Z</dcterms:modified>
</cp:coreProperties>
</file>