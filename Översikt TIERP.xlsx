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45810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45810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45810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45810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45810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45810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45810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45810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45810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45810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45810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45810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45810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45810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45810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45810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45810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45810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45810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45810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45810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45810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45810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45810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45810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45810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45810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45810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45810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45810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45810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45810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45810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45810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45810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45810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45810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45810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45810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45810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45810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45810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45810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45810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45810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45810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45810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45810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45810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45810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45810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45810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45810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45810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45810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45810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45810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45810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45810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45810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45810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45810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45810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45810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45810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45810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45810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45810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45810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45810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45810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45810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45810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45810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45810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45810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25013-2025</t>
        </is>
      </c>
      <c r="B78" s="1" t="n">
        <v>45799</v>
      </c>
      <c r="C78" s="1" t="n">
        <v>45810</v>
      </c>
      <c r="D78" t="inlineStr">
        <is>
          <t>UPPSALA LÄN</t>
        </is>
      </c>
      <c r="E78" t="inlineStr">
        <is>
          <t>TIERP</t>
        </is>
      </c>
      <c r="G78" t="n">
        <v>0.5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Gul taggsvamp
Rödgul trumpetsvamp</t>
        </is>
      </c>
      <c r="S78">
        <f>HYPERLINK("https://klasma.github.io/Logging_030360/artfynd/A 25013-2025 artfynd.xlsx", "A 25013-2025")</f>
        <v/>
      </c>
      <c r="T78">
        <f>HYPERLINK("https://klasma.github.io/Logging_030360/kartor/A 25013-2025 karta.png", "A 25013-2025")</f>
        <v/>
      </c>
      <c r="V78">
        <f>HYPERLINK("https://klasma.github.io/Logging_030360/klagomål/A 25013-2025 FSC-klagomål.docx", "A 25013-2025")</f>
        <v/>
      </c>
      <c r="W78">
        <f>HYPERLINK("https://klasma.github.io/Logging_030360/klagomålsmail/A 25013-2025 FSC-klagomål mail.docx", "A 25013-2025")</f>
        <v/>
      </c>
      <c r="X78">
        <f>HYPERLINK("https://klasma.github.io/Logging_030360/tillsyn/A 25013-2025 tillsynsbegäran.docx", "A 25013-2025")</f>
        <v/>
      </c>
      <c r="Y78">
        <f>HYPERLINK("https://klasma.github.io/Logging_030360/tillsynsmail/A 25013-2025 tillsynsbegäran mail.docx", "A 25013-2025")</f>
        <v/>
      </c>
    </row>
    <row r="79" ht="15" customHeight="1">
      <c r="A79" t="inlineStr">
        <is>
          <t>A 30583-2019</t>
        </is>
      </c>
      <c r="B79" s="1" t="n">
        <v>43635</v>
      </c>
      <c r="C79" s="1" t="n">
        <v>45810</v>
      </c>
      <c r="D79" t="inlineStr">
        <is>
          <t>UPPSALA LÄN</t>
        </is>
      </c>
      <c r="E79" t="inlineStr">
        <is>
          <t>TIERP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Guckusko</t>
        </is>
      </c>
      <c r="S79">
        <f>HYPERLINK("https://klasma.github.io/Logging_0360/artfynd/A 30583-2019 artfynd.xlsx", "A 30583-2019")</f>
        <v/>
      </c>
      <c r="T79">
        <f>HYPERLINK("https://klasma.github.io/Logging_0360/kartor/A 30583-2019 karta.png", "A 30583-2019")</f>
        <v/>
      </c>
      <c r="V79">
        <f>HYPERLINK("https://klasma.github.io/Logging_0360/klagomål/A 30583-2019 FSC-klagomål.docx", "A 30583-2019")</f>
        <v/>
      </c>
      <c r="W79">
        <f>HYPERLINK("https://klasma.github.io/Logging_0360/klagomålsmail/A 30583-2019 FSC-klagomål mail.docx", "A 30583-2019")</f>
        <v/>
      </c>
      <c r="X79">
        <f>HYPERLINK("https://klasma.github.io/Logging_0360/tillsyn/A 30583-2019 tillsynsbegäran.docx", "A 30583-2019")</f>
        <v/>
      </c>
      <c r="Y79">
        <f>HYPERLINK("https://klasma.github.io/Logging_0360/tillsynsmail/A 30583-2019 tillsynsbegäran mail.docx", "A 30583-2019")</f>
        <v/>
      </c>
    </row>
    <row r="80" ht="15" customHeight="1">
      <c r="A80" t="inlineStr">
        <is>
          <t>A 33753-2019</t>
        </is>
      </c>
      <c r="B80" s="1" t="n">
        <v>43651</v>
      </c>
      <c r="C80" s="1" t="n">
        <v>45810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HYPERLINK("https://klasma.github.io/Logging_0360/artfynd/A 33753-2019 artfynd.xlsx", "A 33753-2019")</f>
        <v/>
      </c>
      <c r="T80">
        <f>HYPERLINK("https://klasma.github.io/Logging_0360/kartor/A 33753-2019 karta.png", "A 33753-2019")</f>
        <v/>
      </c>
      <c r="V80">
        <f>HYPERLINK("https://klasma.github.io/Logging_0360/klagomål/A 33753-2019 FSC-klagomål.docx", "A 33753-2019")</f>
        <v/>
      </c>
      <c r="W80">
        <f>HYPERLINK("https://klasma.github.io/Logging_0360/klagomålsmail/A 33753-2019 FSC-klagomål mail.docx", "A 33753-2019")</f>
        <v/>
      </c>
      <c r="X80">
        <f>HYPERLINK("https://klasma.github.io/Logging_0360/tillsyn/A 33753-2019 tillsynsbegäran.docx", "A 33753-2019")</f>
        <v/>
      </c>
      <c r="Y80">
        <f>HYPERLINK("https://klasma.github.io/Logging_0360/tillsynsmail/A 33753-2019 tillsynsbegäran mail.docx", "A 33753-2019")</f>
        <v/>
      </c>
    </row>
    <row r="81" ht="15" customHeight="1">
      <c r="A81" t="inlineStr">
        <is>
          <t>A 2391-2020</t>
        </is>
      </c>
      <c r="B81" s="1" t="n">
        <v>43847</v>
      </c>
      <c r="C81" s="1" t="n">
        <v>45810</v>
      </c>
      <c r="D81" t="inlineStr">
        <is>
          <t>UPPSALA LÄN</t>
        </is>
      </c>
      <c r="E81" t="inlineStr">
        <is>
          <t>TIERP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Äggspindling</t>
        </is>
      </c>
      <c r="S81">
        <f>HYPERLINK("https://klasma.github.io/Logging_0360/artfynd/A 2391-2020 artfynd.xlsx", "A 2391-2020")</f>
        <v/>
      </c>
      <c r="T81">
        <f>HYPERLINK("https://klasma.github.io/Logging_0360/kartor/A 2391-2020 karta.png", "A 2391-2020")</f>
        <v/>
      </c>
      <c r="V81">
        <f>HYPERLINK("https://klasma.github.io/Logging_0360/klagomål/A 2391-2020 FSC-klagomål.docx", "A 2391-2020")</f>
        <v/>
      </c>
      <c r="W81">
        <f>HYPERLINK("https://klasma.github.io/Logging_0360/klagomålsmail/A 2391-2020 FSC-klagomål mail.docx", "A 2391-2020")</f>
        <v/>
      </c>
      <c r="X81">
        <f>HYPERLINK("https://klasma.github.io/Logging_0360/tillsyn/A 2391-2020 tillsynsbegäran.docx", "A 2391-2020")</f>
        <v/>
      </c>
      <c r="Y81">
        <f>HYPERLINK("https://klasma.github.io/Logging_0360/tillsynsmail/A 2391-2020 tillsynsbegäran mail.docx", "A 2391-2020")</f>
        <v/>
      </c>
    </row>
    <row r="82" ht="15" customHeight="1">
      <c r="A82" t="inlineStr">
        <is>
          <t>A 2835-2020</t>
        </is>
      </c>
      <c r="B82" s="1" t="n">
        <v>43850</v>
      </c>
      <c r="C82" s="1" t="n">
        <v>45810</v>
      </c>
      <c r="D82" t="inlineStr">
        <is>
          <t>UPPSALA LÄN</t>
        </is>
      </c>
      <c r="E82" t="inlineStr">
        <is>
          <t>TIERP</t>
        </is>
      </c>
      <c r="G82" t="n">
        <v>7.6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HYPERLINK("https://klasma.github.io/Logging_0360/artfynd/A 2835-2020 artfynd.xlsx", "A 2835-2020")</f>
        <v/>
      </c>
      <c r="T82">
        <f>HYPERLINK("https://klasma.github.io/Logging_0360/kartor/A 2835-2020 karta.png", "A 2835-2020")</f>
        <v/>
      </c>
      <c r="V82">
        <f>HYPERLINK("https://klasma.github.io/Logging_0360/klagomål/A 2835-2020 FSC-klagomål.docx", "A 2835-2020")</f>
        <v/>
      </c>
      <c r="W82">
        <f>HYPERLINK("https://klasma.github.io/Logging_0360/klagomålsmail/A 2835-2020 FSC-klagomål mail.docx", "A 2835-2020")</f>
        <v/>
      </c>
      <c r="X82">
        <f>HYPERLINK("https://klasma.github.io/Logging_0360/tillsyn/A 2835-2020 tillsynsbegäran.docx", "A 2835-2020")</f>
        <v/>
      </c>
      <c r="Y82">
        <f>HYPERLINK("https://klasma.github.io/Logging_0360/tillsynsmail/A 2835-2020 tillsynsbegäran mail.docx", "A 2835-2020")</f>
        <v/>
      </c>
    </row>
    <row r="83" ht="15" customHeight="1">
      <c r="A83" t="inlineStr">
        <is>
          <t>A 5316-2020</t>
        </is>
      </c>
      <c r="B83" s="1" t="n">
        <v>43860</v>
      </c>
      <c r="C83" s="1" t="n">
        <v>45810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18.2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HYPERLINK("https://klasma.github.io/Logging_0360/artfynd/A 5316-2020 artfynd.xlsx", "A 5316-2020")</f>
        <v/>
      </c>
      <c r="T83">
        <f>HYPERLINK("https://klasma.github.io/Logging_0360/kartor/A 5316-2020 karta.png", "A 5316-2020")</f>
        <v/>
      </c>
      <c r="V83">
        <f>HYPERLINK("https://klasma.github.io/Logging_0360/klagomål/A 5316-2020 FSC-klagomål.docx", "A 5316-2020")</f>
        <v/>
      </c>
      <c r="W83">
        <f>HYPERLINK("https://klasma.github.io/Logging_0360/klagomålsmail/A 5316-2020 FSC-klagomål mail.docx", "A 5316-2020")</f>
        <v/>
      </c>
      <c r="X83">
        <f>HYPERLINK("https://klasma.github.io/Logging_0360/tillsyn/A 5316-2020 tillsynsbegäran.docx", "A 5316-2020")</f>
        <v/>
      </c>
      <c r="Y83">
        <f>HYPERLINK("https://klasma.github.io/Logging_0360/tillsynsmail/A 5316-2020 tillsynsbegäran mail.docx", "A 5316-2020")</f>
        <v/>
      </c>
      <c r="Z83">
        <f>HYPERLINK("https://klasma.github.io/Logging_0360/fåglar/A 5316-2020 prioriterade fågelarter.docx", "A 5316-2020")</f>
        <v/>
      </c>
    </row>
    <row r="84" ht="15" customHeight="1">
      <c r="A84" t="inlineStr">
        <is>
          <t>A 14008-2020</t>
        </is>
      </c>
      <c r="B84" s="1" t="n">
        <v>43906</v>
      </c>
      <c r="C84" s="1" t="n">
        <v>45810</v>
      </c>
      <c r="D84" t="inlineStr">
        <is>
          <t>UPPSALA LÄN</t>
        </is>
      </c>
      <c r="E84" t="inlineStr">
        <is>
          <t>TIERP</t>
        </is>
      </c>
      <c r="G84" t="n">
        <v>22.3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HYPERLINK("https://klasma.github.io/Logging_0360/artfynd/A 14008-2020 artfynd.xlsx", "A 14008-2020")</f>
        <v/>
      </c>
      <c r="T84">
        <f>HYPERLINK("https://klasma.github.io/Logging_0360/kartor/A 14008-2020 karta.png", "A 14008-2020")</f>
        <v/>
      </c>
      <c r="V84">
        <f>HYPERLINK("https://klasma.github.io/Logging_0360/klagomål/A 14008-2020 FSC-klagomål.docx", "A 14008-2020")</f>
        <v/>
      </c>
      <c r="W84">
        <f>HYPERLINK("https://klasma.github.io/Logging_0360/klagomålsmail/A 14008-2020 FSC-klagomål mail.docx", "A 14008-2020")</f>
        <v/>
      </c>
      <c r="X84">
        <f>HYPERLINK("https://klasma.github.io/Logging_0360/tillsyn/A 14008-2020 tillsynsbegäran.docx", "A 14008-2020")</f>
        <v/>
      </c>
      <c r="Y84">
        <f>HYPERLINK("https://klasma.github.io/Logging_0360/tillsynsmail/A 14008-2020 tillsynsbegäran mail.docx", "A 14008-2020")</f>
        <v/>
      </c>
    </row>
    <row r="85" ht="15" customHeight="1">
      <c r="A85" t="inlineStr">
        <is>
          <t>A 18773-2020</t>
        </is>
      </c>
      <c r="B85" s="1" t="n">
        <v>43930</v>
      </c>
      <c r="C85" s="1" t="n">
        <v>45810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18773-2020 artfynd.xlsx", "A 18773-2020")</f>
        <v/>
      </c>
      <c r="T85">
        <f>HYPERLINK("https://klasma.github.io/Logging_0360/kartor/A 18773-2020 karta.png", "A 18773-2020")</f>
        <v/>
      </c>
      <c r="V85">
        <f>HYPERLINK("https://klasma.github.io/Logging_0360/klagomål/A 18773-2020 FSC-klagomål.docx", "A 18773-2020")</f>
        <v/>
      </c>
      <c r="W85">
        <f>HYPERLINK("https://klasma.github.io/Logging_0360/klagomålsmail/A 18773-2020 FSC-klagomål mail.docx", "A 18773-2020")</f>
        <v/>
      </c>
      <c r="X85">
        <f>HYPERLINK("https://klasma.github.io/Logging_0360/tillsyn/A 18773-2020 tillsynsbegäran.docx", "A 18773-2020")</f>
        <v/>
      </c>
      <c r="Y85">
        <f>HYPERLINK("https://klasma.github.io/Logging_0360/tillsynsmail/A 18773-2020 tillsynsbegäran mail.docx", "A 18773-2020")</f>
        <v/>
      </c>
    </row>
    <row r="86" ht="15" customHeight="1">
      <c r="A86" t="inlineStr">
        <is>
          <t>A 3444-2021</t>
        </is>
      </c>
      <c r="B86" s="1" t="n">
        <v>44218</v>
      </c>
      <c r="C86" s="1" t="n">
        <v>45810</v>
      </c>
      <c r="D86" t="inlineStr">
        <is>
          <t>UPPSALA LÄN</t>
        </is>
      </c>
      <c r="E86" t="inlineStr">
        <is>
          <t>TIERP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Fyrflikig jordstjärna</t>
        </is>
      </c>
      <c r="S86">
        <f>HYPERLINK("https://klasma.github.io/Logging_0360/artfynd/A 3444-2021 artfynd.xlsx", "A 3444-2021")</f>
        <v/>
      </c>
      <c r="T86">
        <f>HYPERLINK("https://klasma.github.io/Logging_0360/kartor/A 3444-2021 karta.png", "A 3444-2021")</f>
        <v/>
      </c>
      <c r="V86">
        <f>HYPERLINK("https://klasma.github.io/Logging_0360/klagomål/A 3444-2021 FSC-klagomål.docx", "A 3444-2021")</f>
        <v/>
      </c>
      <c r="W86">
        <f>HYPERLINK("https://klasma.github.io/Logging_0360/klagomålsmail/A 3444-2021 FSC-klagomål mail.docx", "A 3444-2021")</f>
        <v/>
      </c>
      <c r="X86">
        <f>HYPERLINK("https://klasma.github.io/Logging_0360/tillsyn/A 3444-2021 tillsynsbegäran.docx", "A 3444-2021")</f>
        <v/>
      </c>
      <c r="Y86">
        <f>HYPERLINK("https://klasma.github.io/Logging_0360/tillsynsmail/A 3444-2021 tillsynsbegäran mail.docx", "A 3444-2021")</f>
        <v/>
      </c>
    </row>
    <row r="87" ht="15" customHeight="1">
      <c r="A87" t="inlineStr">
        <is>
          <t>A 19222-2021</t>
        </is>
      </c>
      <c r="B87" s="1" t="n">
        <v>44309</v>
      </c>
      <c r="C87" s="1" t="n">
        <v>45810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Orre</t>
        </is>
      </c>
      <c r="S87">
        <f>HYPERLINK("https://klasma.github.io/Logging_0360/artfynd/A 19222-2021 artfynd.xlsx", "A 19222-2021")</f>
        <v/>
      </c>
      <c r="T87">
        <f>HYPERLINK("https://klasma.github.io/Logging_0360/kartor/A 19222-2021 karta.png", "A 19222-2021")</f>
        <v/>
      </c>
      <c r="V87">
        <f>HYPERLINK("https://klasma.github.io/Logging_0360/klagomål/A 19222-2021 FSC-klagomål.docx", "A 19222-2021")</f>
        <v/>
      </c>
      <c r="W87">
        <f>HYPERLINK("https://klasma.github.io/Logging_0360/klagomålsmail/A 19222-2021 FSC-klagomål mail.docx", "A 19222-2021")</f>
        <v/>
      </c>
      <c r="X87">
        <f>HYPERLINK("https://klasma.github.io/Logging_0360/tillsyn/A 19222-2021 tillsynsbegäran.docx", "A 19222-2021")</f>
        <v/>
      </c>
      <c r="Y87">
        <f>HYPERLINK("https://klasma.github.io/Logging_0360/tillsynsmail/A 19222-2021 tillsynsbegäran mail.docx", "A 19222-2021")</f>
        <v/>
      </c>
      <c r="Z87">
        <f>HYPERLINK("https://klasma.github.io/Logging_0360/fåglar/A 19222-2021 prioriterade fågelarter.docx", "A 19222-2021")</f>
        <v/>
      </c>
    </row>
    <row r="88" ht="15" customHeight="1">
      <c r="A88" t="inlineStr">
        <is>
          <t>A 50442-2021</t>
        </is>
      </c>
      <c r="B88" s="1" t="n">
        <v>44459</v>
      </c>
      <c r="C88" s="1" t="n">
        <v>45810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5.8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50442-2021 artfynd.xlsx", "A 50442-2021")</f>
        <v/>
      </c>
      <c r="T88">
        <f>HYPERLINK("https://klasma.github.io/Logging_0360/kartor/A 50442-2021 karta.png", "A 50442-2021")</f>
        <v/>
      </c>
      <c r="V88">
        <f>HYPERLINK("https://klasma.github.io/Logging_0360/klagomål/A 50442-2021 FSC-klagomål.docx", "A 50442-2021")</f>
        <v/>
      </c>
      <c r="W88">
        <f>HYPERLINK("https://klasma.github.io/Logging_0360/klagomålsmail/A 50442-2021 FSC-klagomål mail.docx", "A 50442-2021")</f>
        <v/>
      </c>
      <c r="X88">
        <f>HYPERLINK("https://klasma.github.io/Logging_0360/tillsyn/A 50442-2021 tillsynsbegäran.docx", "A 50442-2021")</f>
        <v/>
      </c>
      <c r="Y88">
        <f>HYPERLINK("https://klasma.github.io/Logging_0360/tillsynsmail/A 50442-2021 tillsynsbegäran mail.docx", "A 50442-2021")</f>
        <v/>
      </c>
      <c r="Z88">
        <f>HYPERLINK("https://klasma.github.io/Logging_0360/fåglar/A 50442-2021 prioriterade fågelarter.docx", "A 50442-2021")</f>
        <v/>
      </c>
    </row>
    <row r="89" ht="15" customHeight="1">
      <c r="A89" t="inlineStr">
        <is>
          <t>A 50429-2021</t>
        </is>
      </c>
      <c r="B89" s="1" t="n">
        <v>44459</v>
      </c>
      <c r="C89" s="1" t="n">
        <v>45810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50429-2021 artfynd.xlsx", "A 50429-2021")</f>
        <v/>
      </c>
      <c r="T89">
        <f>HYPERLINK("https://klasma.github.io/Logging_0360/kartor/A 50429-2021 karta.png", "A 50429-2021")</f>
        <v/>
      </c>
      <c r="V89">
        <f>HYPERLINK("https://klasma.github.io/Logging_0360/klagomål/A 50429-2021 FSC-klagomål.docx", "A 50429-2021")</f>
        <v/>
      </c>
      <c r="W89">
        <f>HYPERLINK("https://klasma.github.io/Logging_0360/klagomålsmail/A 50429-2021 FSC-klagomål mail.docx", "A 50429-2021")</f>
        <v/>
      </c>
      <c r="X89">
        <f>HYPERLINK("https://klasma.github.io/Logging_0360/tillsyn/A 50429-2021 tillsynsbegäran.docx", "A 50429-2021")</f>
        <v/>
      </c>
      <c r="Y89">
        <f>HYPERLINK("https://klasma.github.io/Logging_0360/tillsynsmail/A 50429-2021 tillsynsbegäran mail.docx", "A 50429-2021")</f>
        <v/>
      </c>
      <c r="Z89">
        <f>HYPERLINK("https://klasma.github.io/Logging_0360/fåglar/A 50429-2021 prioriterade fågelarter.docx", "A 50429-2021")</f>
        <v/>
      </c>
    </row>
    <row r="90" ht="15" customHeight="1">
      <c r="A90" t="inlineStr">
        <is>
          <t>A 73320-2021</t>
        </is>
      </c>
      <c r="B90" s="1" t="n">
        <v>44551</v>
      </c>
      <c r="C90" s="1" t="n">
        <v>45810</v>
      </c>
      <c r="D90" t="inlineStr">
        <is>
          <t>UPPSALA LÄN</t>
        </is>
      </c>
      <c r="E90" t="inlineStr">
        <is>
          <t>TIERP</t>
        </is>
      </c>
      <c r="G90" t="n">
        <v>8.699999999999999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HYPERLINK("https://klasma.github.io/Logging_0360/artfynd/A 73320-2021 artfynd.xlsx", "A 73320-2021")</f>
        <v/>
      </c>
      <c r="T90">
        <f>HYPERLINK("https://klasma.github.io/Logging_0360/kartor/A 73320-2021 karta.png", "A 73320-2021")</f>
        <v/>
      </c>
      <c r="V90">
        <f>HYPERLINK("https://klasma.github.io/Logging_0360/klagomål/A 73320-2021 FSC-klagomål.docx", "A 73320-2021")</f>
        <v/>
      </c>
      <c r="W90">
        <f>HYPERLINK("https://klasma.github.io/Logging_0360/klagomålsmail/A 73320-2021 FSC-klagomål mail.docx", "A 73320-2021")</f>
        <v/>
      </c>
      <c r="X90">
        <f>HYPERLINK("https://klasma.github.io/Logging_0360/tillsyn/A 73320-2021 tillsynsbegäran.docx", "A 73320-2021")</f>
        <v/>
      </c>
      <c r="Y90">
        <f>HYPERLINK("https://klasma.github.io/Logging_0360/tillsynsmail/A 73320-2021 tillsynsbegäran mail.docx", "A 73320-2021")</f>
        <v/>
      </c>
    </row>
    <row r="91" ht="15" customHeight="1">
      <c r="A91" t="inlineStr">
        <is>
          <t>A 74472-2021</t>
        </is>
      </c>
      <c r="B91" s="1" t="n">
        <v>44560</v>
      </c>
      <c r="C91" s="1" t="n">
        <v>45810</v>
      </c>
      <c r="D91" t="inlineStr">
        <is>
          <t>UPPSALA LÄN</t>
        </is>
      </c>
      <c r="E91" t="inlineStr">
        <is>
          <t>TIERP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Underviol</t>
        </is>
      </c>
      <c r="S91">
        <f>HYPERLINK("https://klasma.github.io/Logging_0360/artfynd/A 74472-2021 artfynd.xlsx", "A 74472-2021")</f>
        <v/>
      </c>
      <c r="T91">
        <f>HYPERLINK("https://klasma.github.io/Logging_0360/kartor/A 74472-2021 karta.png", "A 74472-2021")</f>
        <v/>
      </c>
      <c r="V91">
        <f>HYPERLINK("https://klasma.github.io/Logging_0360/klagomål/A 74472-2021 FSC-klagomål.docx", "A 74472-2021")</f>
        <v/>
      </c>
      <c r="W91">
        <f>HYPERLINK("https://klasma.github.io/Logging_0360/klagomålsmail/A 74472-2021 FSC-klagomål mail.docx", "A 74472-2021")</f>
        <v/>
      </c>
      <c r="X91">
        <f>HYPERLINK("https://klasma.github.io/Logging_0360/tillsyn/A 74472-2021 tillsynsbegäran.docx", "A 74472-2021")</f>
        <v/>
      </c>
      <c r="Y91">
        <f>HYPERLINK("https://klasma.github.io/Logging_0360/tillsynsmail/A 74472-2021 tillsynsbegäran mail.docx", "A 74472-2021")</f>
        <v/>
      </c>
    </row>
    <row r="92" ht="15" customHeight="1">
      <c r="A92" t="inlineStr">
        <is>
          <t>A 5454-2022</t>
        </is>
      </c>
      <c r="B92" s="1" t="n">
        <v>44595</v>
      </c>
      <c r="C92" s="1" t="n">
        <v>45810</v>
      </c>
      <c r="D92" t="inlineStr">
        <is>
          <t>UPPSALA LÄN</t>
        </is>
      </c>
      <c r="E92" t="inlineStr">
        <is>
          <t>TIERP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Anisspindling</t>
        </is>
      </c>
      <c r="S92">
        <f>HYPERLINK("https://klasma.github.io/Logging_0360/artfynd/A 5454-2022 artfynd.xlsx", "A 5454-2022")</f>
        <v/>
      </c>
      <c r="T92">
        <f>HYPERLINK("https://klasma.github.io/Logging_0360/kartor/A 5454-2022 karta.png", "A 5454-2022")</f>
        <v/>
      </c>
      <c r="U92">
        <f>HYPERLINK("https://klasma.github.io/Logging_0360/knärot/A 5454-2022 karta knärot.png", "A 5454-2022")</f>
        <v/>
      </c>
      <c r="V92">
        <f>HYPERLINK("https://klasma.github.io/Logging_0360/klagomål/A 5454-2022 FSC-klagomål.docx", "A 5454-2022")</f>
        <v/>
      </c>
      <c r="W92">
        <f>HYPERLINK("https://klasma.github.io/Logging_0360/klagomålsmail/A 5454-2022 FSC-klagomål mail.docx", "A 5454-2022")</f>
        <v/>
      </c>
      <c r="X92">
        <f>HYPERLINK("https://klasma.github.io/Logging_0360/tillsyn/A 5454-2022 tillsynsbegäran.docx", "A 5454-2022")</f>
        <v/>
      </c>
      <c r="Y92">
        <f>HYPERLINK("https://klasma.github.io/Logging_0360/tillsynsmail/A 5454-2022 tillsynsbegäran mail.docx", "A 5454-2022")</f>
        <v/>
      </c>
    </row>
    <row r="93" ht="15" customHeight="1">
      <c r="A93" t="inlineStr">
        <is>
          <t>A 7505-2022</t>
        </is>
      </c>
      <c r="B93" s="1" t="n">
        <v>44607</v>
      </c>
      <c r="C93" s="1" t="n">
        <v>45810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Grentaggsvamp</t>
        </is>
      </c>
      <c r="S93">
        <f>HYPERLINK("https://klasma.github.io/Logging_0360/artfynd/A 7505-2022 artfynd.xlsx", "A 7505-2022")</f>
        <v/>
      </c>
      <c r="T93">
        <f>HYPERLINK("https://klasma.github.io/Logging_0360/kartor/A 7505-2022 karta.png", "A 7505-2022")</f>
        <v/>
      </c>
      <c r="V93">
        <f>HYPERLINK("https://klasma.github.io/Logging_0360/klagomål/A 7505-2022 FSC-klagomål.docx", "A 7505-2022")</f>
        <v/>
      </c>
      <c r="W93">
        <f>HYPERLINK("https://klasma.github.io/Logging_0360/klagomålsmail/A 7505-2022 FSC-klagomål mail.docx", "A 7505-2022")</f>
        <v/>
      </c>
      <c r="X93">
        <f>HYPERLINK("https://klasma.github.io/Logging_0360/tillsyn/A 7505-2022 tillsynsbegäran.docx", "A 7505-2022")</f>
        <v/>
      </c>
      <c r="Y93">
        <f>HYPERLINK("https://klasma.github.io/Logging_0360/tillsynsmail/A 7505-2022 tillsynsbegäran mail.docx", "A 7505-2022")</f>
        <v/>
      </c>
    </row>
    <row r="94" ht="15" customHeight="1">
      <c r="A94" t="inlineStr">
        <is>
          <t>A 33375-2022</t>
        </is>
      </c>
      <c r="B94" s="1" t="n">
        <v>44788</v>
      </c>
      <c r="C94" s="1" t="n">
        <v>45810</v>
      </c>
      <c r="D94" t="inlineStr">
        <is>
          <t>UPPSALA LÄN</t>
        </is>
      </c>
      <c r="E94" t="inlineStr">
        <is>
          <t>TIERP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Fältgentiana</t>
        </is>
      </c>
      <c r="S94">
        <f>HYPERLINK("https://klasma.github.io/Logging_0360/artfynd/A 33375-2022 artfynd.xlsx", "A 33375-2022")</f>
        <v/>
      </c>
      <c r="T94">
        <f>HYPERLINK("https://klasma.github.io/Logging_0360/kartor/A 33375-2022 karta.png", "A 33375-2022")</f>
        <v/>
      </c>
      <c r="V94">
        <f>HYPERLINK("https://klasma.github.io/Logging_0360/klagomål/A 33375-2022 FSC-klagomål.docx", "A 33375-2022")</f>
        <v/>
      </c>
      <c r="W94">
        <f>HYPERLINK("https://klasma.github.io/Logging_0360/klagomålsmail/A 33375-2022 FSC-klagomål mail.docx", "A 33375-2022")</f>
        <v/>
      </c>
      <c r="X94">
        <f>HYPERLINK("https://klasma.github.io/Logging_0360/tillsyn/A 33375-2022 tillsynsbegäran.docx", "A 33375-2022")</f>
        <v/>
      </c>
      <c r="Y94">
        <f>HYPERLINK("https://klasma.github.io/Logging_0360/tillsynsmail/A 33375-2022 tillsynsbegäran mail.docx", "A 33375-2022")</f>
        <v/>
      </c>
    </row>
    <row r="95" ht="15" customHeight="1">
      <c r="A95" t="inlineStr">
        <is>
          <t>A 40362-2022</t>
        </is>
      </c>
      <c r="B95" s="1" t="n">
        <v>44823</v>
      </c>
      <c r="C95" s="1" t="n">
        <v>45810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18.5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HYPERLINK("https://klasma.github.io/Logging_0360/artfynd/A 40362-2022 artfynd.xlsx", "A 40362-2022")</f>
        <v/>
      </c>
      <c r="T95">
        <f>HYPERLINK("https://klasma.github.io/Logging_0360/kartor/A 40362-2022 karta.png", "A 40362-2022")</f>
        <v/>
      </c>
      <c r="V95">
        <f>HYPERLINK("https://klasma.github.io/Logging_0360/klagomål/A 40362-2022 FSC-klagomål.docx", "A 40362-2022")</f>
        <v/>
      </c>
      <c r="W95">
        <f>HYPERLINK("https://klasma.github.io/Logging_0360/klagomålsmail/A 40362-2022 FSC-klagomål mail.docx", "A 40362-2022")</f>
        <v/>
      </c>
      <c r="X95">
        <f>HYPERLINK("https://klasma.github.io/Logging_0360/tillsyn/A 40362-2022 tillsynsbegäran.docx", "A 40362-2022")</f>
        <v/>
      </c>
      <c r="Y95">
        <f>HYPERLINK("https://klasma.github.io/Logging_0360/tillsynsmail/A 40362-2022 tillsynsbegäran mail.docx", "A 40362-2022")</f>
        <v/>
      </c>
    </row>
    <row r="96" ht="15" customHeight="1">
      <c r="A96" t="inlineStr">
        <is>
          <t>A 45536-2022</t>
        </is>
      </c>
      <c r="B96" s="1" t="n">
        <v>44845</v>
      </c>
      <c r="C96" s="1" t="n">
        <v>45810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HYPERLINK("https://klasma.github.io/Logging_0360/artfynd/A 45536-2022 artfynd.xlsx", "A 45536-2022")</f>
        <v/>
      </c>
      <c r="T96">
        <f>HYPERLINK("https://klasma.github.io/Logging_0360/kartor/A 45536-2022 karta.png", "A 45536-2022")</f>
        <v/>
      </c>
      <c r="V96">
        <f>HYPERLINK("https://klasma.github.io/Logging_0360/klagomål/A 45536-2022 FSC-klagomål.docx", "A 45536-2022")</f>
        <v/>
      </c>
      <c r="W96">
        <f>HYPERLINK("https://klasma.github.io/Logging_0360/klagomålsmail/A 45536-2022 FSC-klagomål mail.docx", "A 45536-2022")</f>
        <v/>
      </c>
      <c r="X96">
        <f>HYPERLINK("https://klasma.github.io/Logging_0360/tillsyn/A 45536-2022 tillsynsbegäran.docx", "A 45536-2022")</f>
        <v/>
      </c>
      <c r="Y96">
        <f>HYPERLINK("https://klasma.github.io/Logging_0360/tillsynsmail/A 45536-2022 tillsynsbegäran mail.docx", "A 45536-2022")</f>
        <v/>
      </c>
    </row>
    <row r="97" ht="15" customHeight="1">
      <c r="A97" t="inlineStr">
        <is>
          <t>A 47227-2022</t>
        </is>
      </c>
      <c r="B97" s="1" t="n">
        <v>44852</v>
      </c>
      <c r="C97" s="1" t="n">
        <v>45810</v>
      </c>
      <c r="D97" t="inlineStr">
        <is>
          <t>UPPSALA LÄN</t>
        </is>
      </c>
      <c r="E97" t="inlineStr">
        <is>
          <t>TIERP</t>
        </is>
      </c>
      <c r="G97" t="n">
        <v>5.9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47227-2022 artfynd.xlsx", "A 47227-2022")</f>
        <v/>
      </c>
      <c r="T97">
        <f>HYPERLINK("https://klasma.github.io/Logging_0360/kartor/A 47227-2022 karta.png", "A 47227-2022")</f>
        <v/>
      </c>
      <c r="V97">
        <f>HYPERLINK("https://klasma.github.io/Logging_0360/klagomål/A 47227-2022 FSC-klagomål.docx", "A 47227-2022")</f>
        <v/>
      </c>
      <c r="W97">
        <f>HYPERLINK("https://klasma.github.io/Logging_0360/klagomålsmail/A 47227-2022 FSC-klagomål mail.docx", "A 47227-2022")</f>
        <v/>
      </c>
      <c r="X97">
        <f>HYPERLINK("https://klasma.github.io/Logging_0360/tillsyn/A 47227-2022 tillsynsbegäran.docx", "A 47227-2022")</f>
        <v/>
      </c>
      <c r="Y97">
        <f>HYPERLINK("https://klasma.github.io/Logging_0360/tillsynsmail/A 47227-2022 tillsynsbegäran mail.docx", "A 47227-2022")</f>
        <v/>
      </c>
    </row>
    <row r="98" ht="15" customHeight="1">
      <c r="A98" t="inlineStr">
        <is>
          <t>A 56968-2022</t>
        </is>
      </c>
      <c r="B98" s="1" t="n">
        <v>44894</v>
      </c>
      <c r="C98" s="1" t="n">
        <v>45810</v>
      </c>
      <c r="D98" t="inlineStr">
        <is>
          <t>UPPSALA LÄN</t>
        </is>
      </c>
      <c r="E98" t="inlineStr">
        <is>
          <t>TIERP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Olivspindling</t>
        </is>
      </c>
      <c r="S98">
        <f>HYPERLINK("https://klasma.github.io/Logging_0360/artfynd/A 56968-2022 artfynd.xlsx", "A 56968-2022")</f>
        <v/>
      </c>
      <c r="T98">
        <f>HYPERLINK("https://klasma.github.io/Logging_0360/kartor/A 56968-2022 karta.png", "A 56968-2022")</f>
        <v/>
      </c>
      <c r="V98">
        <f>HYPERLINK("https://klasma.github.io/Logging_0360/klagomål/A 56968-2022 FSC-klagomål.docx", "A 56968-2022")</f>
        <v/>
      </c>
      <c r="W98">
        <f>HYPERLINK("https://klasma.github.io/Logging_0360/klagomålsmail/A 56968-2022 FSC-klagomål mail.docx", "A 56968-2022")</f>
        <v/>
      </c>
      <c r="X98">
        <f>HYPERLINK("https://klasma.github.io/Logging_0360/tillsyn/A 56968-2022 tillsynsbegäran.docx", "A 56968-2022")</f>
        <v/>
      </c>
      <c r="Y98">
        <f>HYPERLINK("https://klasma.github.io/Logging_0360/tillsynsmail/A 56968-2022 tillsynsbegäran mail.docx", "A 56968-2022")</f>
        <v/>
      </c>
    </row>
    <row r="99" ht="15" customHeight="1">
      <c r="A99" t="inlineStr">
        <is>
          <t>A 60555-2022</t>
        </is>
      </c>
      <c r="B99" s="1" t="n">
        <v>44911</v>
      </c>
      <c r="C99" s="1" t="n">
        <v>45810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60555-2022 artfynd.xlsx", "A 60555-2022")</f>
        <v/>
      </c>
      <c r="T99">
        <f>HYPERLINK("https://klasma.github.io/Logging_0360/kartor/A 60555-2022 karta.png", "A 60555-2022")</f>
        <v/>
      </c>
      <c r="V99">
        <f>HYPERLINK("https://klasma.github.io/Logging_0360/klagomål/A 60555-2022 FSC-klagomål.docx", "A 60555-2022")</f>
        <v/>
      </c>
      <c r="W99">
        <f>HYPERLINK("https://klasma.github.io/Logging_0360/klagomålsmail/A 60555-2022 FSC-klagomål mail.docx", "A 60555-2022")</f>
        <v/>
      </c>
      <c r="X99">
        <f>HYPERLINK("https://klasma.github.io/Logging_0360/tillsyn/A 60555-2022 tillsynsbegäran.docx", "A 60555-2022")</f>
        <v/>
      </c>
      <c r="Y99">
        <f>HYPERLINK("https://klasma.github.io/Logging_0360/tillsynsmail/A 60555-2022 tillsynsbegäran mail.docx", "A 60555-2022")</f>
        <v/>
      </c>
    </row>
    <row r="100" ht="15" customHeight="1">
      <c r="A100" t="inlineStr">
        <is>
          <t>A 4544-2023</t>
        </is>
      </c>
      <c r="B100" s="1" t="n">
        <v>44956</v>
      </c>
      <c r="C100" s="1" t="n">
        <v>45810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4544-2023 artfynd.xlsx", "A 4544-2023")</f>
        <v/>
      </c>
      <c r="T100">
        <f>HYPERLINK("https://klasma.github.io/Logging_0360/kartor/A 4544-2023 karta.png", "A 4544-2023")</f>
        <v/>
      </c>
      <c r="V100">
        <f>HYPERLINK("https://klasma.github.io/Logging_0360/klagomål/A 4544-2023 FSC-klagomål.docx", "A 4544-2023")</f>
        <v/>
      </c>
      <c r="W100">
        <f>HYPERLINK("https://klasma.github.io/Logging_0360/klagomålsmail/A 4544-2023 FSC-klagomål mail.docx", "A 4544-2023")</f>
        <v/>
      </c>
      <c r="X100">
        <f>HYPERLINK("https://klasma.github.io/Logging_0360/tillsyn/A 4544-2023 tillsynsbegäran.docx", "A 4544-2023")</f>
        <v/>
      </c>
      <c r="Y100">
        <f>HYPERLINK("https://klasma.github.io/Logging_0360/tillsynsmail/A 4544-2023 tillsynsbegäran mail.docx", "A 4544-2023")</f>
        <v/>
      </c>
    </row>
    <row r="101" ht="15" customHeight="1">
      <c r="A101" t="inlineStr">
        <is>
          <t>A 5472-2023</t>
        </is>
      </c>
      <c r="B101" s="1" t="n">
        <v>44960</v>
      </c>
      <c r="C101" s="1" t="n">
        <v>45810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5472-2023 artfynd.xlsx", "A 5472-2023")</f>
        <v/>
      </c>
      <c r="T101">
        <f>HYPERLINK("https://klasma.github.io/Logging_0360/kartor/A 5472-2023 karta.png", "A 5472-2023")</f>
        <v/>
      </c>
      <c r="V101">
        <f>HYPERLINK("https://klasma.github.io/Logging_0360/klagomål/A 5472-2023 FSC-klagomål.docx", "A 5472-2023")</f>
        <v/>
      </c>
      <c r="W101">
        <f>HYPERLINK("https://klasma.github.io/Logging_0360/klagomålsmail/A 5472-2023 FSC-klagomål mail.docx", "A 5472-2023")</f>
        <v/>
      </c>
      <c r="X101">
        <f>HYPERLINK("https://klasma.github.io/Logging_0360/tillsyn/A 5472-2023 tillsynsbegäran.docx", "A 5472-2023")</f>
        <v/>
      </c>
      <c r="Y101">
        <f>HYPERLINK("https://klasma.github.io/Logging_0360/tillsynsmail/A 5472-2023 tillsynsbegäran mail.docx", "A 5472-2023")</f>
        <v/>
      </c>
    </row>
    <row r="102" ht="15" customHeight="1">
      <c r="A102" t="inlineStr">
        <is>
          <t>A 13433-2023</t>
        </is>
      </c>
      <c r="B102" s="1" t="n">
        <v>45005</v>
      </c>
      <c r="C102" s="1" t="n">
        <v>45810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2.6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13433-2023 artfynd.xlsx", "A 13433-2023")</f>
        <v/>
      </c>
      <c r="T102">
        <f>HYPERLINK("https://klasma.github.io/Logging_0360/kartor/A 13433-2023 karta.png", "A 13433-2023")</f>
        <v/>
      </c>
      <c r="V102">
        <f>HYPERLINK("https://klasma.github.io/Logging_0360/klagomål/A 13433-2023 FSC-klagomål.docx", "A 13433-2023")</f>
        <v/>
      </c>
      <c r="W102">
        <f>HYPERLINK("https://klasma.github.io/Logging_0360/klagomålsmail/A 13433-2023 FSC-klagomål mail.docx", "A 13433-2023")</f>
        <v/>
      </c>
      <c r="X102">
        <f>HYPERLINK("https://klasma.github.io/Logging_0360/tillsyn/A 13433-2023 tillsynsbegäran.docx", "A 13433-2023")</f>
        <v/>
      </c>
      <c r="Y102">
        <f>HYPERLINK("https://klasma.github.io/Logging_0360/tillsynsmail/A 13433-2023 tillsynsbegäran mail.docx", "A 13433-2023")</f>
        <v/>
      </c>
    </row>
    <row r="103" ht="15" customHeight="1">
      <c r="A103" t="inlineStr">
        <is>
          <t>A 38151-2023</t>
        </is>
      </c>
      <c r="B103" s="1" t="n">
        <v>45160</v>
      </c>
      <c r="C103" s="1" t="n">
        <v>45810</v>
      </c>
      <c r="D103" t="inlineStr">
        <is>
          <t>UPPSALA LÄN</t>
        </is>
      </c>
      <c r="E103" t="inlineStr">
        <is>
          <t>TIERP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Tornseglare</t>
        </is>
      </c>
      <c r="S103">
        <f>HYPERLINK("https://klasma.github.io/Logging_0360/artfynd/A 38151-2023 artfynd.xlsx", "A 38151-2023")</f>
        <v/>
      </c>
      <c r="T103">
        <f>HYPERLINK("https://klasma.github.io/Logging_0360/kartor/A 38151-2023 karta.png", "A 38151-2023")</f>
        <v/>
      </c>
      <c r="V103">
        <f>HYPERLINK("https://klasma.github.io/Logging_0360/klagomål/A 38151-2023 FSC-klagomål.docx", "A 38151-2023")</f>
        <v/>
      </c>
      <c r="W103">
        <f>HYPERLINK("https://klasma.github.io/Logging_0360/klagomålsmail/A 38151-2023 FSC-klagomål mail.docx", "A 38151-2023")</f>
        <v/>
      </c>
      <c r="X103">
        <f>HYPERLINK("https://klasma.github.io/Logging_0360/tillsyn/A 38151-2023 tillsynsbegäran.docx", "A 38151-2023")</f>
        <v/>
      </c>
      <c r="Y103">
        <f>HYPERLINK("https://klasma.github.io/Logging_0360/tillsynsmail/A 38151-2023 tillsynsbegäran mail.docx", "A 38151-2023")</f>
        <v/>
      </c>
      <c r="Z103">
        <f>HYPERLINK("https://klasma.github.io/Logging_0360/fåglar/A 38151-2023 prioriterade fågelarter.docx", "A 38151-2023")</f>
        <v/>
      </c>
    </row>
    <row r="104" ht="15" customHeight="1">
      <c r="A104" t="inlineStr">
        <is>
          <t>A 38105-2023</t>
        </is>
      </c>
      <c r="B104" s="1" t="n">
        <v>45161</v>
      </c>
      <c r="C104" s="1" t="n">
        <v>45810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15.1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HYPERLINK("https://klasma.github.io/Logging_0360/artfynd/A 38105-2023 artfynd.xlsx", "A 38105-2023")</f>
        <v/>
      </c>
      <c r="T104">
        <f>HYPERLINK("https://klasma.github.io/Logging_0360/kartor/A 38105-2023 karta.png", "A 38105-2023")</f>
        <v/>
      </c>
      <c r="V104">
        <f>HYPERLINK("https://klasma.github.io/Logging_0360/klagomål/A 38105-2023 FSC-klagomål.docx", "A 38105-2023")</f>
        <v/>
      </c>
      <c r="W104">
        <f>HYPERLINK("https://klasma.github.io/Logging_0360/klagomålsmail/A 38105-2023 FSC-klagomål mail.docx", "A 38105-2023")</f>
        <v/>
      </c>
      <c r="X104">
        <f>HYPERLINK("https://klasma.github.io/Logging_0360/tillsyn/A 38105-2023 tillsynsbegäran.docx", "A 38105-2023")</f>
        <v/>
      </c>
      <c r="Y104">
        <f>HYPERLINK("https://klasma.github.io/Logging_0360/tillsynsmail/A 38105-2023 tillsynsbegäran mail.docx", "A 38105-2023")</f>
        <v/>
      </c>
      <c r="Z104">
        <f>HYPERLINK("https://klasma.github.io/Logging_0360/fåglar/A 38105-2023 prioriterade fågelarter.docx", "A 38105-2023")</f>
        <v/>
      </c>
    </row>
    <row r="105" ht="15" customHeight="1">
      <c r="A105" t="inlineStr">
        <is>
          <t>A 38821-2023</t>
        </is>
      </c>
      <c r="B105" s="1" t="n">
        <v>45163</v>
      </c>
      <c r="C105" s="1" t="n">
        <v>45810</v>
      </c>
      <c r="D105" t="inlineStr">
        <is>
          <t>UPPSALA LÄN</t>
        </is>
      </c>
      <c r="E105" t="inlineStr">
        <is>
          <t>TIERP</t>
        </is>
      </c>
      <c r="G105" t="n">
        <v>20.3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HYPERLINK("https://klasma.github.io/Logging_0360/artfynd/A 38821-2023 artfynd.xlsx", "A 38821-2023")</f>
        <v/>
      </c>
      <c r="T105">
        <f>HYPERLINK("https://klasma.github.io/Logging_0360/kartor/A 38821-2023 karta.png", "A 38821-2023")</f>
        <v/>
      </c>
      <c r="V105">
        <f>HYPERLINK("https://klasma.github.io/Logging_0360/klagomål/A 38821-2023 FSC-klagomål.docx", "A 38821-2023")</f>
        <v/>
      </c>
      <c r="W105">
        <f>HYPERLINK("https://klasma.github.io/Logging_0360/klagomålsmail/A 38821-2023 FSC-klagomål mail.docx", "A 38821-2023")</f>
        <v/>
      </c>
      <c r="X105">
        <f>HYPERLINK("https://klasma.github.io/Logging_0360/tillsyn/A 38821-2023 tillsynsbegäran.docx", "A 38821-2023")</f>
        <v/>
      </c>
      <c r="Y105">
        <f>HYPERLINK("https://klasma.github.io/Logging_0360/tillsynsmail/A 38821-2023 tillsynsbegäran mail.docx", "A 38821-2023")</f>
        <v/>
      </c>
    </row>
    <row r="106" ht="15" customHeight="1">
      <c r="A106" t="inlineStr">
        <is>
          <t>A 40878-2023</t>
        </is>
      </c>
      <c r="B106" s="1" t="n">
        <v>45173</v>
      </c>
      <c r="C106" s="1" t="n">
        <v>45810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4.7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 sköldmossa</t>
        </is>
      </c>
      <c r="S106">
        <f>HYPERLINK("https://klasma.github.io/Logging_0360/artfynd/A 40878-2023 artfynd.xlsx", "A 40878-2023")</f>
        <v/>
      </c>
      <c r="T106">
        <f>HYPERLINK("https://klasma.github.io/Logging_0360/kartor/A 40878-2023 karta.png", "A 40878-2023")</f>
        <v/>
      </c>
      <c r="V106">
        <f>HYPERLINK("https://klasma.github.io/Logging_0360/klagomål/A 40878-2023 FSC-klagomål.docx", "A 40878-2023")</f>
        <v/>
      </c>
      <c r="W106">
        <f>HYPERLINK("https://klasma.github.io/Logging_0360/klagomålsmail/A 40878-2023 FSC-klagomål mail.docx", "A 40878-2023")</f>
        <v/>
      </c>
      <c r="X106">
        <f>HYPERLINK("https://klasma.github.io/Logging_0360/tillsyn/A 40878-2023 tillsynsbegäran.docx", "A 40878-2023")</f>
        <v/>
      </c>
      <c r="Y106">
        <f>HYPERLINK("https://klasma.github.io/Logging_0360/tillsynsmail/A 40878-2023 tillsynsbegäran mail.docx", "A 40878-2023")</f>
        <v/>
      </c>
    </row>
    <row r="107" ht="15" customHeight="1">
      <c r="A107" t="inlineStr">
        <is>
          <t>A 40940-2023</t>
        </is>
      </c>
      <c r="B107" s="1" t="n">
        <v>45173</v>
      </c>
      <c r="C107" s="1" t="n">
        <v>45810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1.3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40940-2023 artfynd.xlsx", "A 40940-2023")</f>
        <v/>
      </c>
      <c r="T107">
        <f>HYPERLINK("https://klasma.github.io/Logging_0360/kartor/A 40940-2023 karta.png", "A 40940-2023")</f>
        <v/>
      </c>
      <c r="V107">
        <f>HYPERLINK("https://klasma.github.io/Logging_0360/klagomål/A 40940-2023 FSC-klagomål.docx", "A 40940-2023")</f>
        <v/>
      </c>
      <c r="W107">
        <f>HYPERLINK("https://klasma.github.io/Logging_0360/klagomålsmail/A 40940-2023 FSC-klagomål mail.docx", "A 40940-2023")</f>
        <v/>
      </c>
      <c r="X107">
        <f>HYPERLINK("https://klasma.github.io/Logging_0360/tillsyn/A 40940-2023 tillsynsbegäran.docx", "A 40940-2023")</f>
        <v/>
      </c>
      <c r="Y107">
        <f>HYPERLINK("https://klasma.github.io/Logging_0360/tillsynsmail/A 40940-2023 tillsynsbegäran mail.docx", "A 40940-2023")</f>
        <v/>
      </c>
    </row>
    <row r="108" ht="15" customHeight="1">
      <c r="A108" t="inlineStr">
        <is>
          <t>A 43162-2023</t>
        </is>
      </c>
      <c r="B108" s="1" t="n">
        <v>45183</v>
      </c>
      <c r="C108" s="1" t="n">
        <v>45810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15.7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HYPERLINK("https://klasma.github.io/Logging_0360/artfynd/A 43162-2023 artfynd.xlsx", "A 43162-2023")</f>
        <v/>
      </c>
      <c r="T108">
        <f>HYPERLINK("https://klasma.github.io/Logging_0360/kartor/A 43162-2023 karta.png", "A 43162-2023")</f>
        <v/>
      </c>
      <c r="V108">
        <f>HYPERLINK("https://klasma.github.io/Logging_0360/klagomål/A 43162-2023 FSC-klagomål.docx", "A 43162-2023")</f>
        <v/>
      </c>
      <c r="W108">
        <f>HYPERLINK("https://klasma.github.io/Logging_0360/klagomålsmail/A 43162-2023 FSC-klagomål mail.docx", "A 43162-2023")</f>
        <v/>
      </c>
      <c r="X108">
        <f>HYPERLINK("https://klasma.github.io/Logging_0360/tillsyn/A 43162-2023 tillsynsbegäran.docx", "A 43162-2023")</f>
        <v/>
      </c>
      <c r="Y108">
        <f>HYPERLINK("https://klasma.github.io/Logging_0360/tillsynsmail/A 43162-2023 tillsynsbegäran mail.docx", "A 43162-2023")</f>
        <v/>
      </c>
      <c r="Z108">
        <f>HYPERLINK("https://klasma.github.io/Logging_0360/fåglar/A 43162-2023 prioriterade fågelarter.docx", "A 43162-2023")</f>
        <v/>
      </c>
    </row>
    <row r="109" ht="15" customHeight="1">
      <c r="A109" t="inlineStr">
        <is>
          <t>A 48687-2023</t>
        </is>
      </c>
      <c r="B109" s="1" t="n">
        <v>45208</v>
      </c>
      <c r="C109" s="1" t="n">
        <v>45810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2.6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48687-2023 artfynd.xlsx", "A 48687-2023")</f>
        <v/>
      </c>
      <c r="T109">
        <f>HYPERLINK("https://klasma.github.io/Logging_0360/kartor/A 48687-2023 karta.png", "A 48687-2023")</f>
        <v/>
      </c>
      <c r="V109">
        <f>HYPERLINK("https://klasma.github.io/Logging_0360/klagomål/A 48687-2023 FSC-klagomål.docx", "A 48687-2023")</f>
        <v/>
      </c>
      <c r="W109">
        <f>HYPERLINK("https://klasma.github.io/Logging_0360/klagomålsmail/A 48687-2023 FSC-klagomål mail.docx", "A 48687-2023")</f>
        <v/>
      </c>
      <c r="X109">
        <f>HYPERLINK("https://klasma.github.io/Logging_0360/tillsyn/A 48687-2023 tillsynsbegäran.docx", "A 48687-2023")</f>
        <v/>
      </c>
      <c r="Y109">
        <f>HYPERLINK("https://klasma.github.io/Logging_0360/tillsynsmail/A 48687-2023 tillsynsbegäran mail.docx", "A 48687-2023")</f>
        <v/>
      </c>
      <c r="Z109">
        <f>HYPERLINK("https://klasma.github.io/Logging_0360/fåglar/A 48687-2023 prioriterade fågelarter.docx", "A 48687-2023")</f>
        <v/>
      </c>
    </row>
    <row r="110" ht="15" customHeight="1">
      <c r="A110" t="inlineStr">
        <is>
          <t>A 49794-2023</t>
        </is>
      </c>
      <c r="B110" s="1" t="n">
        <v>45212</v>
      </c>
      <c r="C110" s="1" t="n">
        <v>45810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HYPERLINK("https://klasma.github.io/Logging_0360/artfynd/A 49794-2023 artfynd.xlsx", "A 49794-2023")</f>
        <v/>
      </c>
      <c r="T110">
        <f>HYPERLINK("https://klasma.github.io/Logging_0360/kartor/A 49794-2023 karta.png", "A 49794-2023")</f>
        <v/>
      </c>
      <c r="V110">
        <f>HYPERLINK("https://klasma.github.io/Logging_0360/klagomål/A 49794-2023 FSC-klagomål.docx", "A 49794-2023")</f>
        <v/>
      </c>
      <c r="W110">
        <f>HYPERLINK("https://klasma.github.io/Logging_0360/klagomålsmail/A 49794-2023 FSC-klagomål mail.docx", "A 49794-2023")</f>
        <v/>
      </c>
      <c r="X110">
        <f>HYPERLINK("https://klasma.github.io/Logging_0360/tillsyn/A 49794-2023 tillsynsbegäran.docx", "A 49794-2023")</f>
        <v/>
      </c>
      <c r="Y110">
        <f>HYPERLINK("https://klasma.github.io/Logging_0360/tillsynsmail/A 49794-2023 tillsynsbegäran mail.docx", "A 49794-2023")</f>
        <v/>
      </c>
    </row>
    <row r="111" ht="15" customHeight="1">
      <c r="A111" t="inlineStr">
        <is>
          <t>A 57638-2023</t>
        </is>
      </c>
      <c r="B111" s="1" t="n">
        <v>45246</v>
      </c>
      <c r="C111" s="1" t="n">
        <v>45810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Skogsklocka</t>
        </is>
      </c>
      <c r="S111">
        <f>HYPERLINK("https://klasma.github.io/Logging_0360/artfynd/A 57638-2023 artfynd.xlsx", "A 57638-2023")</f>
        <v/>
      </c>
      <c r="T111">
        <f>HYPERLINK("https://klasma.github.io/Logging_0360/kartor/A 57638-2023 karta.png", "A 57638-2023")</f>
        <v/>
      </c>
      <c r="V111">
        <f>HYPERLINK("https://klasma.github.io/Logging_0360/klagomål/A 57638-2023 FSC-klagomål.docx", "A 57638-2023")</f>
        <v/>
      </c>
      <c r="W111">
        <f>HYPERLINK("https://klasma.github.io/Logging_0360/klagomålsmail/A 57638-2023 FSC-klagomål mail.docx", "A 57638-2023")</f>
        <v/>
      </c>
      <c r="X111">
        <f>HYPERLINK("https://klasma.github.io/Logging_0360/tillsyn/A 57638-2023 tillsynsbegäran.docx", "A 57638-2023")</f>
        <v/>
      </c>
      <c r="Y111">
        <f>HYPERLINK("https://klasma.github.io/Logging_0360/tillsynsmail/A 57638-2023 tillsynsbegäran mail.docx", "A 57638-2023")</f>
        <v/>
      </c>
    </row>
    <row r="112" ht="15" customHeight="1">
      <c r="A112" t="inlineStr">
        <is>
          <t>A 59454-2023</t>
        </is>
      </c>
      <c r="B112" s="1" t="n">
        <v>45253</v>
      </c>
      <c r="C112" s="1" t="n">
        <v>45810</v>
      </c>
      <c r="D112" t="inlineStr">
        <is>
          <t>UPPSALA LÄN</t>
        </is>
      </c>
      <c r="E112" t="inlineStr">
        <is>
          <t>TIERP</t>
        </is>
      </c>
      <c r="G112" t="n">
        <v>8.800000000000001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Jättesvampmal</t>
        </is>
      </c>
      <c r="S112">
        <f>HYPERLINK("https://klasma.github.io/Logging_0360/artfynd/A 59454-2023 artfynd.xlsx", "A 59454-2023")</f>
        <v/>
      </c>
      <c r="T112">
        <f>HYPERLINK("https://klasma.github.io/Logging_0360/kartor/A 59454-2023 karta.png", "A 59454-2023")</f>
        <v/>
      </c>
      <c r="V112">
        <f>HYPERLINK("https://klasma.github.io/Logging_0360/klagomål/A 59454-2023 FSC-klagomål.docx", "A 59454-2023")</f>
        <v/>
      </c>
      <c r="W112">
        <f>HYPERLINK("https://klasma.github.io/Logging_0360/klagomålsmail/A 59454-2023 FSC-klagomål mail.docx", "A 59454-2023")</f>
        <v/>
      </c>
      <c r="X112">
        <f>HYPERLINK("https://klasma.github.io/Logging_0360/tillsyn/A 59454-2023 tillsynsbegäran.docx", "A 59454-2023")</f>
        <v/>
      </c>
      <c r="Y112">
        <f>HYPERLINK("https://klasma.github.io/Logging_0360/tillsynsmail/A 59454-2023 tillsynsbegäran mail.docx", "A 59454-2023")</f>
        <v/>
      </c>
    </row>
    <row r="113" ht="15" customHeight="1">
      <c r="A113" t="inlineStr">
        <is>
          <t>A 2298-2024</t>
        </is>
      </c>
      <c r="B113" s="1" t="n">
        <v>45310</v>
      </c>
      <c r="C113" s="1" t="n">
        <v>45810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Fyrflikig jordstjärna</t>
        </is>
      </c>
      <c r="S113">
        <f>HYPERLINK("https://klasma.github.io/Logging_0360/artfynd/A 2298-2024 artfynd.xlsx", "A 2298-2024")</f>
        <v/>
      </c>
      <c r="T113">
        <f>HYPERLINK("https://klasma.github.io/Logging_0360/kartor/A 2298-2024 karta.png", "A 2298-2024")</f>
        <v/>
      </c>
      <c r="V113">
        <f>HYPERLINK("https://klasma.github.io/Logging_0360/klagomål/A 2298-2024 FSC-klagomål.docx", "A 2298-2024")</f>
        <v/>
      </c>
      <c r="W113">
        <f>HYPERLINK("https://klasma.github.io/Logging_0360/klagomålsmail/A 2298-2024 FSC-klagomål mail.docx", "A 2298-2024")</f>
        <v/>
      </c>
      <c r="X113">
        <f>HYPERLINK("https://klasma.github.io/Logging_0360/tillsyn/A 2298-2024 tillsynsbegäran.docx", "A 2298-2024")</f>
        <v/>
      </c>
      <c r="Y113">
        <f>HYPERLINK("https://klasma.github.io/Logging_0360/tillsynsmail/A 2298-2024 tillsynsbegäran mail.docx", "A 2298-2024")</f>
        <v/>
      </c>
    </row>
    <row r="114" ht="15" customHeight="1">
      <c r="A114" t="inlineStr">
        <is>
          <t>A 2332-2024</t>
        </is>
      </c>
      <c r="B114" s="1" t="n">
        <v>45310</v>
      </c>
      <c r="C114" s="1" t="n">
        <v>45810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HYPERLINK("https://klasma.github.io/Logging_0360/artfynd/A 2332-2024 artfynd.xlsx", "A 2332-2024")</f>
        <v/>
      </c>
      <c r="T114">
        <f>HYPERLINK("https://klasma.github.io/Logging_0360/kartor/A 2332-2024 karta.png", "A 2332-2024")</f>
        <v/>
      </c>
      <c r="V114">
        <f>HYPERLINK("https://klasma.github.io/Logging_0360/klagomål/A 2332-2024 FSC-klagomål.docx", "A 2332-2024")</f>
        <v/>
      </c>
      <c r="W114">
        <f>HYPERLINK("https://klasma.github.io/Logging_0360/klagomålsmail/A 2332-2024 FSC-klagomål mail.docx", "A 2332-2024")</f>
        <v/>
      </c>
      <c r="X114">
        <f>HYPERLINK("https://klasma.github.io/Logging_0360/tillsyn/A 2332-2024 tillsynsbegäran.docx", "A 2332-2024")</f>
        <v/>
      </c>
      <c r="Y114">
        <f>HYPERLINK("https://klasma.github.io/Logging_0360/tillsynsmail/A 2332-2024 tillsynsbegäran mail.docx", "A 2332-2024")</f>
        <v/>
      </c>
      <c r="Z114">
        <f>HYPERLINK("https://klasma.github.io/Logging_0360/fåglar/A 2332-2024 prioriterade fågelarter.docx", "A 2332-2024")</f>
        <v/>
      </c>
    </row>
    <row r="115" ht="15" customHeight="1">
      <c r="A115" t="inlineStr">
        <is>
          <t>A 5700-2024</t>
        </is>
      </c>
      <c r="B115" s="1" t="n">
        <v>45335</v>
      </c>
      <c r="C115" s="1" t="n">
        <v>45810</v>
      </c>
      <c r="D115" t="inlineStr">
        <is>
          <t>UPPSALA LÄN</t>
        </is>
      </c>
      <c r="E115" t="inlineStr">
        <is>
          <t>TIERP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HYPERLINK("https://klasma.github.io/Logging_0360/artfynd/A 5700-2024 artfynd.xlsx", "A 5700-2024")</f>
        <v/>
      </c>
      <c r="T115">
        <f>HYPERLINK("https://klasma.github.io/Logging_0360/kartor/A 5700-2024 karta.png", "A 5700-2024")</f>
        <v/>
      </c>
      <c r="V115">
        <f>HYPERLINK("https://klasma.github.io/Logging_0360/klagomål/A 5700-2024 FSC-klagomål.docx", "A 5700-2024")</f>
        <v/>
      </c>
      <c r="W115">
        <f>HYPERLINK("https://klasma.github.io/Logging_0360/klagomålsmail/A 5700-2024 FSC-klagomål mail.docx", "A 5700-2024")</f>
        <v/>
      </c>
      <c r="X115">
        <f>HYPERLINK("https://klasma.github.io/Logging_0360/tillsyn/A 5700-2024 tillsynsbegäran.docx", "A 5700-2024")</f>
        <v/>
      </c>
      <c r="Y115">
        <f>HYPERLINK("https://klasma.github.io/Logging_0360/tillsynsmail/A 5700-2024 tillsynsbegäran mail.docx", "A 5700-2024")</f>
        <v/>
      </c>
    </row>
    <row r="116" ht="15" customHeight="1">
      <c r="A116" t="inlineStr">
        <is>
          <t>A 24221-2024</t>
        </is>
      </c>
      <c r="B116" s="1" t="n">
        <v>45457</v>
      </c>
      <c r="C116" s="1" t="n">
        <v>45810</v>
      </c>
      <c r="D116" t="inlineStr">
        <is>
          <t>UPPSALA LÄN</t>
        </is>
      </c>
      <c r="E116" t="inlineStr">
        <is>
          <t>TIERP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Skogsknipprot</t>
        </is>
      </c>
      <c r="S116">
        <f>HYPERLINK("https://klasma.github.io/Logging_0360/artfynd/A 24221-2024 artfynd.xlsx", "A 24221-2024")</f>
        <v/>
      </c>
      <c r="T116">
        <f>HYPERLINK("https://klasma.github.io/Logging_0360/kartor/A 24221-2024 karta.png", "A 24221-2024")</f>
        <v/>
      </c>
      <c r="V116">
        <f>HYPERLINK("https://klasma.github.io/Logging_0360/klagomål/A 24221-2024 FSC-klagomål.docx", "A 24221-2024")</f>
        <v/>
      </c>
      <c r="W116">
        <f>HYPERLINK("https://klasma.github.io/Logging_0360/klagomålsmail/A 24221-2024 FSC-klagomål mail.docx", "A 24221-2024")</f>
        <v/>
      </c>
      <c r="X116">
        <f>HYPERLINK("https://klasma.github.io/Logging_0360/tillsyn/A 24221-2024 tillsynsbegäran.docx", "A 24221-2024")</f>
        <v/>
      </c>
      <c r="Y116">
        <f>HYPERLINK("https://klasma.github.io/Logging_0360/tillsynsmail/A 24221-2024 tillsynsbegäran mail.docx", "A 24221-2024")</f>
        <v/>
      </c>
    </row>
    <row r="117" ht="15" customHeight="1">
      <c r="A117" t="inlineStr">
        <is>
          <t>A 30122-2024</t>
        </is>
      </c>
      <c r="B117" s="1" t="n">
        <v>45489</v>
      </c>
      <c r="C117" s="1" t="n">
        <v>45810</v>
      </c>
      <c r="D117" t="inlineStr">
        <is>
          <t>UPPSALA LÄN</t>
        </is>
      </c>
      <c r="E117" t="inlineStr">
        <is>
          <t>TIERP</t>
        </is>
      </c>
      <c r="G117" t="n">
        <v>3.4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Nästrot</t>
        </is>
      </c>
      <c r="S117">
        <f>HYPERLINK("https://klasma.github.io/Logging_0360/artfynd/A 30122-2024 artfynd.xlsx", "A 30122-2024")</f>
        <v/>
      </c>
      <c r="T117">
        <f>HYPERLINK("https://klasma.github.io/Logging_0360/kartor/A 30122-2024 karta.png", "A 30122-2024")</f>
        <v/>
      </c>
      <c r="V117">
        <f>HYPERLINK("https://klasma.github.io/Logging_0360/klagomål/A 30122-2024 FSC-klagomål.docx", "A 30122-2024")</f>
        <v/>
      </c>
      <c r="W117">
        <f>HYPERLINK("https://klasma.github.io/Logging_0360/klagomålsmail/A 30122-2024 FSC-klagomål mail.docx", "A 30122-2024")</f>
        <v/>
      </c>
      <c r="X117">
        <f>HYPERLINK("https://klasma.github.io/Logging_0360/tillsyn/A 30122-2024 tillsynsbegäran.docx", "A 30122-2024")</f>
        <v/>
      </c>
      <c r="Y117">
        <f>HYPERLINK("https://klasma.github.io/Logging_0360/tillsynsmail/A 30122-2024 tillsynsbegäran mail.docx", "A 30122-2024")</f>
        <v/>
      </c>
    </row>
    <row r="118" ht="15" customHeight="1">
      <c r="A118" t="inlineStr">
        <is>
          <t>A 30510-2024</t>
        </is>
      </c>
      <c r="B118" s="1" t="n">
        <v>45492</v>
      </c>
      <c r="C118" s="1" t="n">
        <v>45810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Gulsparv</t>
        </is>
      </c>
      <c r="S118">
        <f>HYPERLINK("https://klasma.github.io/Logging_0360/artfynd/A 30510-2024 artfynd.xlsx", "A 30510-2024")</f>
        <v/>
      </c>
      <c r="T118">
        <f>HYPERLINK("https://klasma.github.io/Logging_0360/kartor/A 30510-2024 karta.png", "A 30510-2024")</f>
        <v/>
      </c>
      <c r="V118">
        <f>HYPERLINK("https://klasma.github.io/Logging_0360/klagomål/A 30510-2024 FSC-klagomål.docx", "A 30510-2024")</f>
        <v/>
      </c>
      <c r="W118">
        <f>HYPERLINK("https://klasma.github.io/Logging_0360/klagomålsmail/A 30510-2024 FSC-klagomål mail.docx", "A 30510-2024")</f>
        <v/>
      </c>
      <c r="X118">
        <f>HYPERLINK("https://klasma.github.io/Logging_0360/tillsyn/A 30510-2024 tillsynsbegäran.docx", "A 30510-2024")</f>
        <v/>
      </c>
      <c r="Y118">
        <f>HYPERLINK("https://klasma.github.io/Logging_0360/tillsynsmail/A 30510-2024 tillsynsbegäran mail.docx", "A 30510-2024")</f>
        <v/>
      </c>
      <c r="Z118">
        <f>HYPERLINK("https://klasma.github.io/Logging_0360/fåglar/A 30510-2024 prioriterade fågelarter.docx", "A 30510-2024")</f>
        <v/>
      </c>
    </row>
    <row r="119" ht="15" customHeight="1">
      <c r="A119" t="inlineStr">
        <is>
          <t>A 34464-2024</t>
        </is>
      </c>
      <c r="B119" s="1" t="n">
        <v>45525</v>
      </c>
      <c r="C119" s="1" t="n">
        <v>45810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Svart trolldruva</t>
        </is>
      </c>
      <c r="S119">
        <f>HYPERLINK("https://klasma.github.io/Logging_0360/artfynd/A 34464-2024 artfynd.xlsx", "A 34464-2024")</f>
        <v/>
      </c>
      <c r="T119">
        <f>HYPERLINK("https://klasma.github.io/Logging_0360/kartor/A 34464-2024 karta.png", "A 34464-2024")</f>
        <v/>
      </c>
      <c r="V119">
        <f>HYPERLINK("https://klasma.github.io/Logging_0360/klagomål/A 34464-2024 FSC-klagomål.docx", "A 34464-2024")</f>
        <v/>
      </c>
      <c r="W119">
        <f>HYPERLINK("https://klasma.github.io/Logging_0360/klagomålsmail/A 34464-2024 FSC-klagomål mail.docx", "A 34464-2024")</f>
        <v/>
      </c>
      <c r="X119">
        <f>HYPERLINK("https://klasma.github.io/Logging_0360/tillsyn/A 34464-2024 tillsynsbegäran.docx", "A 34464-2024")</f>
        <v/>
      </c>
      <c r="Y119">
        <f>HYPERLINK("https://klasma.github.io/Logging_0360/tillsynsmail/A 34464-2024 tillsynsbegäran mail.docx", "A 34464-2024")</f>
        <v/>
      </c>
    </row>
    <row r="120" ht="15" customHeight="1">
      <c r="A120" t="inlineStr">
        <is>
          <t>A 36785-2024</t>
        </is>
      </c>
      <c r="B120" s="1" t="n">
        <v>45538</v>
      </c>
      <c r="C120" s="1" t="n">
        <v>45810</v>
      </c>
      <c r="D120" t="inlineStr">
        <is>
          <t>UPPSALA LÄN</t>
        </is>
      </c>
      <c r="E120" t="inlineStr">
        <is>
          <t>TIERP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HYPERLINK("https://klasma.github.io/Logging_0360/artfynd/A 36785-2024 artfynd.xlsx", "A 36785-2024")</f>
        <v/>
      </c>
      <c r="T120">
        <f>HYPERLINK("https://klasma.github.io/Logging_0360/kartor/A 36785-2024 karta.png", "A 36785-2024")</f>
        <v/>
      </c>
      <c r="V120">
        <f>HYPERLINK("https://klasma.github.io/Logging_0360/klagomål/A 36785-2024 FSC-klagomål.docx", "A 36785-2024")</f>
        <v/>
      </c>
      <c r="W120">
        <f>HYPERLINK("https://klasma.github.io/Logging_0360/klagomålsmail/A 36785-2024 FSC-klagomål mail.docx", "A 36785-2024")</f>
        <v/>
      </c>
      <c r="X120">
        <f>HYPERLINK("https://klasma.github.io/Logging_0360/tillsyn/A 36785-2024 tillsynsbegäran.docx", "A 36785-2024")</f>
        <v/>
      </c>
      <c r="Y120">
        <f>HYPERLINK("https://klasma.github.io/Logging_0360/tillsynsmail/A 36785-2024 tillsynsbegäran mail.docx", "A 36785-2024")</f>
        <v/>
      </c>
    </row>
    <row r="121" ht="15" customHeight="1">
      <c r="A121" t="inlineStr">
        <is>
          <t>A 40720-2024</t>
        </is>
      </c>
      <c r="B121" s="1" t="n">
        <v>45558</v>
      </c>
      <c r="C121" s="1" t="n">
        <v>45810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Gulsparv</t>
        </is>
      </c>
      <c r="S121">
        <f>HYPERLINK("https://klasma.github.io/Logging_0360/artfynd/A 40720-2024 artfynd.xlsx", "A 40720-2024")</f>
        <v/>
      </c>
      <c r="T121">
        <f>HYPERLINK("https://klasma.github.io/Logging_0360/kartor/A 40720-2024 karta.png", "A 40720-2024")</f>
        <v/>
      </c>
      <c r="V121">
        <f>HYPERLINK("https://klasma.github.io/Logging_0360/klagomål/A 40720-2024 FSC-klagomål.docx", "A 40720-2024")</f>
        <v/>
      </c>
      <c r="W121">
        <f>HYPERLINK("https://klasma.github.io/Logging_0360/klagomålsmail/A 40720-2024 FSC-klagomål mail.docx", "A 40720-2024")</f>
        <v/>
      </c>
      <c r="X121">
        <f>HYPERLINK("https://klasma.github.io/Logging_0360/tillsyn/A 40720-2024 tillsynsbegäran.docx", "A 40720-2024")</f>
        <v/>
      </c>
      <c r="Y121">
        <f>HYPERLINK("https://klasma.github.io/Logging_0360/tillsynsmail/A 40720-2024 tillsynsbegäran mail.docx", "A 40720-2024")</f>
        <v/>
      </c>
      <c r="Z121">
        <f>HYPERLINK("https://klasma.github.io/Logging_0360/fåglar/A 40720-2024 prioriterade fågelarter.docx", "A 40720-2024")</f>
        <v/>
      </c>
    </row>
    <row r="122" ht="15" customHeight="1">
      <c r="A122" t="inlineStr">
        <is>
          <t>A 46527-2024</t>
        </is>
      </c>
      <c r="B122" s="1" t="n">
        <v>45582</v>
      </c>
      <c r="C122" s="1" t="n">
        <v>45810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Rödgul trumpetsvamp</t>
        </is>
      </c>
      <c r="S122">
        <f>HYPERLINK("https://klasma.github.io/Logging_0360/artfynd/A 46527-2024 artfynd.xlsx", "A 46527-2024")</f>
        <v/>
      </c>
      <c r="T122">
        <f>HYPERLINK("https://klasma.github.io/Logging_0360/kartor/A 46527-2024 karta.png", "A 46527-2024")</f>
        <v/>
      </c>
      <c r="V122">
        <f>HYPERLINK("https://klasma.github.io/Logging_0360/klagomål/A 46527-2024 FSC-klagomål.docx", "A 46527-2024")</f>
        <v/>
      </c>
      <c r="W122">
        <f>HYPERLINK("https://klasma.github.io/Logging_0360/klagomålsmail/A 46527-2024 FSC-klagomål mail.docx", "A 46527-2024")</f>
        <v/>
      </c>
      <c r="X122">
        <f>HYPERLINK("https://klasma.github.io/Logging_0360/tillsyn/A 46527-2024 tillsynsbegäran.docx", "A 46527-2024")</f>
        <v/>
      </c>
      <c r="Y122">
        <f>HYPERLINK("https://klasma.github.io/Logging_0360/tillsynsmail/A 46527-2024 tillsynsbegäran mail.docx", "A 46527-2024")</f>
        <v/>
      </c>
    </row>
    <row r="123" ht="15" customHeight="1">
      <c r="A123" t="inlineStr">
        <is>
          <t>A 49692-2024</t>
        </is>
      </c>
      <c r="B123" s="1" t="n">
        <v>45596</v>
      </c>
      <c r="C123" s="1" t="n">
        <v>45810</v>
      </c>
      <c r="D123" t="inlineStr">
        <is>
          <t>UPPSALA LÄN</t>
        </is>
      </c>
      <c r="E123" t="inlineStr">
        <is>
          <t>TIERP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HYPERLINK("https://klasma.github.io/Logging_0360/artfynd/A 49692-2024 artfynd.xlsx", "A 49692-2024")</f>
        <v/>
      </c>
      <c r="T123">
        <f>HYPERLINK("https://klasma.github.io/Logging_0360/kartor/A 49692-2024 karta.png", "A 49692-2024")</f>
        <v/>
      </c>
      <c r="V123">
        <f>HYPERLINK("https://klasma.github.io/Logging_0360/klagomål/A 49692-2024 FSC-klagomål.docx", "A 49692-2024")</f>
        <v/>
      </c>
      <c r="W123">
        <f>HYPERLINK("https://klasma.github.io/Logging_0360/klagomålsmail/A 49692-2024 FSC-klagomål mail.docx", "A 49692-2024")</f>
        <v/>
      </c>
      <c r="X123">
        <f>HYPERLINK("https://klasma.github.io/Logging_0360/tillsyn/A 49692-2024 tillsynsbegäran.docx", "A 49692-2024")</f>
        <v/>
      </c>
      <c r="Y123">
        <f>HYPERLINK("https://klasma.github.io/Logging_0360/tillsynsmail/A 49692-2024 tillsynsbegäran mail.docx", "A 49692-2024")</f>
        <v/>
      </c>
    </row>
    <row r="124" ht="15" customHeight="1">
      <c r="A124" t="inlineStr">
        <is>
          <t>A 55331-2024</t>
        </is>
      </c>
      <c r="B124" s="1" t="n">
        <v>45621</v>
      </c>
      <c r="C124" s="1" t="n">
        <v>45810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7.3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HYPERLINK("https://klasma.github.io/Logging_0360/artfynd/A 55331-2024 artfynd.xlsx", "A 55331-2024")</f>
        <v/>
      </c>
      <c r="T124">
        <f>HYPERLINK("https://klasma.github.io/Logging_0360/kartor/A 55331-2024 karta.png", "A 55331-2024")</f>
        <v/>
      </c>
      <c r="V124">
        <f>HYPERLINK("https://klasma.github.io/Logging_0360/klagomål/A 55331-2024 FSC-klagomål.docx", "A 55331-2024")</f>
        <v/>
      </c>
      <c r="W124">
        <f>HYPERLINK("https://klasma.github.io/Logging_0360/klagomålsmail/A 55331-2024 FSC-klagomål mail.docx", "A 55331-2024")</f>
        <v/>
      </c>
      <c r="X124">
        <f>HYPERLINK("https://klasma.github.io/Logging_0360/tillsyn/A 55331-2024 tillsynsbegäran.docx", "A 55331-2024")</f>
        <v/>
      </c>
      <c r="Y124">
        <f>HYPERLINK("https://klasma.github.io/Logging_0360/tillsynsmail/A 55331-2024 tillsynsbegäran mail.docx", "A 55331-2024")</f>
        <v/>
      </c>
      <c r="Z124">
        <f>HYPERLINK("https://klasma.github.io/Logging_0360/fåglar/A 55331-2024 prioriterade fågelarter.docx", "A 55331-2024")</f>
        <v/>
      </c>
    </row>
    <row r="125" ht="15" customHeight="1">
      <c r="A125" t="inlineStr">
        <is>
          <t>A 57398-2024</t>
        </is>
      </c>
      <c r="B125" s="1" t="n">
        <v>45629</v>
      </c>
      <c r="C125" s="1" t="n">
        <v>45810</v>
      </c>
      <c r="D125" t="inlineStr">
        <is>
          <t>UPPSALA LÄN</t>
        </is>
      </c>
      <c r="E125" t="inlineStr">
        <is>
          <t>TIERP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Ängsskäreplattmal</t>
        </is>
      </c>
      <c r="S125">
        <f>HYPERLINK("https://klasma.github.io/Logging_0360/artfynd/A 57398-2024 artfynd.xlsx", "A 57398-2024")</f>
        <v/>
      </c>
      <c r="T125">
        <f>HYPERLINK("https://klasma.github.io/Logging_0360/kartor/A 57398-2024 karta.png", "A 57398-2024")</f>
        <v/>
      </c>
      <c r="V125">
        <f>HYPERLINK("https://klasma.github.io/Logging_0360/klagomål/A 57398-2024 FSC-klagomål.docx", "A 57398-2024")</f>
        <v/>
      </c>
      <c r="W125">
        <f>HYPERLINK("https://klasma.github.io/Logging_0360/klagomålsmail/A 57398-2024 FSC-klagomål mail.docx", "A 57398-2024")</f>
        <v/>
      </c>
      <c r="X125">
        <f>HYPERLINK("https://klasma.github.io/Logging_0360/tillsyn/A 57398-2024 tillsynsbegäran.docx", "A 57398-2024")</f>
        <v/>
      </c>
      <c r="Y125">
        <f>HYPERLINK("https://klasma.github.io/Logging_0360/tillsynsmail/A 57398-2024 tillsynsbegäran mail.docx", "A 57398-2024")</f>
        <v/>
      </c>
    </row>
    <row r="126" ht="15" customHeight="1">
      <c r="A126" t="inlineStr">
        <is>
          <t>A 58107-2024</t>
        </is>
      </c>
      <c r="B126" s="1" t="n">
        <v>45632</v>
      </c>
      <c r="C126" s="1" t="n">
        <v>45810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Skogsknipprot</t>
        </is>
      </c>
      <c r="S126">
        <f>HYPERLINK("https://klasma.github.io/Logging_0360/artfynd/A 58107-2024 artfynd.xlsx", "A 58107-2024")</f>
        <v/>
      </c>
      <c r="T126">
        <f>HYPERLINK("https://klasma.github.io/Logging_0360/kartor/A 58107-2024 karta.png", "A 58107-2024")</f>
        <v/>
      </c>
      <c r="V126">
        <f>HYPERLINK("https://klasma.github.io/Logging_0360/klagomål/A 58107-2024 FSC-klagomål.docx", "A 58107-2024")</f>
        <v/>
      </c>
      <c r="W126">
        <f>HYPERLINK("https://klasma.github.io/Logging_0360/klagomålsmail/A 58107-2024 FSC-klagomål mail.docx", "A 58107-2024")</f>
        <v/>
      </c>
      <c r="X126">
        <f>HYPERLINK("https://klasma.github.io/Logging_0360/tillsyn/A 58107-2024 tillsynsbegäran.docx", "A 58107-2024")</f>
        <v/>
      </c>
      <c r="Y126">
        <f>HYPERLINK("https://klasma.github.io/Logging_0360/tillsynsmail/A 58107-2024 tillsynsbegäran mail.docx", "A 58107-2024")</f>
        <v/>
      </c>
    </row>
    <row r="127" ht="15" customHeight="1">
      <c r="A127" t="inlineStr">
        <is>
          <t>A 59117-2024</t>
        </is>
      </c>
      <c r="B127" s="1" t="n">
        <v>45637</v>
      </c>
      <c r="C127" s="1" t="n">
        <v>45810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14.9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HYPERLINK("https://klasma.github.io/Logging_0360/artfynd/A 59117-2024 artfynd.xlsx", "A 59117-2024")</f>
        <v/>
      </c>
      <c r="T127">
        <f>HYPERLINK("https://klasma.github.io/Logging_0360/kartor/A 59117-2024 karta.png", "A 59117-2024")</f>
        <v/>
      </c>
      <c r="V127">
        <f>HYPERLINK("https://klasma.github.io/Logging_0360/klagomål/A 59117-2024 FSC-klagomål.docx", "A 59117-2024")</f>
        <v/>
      </c>
      <c r="W127">
        <f>HYPERLINK("https://klasma.github.io/Logging_0360/klagomålsmail/A 59117-2024 FSC-klagomål mail.docx", "A 59117-2024")</f>
        <v/>
      </c>
      <c r="X127">
        <f>HYPERLINK("https://klasma.github.io/Logging_0360/tillsyn/A 59117-2024 tillsynsbegäran.docx", "A 59117-2024")</f>
        <v/>
      </c>
      <c r="Y127">
        <f>HYPERLINK("https://klasma.github.io/Logging_0360/tillsynsmail/A 59117-2024 tillsynsbegäran mail.docx", "A 59117-2024")</f>
        <v/>
      </c>
    </row>
    <row r="128" ht="15" customHeight="1">
      <c r="A128" t="inlineStr">
        <is>
          <t>A 2731-2025</t>
        </is>
      </c>
      <c r="B128" s="1" t="n">
        <v>45677</v>
      </c>
      <c r="C128" s="1" t="n">
        <v>45810</v>
      </c>
      <c r="D128" t="inlineStr">
        <is>
          <t>UPPSALA LÄN</t>
        </is>
      </c>
      <c r="E128" t="inlineStr">
        <is>
          <t>TIERP</t>
        </is>
      </c>
      <c r="G128" t="n">
        <v>5.8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Rödvingetrast</t>
        </is>
      </c>
      <c r="S128">
        <f>HYPERLINK("https://klasma.github.io/Logging_0360/artfynd/A 2731-2025 artfynd.xlsx", "A 2731-2025")</f>
        <v/>
      </c>
      <c r="T128">
        <f>HYPERLINK("https://klasma.github.io/Logging_0360/kartor/A 2731-2025 karta.png", "A 2731-2025")</f>
        <v/>
      </c>
      <c r="V128">
        <f>HYPERLINK("https://klasma.github.io/Logging_0360/klagomål/A 2731-2025 FSC-klagomål.docx", "A 2731-2025")</f>
        <v/>
      </c>
      <c r="W128">
        <f>HYPERLINK("https://klasma.github.io/Logging_0360/klagomålsmail/A 2731-2025 FSC-klagomål mail.docx", "A 2731-2025")</f>
        <v/>
      </c>
      <c r="X128">
        <f>HYPERLINK("https://klasma.github.io/Logging_0360/tillsyn/A 2731-2025 tillsynsbegäran.docx", "A 2731-2025")</f>
        <v/>
      </c>
      <c r="Y128">
        <f>HYPERLINK("https://klasma.github.io/Logging_0360/tillsynsmail/A 2731-2025 tillsynsbegäran mail.docx", "A 2731-2025")</f>
        <v/>
      </c>
      <c r="Z128">
        <f>HYPERLINK("https://klasma.github.io/Logging_0360/fåglar/A 2731-2025 prioriterade fågelarter.docx", "A 2731-2025")</f>
        <v/>
      </c>
    </row>
    <row r="129" ht="15" customHeight="1">
      <c r="A129" t="inlineStr">
        <is>
          <t>A 3853-2025</t>
        </is>
      </c>
      <c r="B129" s="1" t="n">
        <v>45683</v>
      </c>
      <c r="C129" s="1" t="n">
        <v>45810</v>
      </c>
      <c r="D129" t="inlineStr">
        <is>
          <t>UPPSALA LÄN</t>
        </is>
      </c>
      <c r="E129" t="inlineStr">
        <is>
          <t>TIERP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Tvåblad</t>
        </is>
      </c>
      <c r="S129">
        <f>HYPERLINK("https://klasma.github.io/Logging_0360/artfynd/A 3853-2025 artfynd.xlsx", "A 3853-2025")</f>
        <v/>
      </c>
      <c r="T129">
        <f>HYPERLINK("https://klasma.github.io/Logging_0360/kartor/A 3853-2025 karta.png", "A 3853-2025")</f>
        <v/>
      </c>
      <c r="V129">
        <f>HYPERLINK("https://klasma.github.io/Logging_0360/klagomål/A 3853-2025 FSC-klagomål.docx", "A 3853-2025")</f>
        <v/>
      </c>
      <c r="W129">
        <f>HYPERLINK("https://klasma.github.io/Logging_0360/klagomålsmail/A 3853-2025 FSC-klagomål mail.docx", "A 3853-2025")</f>
        <v/>
      </c>
      <c r="X129">
        <f>HYPERLINK("https://klasma.github.io/Logging_0360/tillsyn/A 3853-2025 tillsynsbegäran.docx", "A 3853-2025")</f>
        <v/>
      </c>
      <c r="Y129">
        <f>HYPERLINK("https://klasma.github.io/Logging_0360/tillsynsmail/A 3853-2025 tillsynsbegäran mail.docx", "A 3853-2025")</f>
        <v/>
      </c>
    </row>
    <row r="130" ht="15" customHeight="1">
      <c r="A130" t="inlineStr">
        <is>
          <t>A 4473-2025</t>
        </is>
      </c>
      <c r="B130" s="1" t="n">
        <v>45686</v>
      </c>
      <c r="C130" s="1" t="n">
        <v>45810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7.8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HYPERLINK("https://klasma.github.io/Logging_0360/artfynd/A 4473-2025 artfynd.xlsx", "A 4473-2025")</f>
        <v/>
      </c>
      <c r="T130">
        <f>HYPERLINK("https://klasma.github.io/Logging_0360/kartor/A 4473-2025 karta.png", "A 4473-2025")</f>
        <v/>
      </c>
      <c r="V130">
        <f>HYPERLINK("https://klasma.github.io/Logging_0360/klagomål/A 4473-2025 FSC-klagomål.docx", "A 4473-2025")</f>
        <v/>
      </c>
      <c r="W130">
        <f>HYPERLINK("https://klasma.github.io/Logging_0360/klagomålsmail/A 4473-2025 FSC-klagomål mail.docx", "A 4473-2025")</f>
        <v/>
      </c>
      <c r="X130">
        <f>HYPERLINK("https://klasma.github.io/Logging_0360/tillsyn/A 4473-2025 tillsynsbegäran.docx", "A 4473-2025")</f>
        <v/>
      </c>
      <c r="Y130">
        <f>HYPERLINK("https://klasma.github.io/Logging_0360/tillsynsmail/A 4473-2025 tillsynsbegäran mail.docx", "A 4473-2025")</f>
        <v/>
      </c>
    </row>
    <row r="131" ht="15" customHeight="1">
      <c r="A131" t="inlineStr">
        <is>
          <t>A 6829-2025</t>
        </is>
      </c>
      <c r="B131" s="1" t="n">
        <v>45700</v>
      </c>
      <c r="C131" s="1" t="n">
        <v>45810</v>
      </c>
      <c r="D131" t="inlineStr">
        <is>
          <t>UPPSALA LÄN</t>
        </is>
      </c>
      <c r="E131" t="inlineStr">
        <is>
          <t>TIERP</t>
        </is>
      </c>
      <c r="G131" t="n">
        <v>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HYPERLINK("https://klasma.github.io/Logging_0360/artfynd/A 6829-2025 artfynd.xlsx", "A 6829-2025")</f>
        <v/>
      </c>
      <c r="T131">
        <f>HYPERLINK("https://klasma.github.io/Logging_0360/kartor/A 6829-2025 karta.png", "A 6829-2025")</f>
        <v/>
      </c>
      <c r="V131">
        <f>HYPERLINK("https://klasma.github.io/Logging_0360/klagomål/A 6829-2025 FSC-klagomål.docx", "A 6829-2025")</f>
        <v/>
      </c>
      <c r="W131">
        <f>HYPERLINK("https://klasma.github.io/Logging_0360/klagomålsmail/A 6829-2025 FSC-klagomål mail.docx", "A 6829-2025")</f>
        <v/>
      </c>
      <c r="X131">
        <f>HYPERLINK("https://klasma.github.io/Logging_0360/tillsyn/A 6829-2025 tillsynsbegäran.docx", "A 6829-2025")</f>
        <v/>
      </c>
      <c r="Y131">
        <f>HYPERLINK("https://klasma.github.io/Logging_0360/tillsynsmail/A 6829-2025 tillsynsbegäran mail.docx", "A 6829-2025")</f>
        <v/>
      </c>
    </row>
    <row r="132" ht="15" customHeight="1">
      <c r="A132" t="inlineStr">
        <is>
          <t>A 7983-2025</t>
        </is>
      </c>
      <c r="B132" s="1" t="n">
        <v>45707</v>
      </c>
      <c r="C132" s="1" t="n">
        <v>45810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HYPERLINK("https://klasma.github.io/Logging_0360/artfynd/A 7983-2025 artfynd.xlsx", "A 7983-2025")</f>
        <v/>
      </c>
      <c r="T132">
        <f>HYPERLINK("https://klasma.github.io/Logging_0360/kartor/A 7983-2025 karta.png", "A 7983-2025")</f>
        <v/>
      </c>
      <c r="U132">
        <f>HYPERLINK("https://klasma.github.io/Logging_0360/knärot/A 7983-2025 karta knärot.png", "A 7983-2025")</f>
        <v/>
      </c>
      <c r="V132">
        <f>HYPERLINK("https://klasma.github.io/Logging_0360/klagomål/A 7983-2025 FSC-klagomål.docx", "A 7983-2025")</f>
        <v/>
      </c>
      <c r="W132">
        <f>HYPERLINK("https://klasma.github.io/Logging_0360/klagomålsmail/A 7983-2025 FSC-klagomål mail.docx", "A 7983-2025")</f>
        <v/>
      </c>
      <c r="X132">
        <f>HYPERLINK("https://klasma.github.io/Logging_0360/tillsyn/A 7983-2025 tillsynsbegäran.docx", "A 7983-2025")</f>
        <v/>
      </c>
      <c r="Y132">
        <f>HYPERLINK("https://klasma.github.io/Logging_0360/tillsynsmail/A 7983-2025 tillsynsbegäran mail.docx", "A 7983-2025")</f>
        <v/>
      </c>
    </row>
    <row r="133" ht="15" customHeight="1">
      <c r="A133" t="inlineStr">
        <is>
          <t>A 10853-2025</t>
        </is>
      </c>
      <c r="B133" s="1" t="n">
        <v>45722</v>
      </c>
      <c r="C133" s="1" t="n">
        <v>45810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10853-2025 artfynd.xlsx", "A 10853-2025")</f>
        <v/>
      </c>
      <c r="T133">
        <f>HYPERLINK("https://klasma.github.io/Logging_030360/kartor/A 10853-2025 karta.png", "A 10853-2025")</f>
        <v/>
      </c>
      <c r="V133">
        <f>HYPERLINK("https://klasma.github.io/Logging_030360/klagomål/A 10853-2025 FSC-klagomål.docx", "A 10853-2025")</f>
        <v/>
      </c>
      <c r="W133">
        <f>HYPERLINK("https://klasma.github.io/Logging_030360/klagomålsmail/A 10853-2025 FSC-klagomål mail.docx", "A 10853-2025")</f>
        <v/>
      </c>
      <c r="X133">
        <f>HYPERLINK("https://klasma.github.io/Logging_030360/tillsyn/A 10853-2025 tillsynsbegäran.docx", "A 10853-2025")</f>
        <v/>
      </c>
      <c r="Y133">
        <f>HYPERLINK("https://klasma.github.io/Logging_030360/tillsynsmail/A 10853-2025 tillsynsbegäran mail.docx", "A 10853-2025")</f>
        <v/>
      </c>
    </row>
    <row r="134" ht="15" customHeight="1">
      <c r="A134" t="inlineStr">
        <is>
          <t>A 10844-2025</t>
        </is>
      </c>
      <c r="B134" s="1" t="n">
        <v>45722</v>
      </c>
      <c r="C134" s="1" t="n">
        <v>45810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4.3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10844-2025 artfynd.xlsx", "A 10844-2025")</f>
        <v/>
      </c>
      <c r="T134">
        <f>HYPERLINK("https://klasma.github.io/Logging_030360/kartor/A 10844-2025 karta.png", "A 10844-2025")</f>
        <v/>
      </c>
      <c r="V134">
        <f>HYPERLINK("https://klasma.github.io/Logging_030360/klagomål/A 10844-2025 FSC-klagomål.docx", "A 10844-2025")</f>
        <v/>
      </c>
      <c r="W134">
        <f>HYPERLINK("https://klasma.github.io/Logging_030360/klagomålsmail/A 10844-2025 FSC-klagomål mail.docx", "A 10844-2025")</f>
        <v/>
      </c>
      <c r="X134">
        <f>HYPERLINK("https://klasma.github.io/Logging_030360/tillsyn/A 10844-2025 tillsynsbegäran.docx", "A 10844-2025")</f>
        <v/>
      </c>
      <c r="Y134">
        <f>HYPERLINK("https://klasma.github.io/Logging_030360/tillsynsmail/A 10844-2025 tillsynsbegäran mail.docx", "A 10844-2025")</f>
        <v/>
      </c>
    </row>
    <row r="135" ht="15" customHeight="1">
      <c r="A135" t="inlineStr">
        <is>
          <t>A 10848-2025</t>
        </is>
      </c>
      <c r="B135" s="1" t="n">
        <v>45722</v>
      </c>
      <c r="C135" s="1" t="n">
        <v>45810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1.9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10848-2025 artfynd.xlsx", "A 10848-2025")</f>
        <v/>
      </c>
      <c r="T135">
        <f>HYPERLINK("https://klasma.github.io/Logging_030360/kartor/A 10848-2025 karta.png", "A 10848-2025")</f>
        <v/>
      </c>
      <c r="V135">
        <f>HYPERLINK("https://klasma.github.io/Logging_030360/klagomål/A 10848-2025 FSC-klagomål.docx", "A 10848-2025")</f>
        <v/>
      </c>
      <c r="W135">
        <f>HYPERLINK("https://klasma.github.io/Logging_030360/klagomålsmail/A 10848-2025 FSC-klagomål mail.docx", "A 10848-2025")</f>
        <v/>
      </c>
      <c r="X135">
        <f>HYPERLINK("https://klasma.github.io/Logging_030360/tillsyn/A 10848-2025 tillsynsbegäran.docx", "A 10848-2025")</f>
        <v/>
      </c>
      <c r="Y135">
        <f>HYPERLINK("https://klasma.github.io/Logging_030360/tillsynsmail/A 10848-2025 tillsynsbegäran mail.docx", "A 10848-2025")</f>
        <v/>
      </c>
      <c r="Z135">
        <f>HYPERLINK("https://klasma.github.io/Logging_030360/fåglar/A 10848-2025 prioriterade fågelarter.docx", "A 10848-2025")</f>
        <v/>
      </c>
    </row>
    <row r="136" ht="15" customHeight="1">
      <c r="A136" t="inlineStr">
        <is>
          <t>A 13205-2025</t>
        </is>
      </c>
      <c r="B136" s="1" t="n">
        <v>45735</v>
      </c>
      <c r="C136" s="1" t="n">
        <v>45810</v>
      </c>
      <c r="D136" t="inlineStr">
        <is>
          <t>UPPSALA LÄN</t>
        </is>
      </c>
      <c r="E136" t="inlineStr">
        <is>
          <t>TIERP</t>
        </is>
      </c>
      <c r="G136" t="n">
        <v>8.6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HYPERLINK("https://klasma.github.io/Logging_030360/artfynd/A 13205-2025 artfynd.xlsx", "A 13205-2025")</f>
        <v/>
      </c>
      <c r="T136">
        <f>HYPERLINK("https://klasma.github.io/Logging_030360/kartor/A 13205-2025 karta.png", "A 13205-2025")</f>
        <v/>
      </c>
      <c r="V136">
        <f>HYPERLINK("https://klasma.github.io/Logging_030360/klagomål/A 13205-2025 FSC-klagomål.docx", "A 13205-2025")</f>
        <v/>
      </c>
      <c r="W136">
        <f>HYPERLINK("https://klasma.github.io/Logging_030360/klagomålsmail/A 13205-2025 FSC-klagomål mail.docx", "A 13205-2025")</f>
        <v/>
      </c>
      <c r="X136">
        <f>HYPERLINK("https://klasma.github.io/Logging_030360/tillsyn/A 13205-2025 tillsynsbegäran.docx", "A 13205-2025")</f>
        <v/>
      </c>
      <c r="Y136">
        <f>HYPERLINK("https://klasma.github.io/Logging_030360/tillsynsmail/A 13205-2025 tillsynsbegäran mail.docx", "A 13205-2025")</f>
        <v/>
      </c>
    </row>
    <row r="137" ht="15" customHeight="1">
      <c r="A137" t="inlineStr">
        <is>
          <t>A 14515-2025</t>
        </is>
      </c>
      <c r="B137" s="1" t="n">
        <v>45741</v>
      </c>
      <c r="C137" s="1" t="n">
        <v>45810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7.7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HYPERLINK("https://klasma.github.io/Logging_030360/artfynd/A 14515-2025 artfynd.xlsx", "A 14515-2025")</f>
        <v/>
      </c>
      <c r="T137">
        <f>HYPERLINK("https://klasma.github.io/Logging_030360/kartor/A 14515-2025 karta.png", "A 14515-2025")</f>
        <v/>
      </c>
      <c r="V137">
        <f>HYPERLINK("https://klasma.github.io/Logging_030360/klagomål/A 14515-2025 FSC-klagomål.docx", "A 14515-2025")</f>
        <v/>
      </c>
      <c r="W137">
        <f>HYPERLINK("https://klasma.github.io/Logging_030360/klagomålsmail/A 14515-2025 FSC-klagomål mail.docx", "A 14515-2025")</f>
        <v/>
      </c>
      <c r="X137">
        <f>HYPERLINK("https://klasma.github.io/Logging_030360/tillsyn/A 14515-2025 tillsynsbegäran.docx", "A 14515-2025")</f>
        <v/>
      </c>
      <c r="Y137">
        <f>HYPERLINK("https://klasma.github.io/Logging_030360/tillsynsmail/A 14515-2025 tillsynsbegäran mail.docx", "A 14515-2025")</f>
        <v/>
      </c>
      <c r="Z137">
        <f>HYPERLINK("https://klasma.github.io/Logging_030360/fåglar/A 14515-2025 prioriterade fågelarter.docx", "A 14515-2025")</f>
        <v/>
      </c>
    </row>
    <row r="138" ht="15" customHeight="1">
      <c r="A138" t="inlineStr">
        <is>
          <t>A 15680-2025</t>
        </is>
      </c>
      <c r="B138" s="1" t="n">
        <v>45748</v>
      </c>
      <c r="C138" s="1" t="n">
        <v>45810</v>
      </c>
      <c r="D138" t="inlineStr">
        <is>
          <t>UPPSALA LÄN</t>
        </is>
      </c>
      <c r="E138" t="inlineStr">
        <is>
          <t>TIERP</t>
        </is>
      </c>
      <c r="F138" t="inlineStr">
        <is>
          <t>Kyrkan</t>
        </is>
      </c>
      <c r="G138" t="n">
        <v>13.5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HYPERLINK("https://klasma.github.io/Logging_030360/artfynd/A 15680-2025 artfynd.xlsx", "A 15680-2025")</f>
        <v/>
      </c>
      <c r="T138">
        <f>HYPERLINK("https://klasma.github.io/Logging_030360/kartor/A 15680-2025 karta.png", "A 15680-2025")</f>
        <v/>
      </c>
      <c r="V138">
        <f>HYPERLINK("https://klasma.github.io/Logging_030360/klagomål/A 15680-2025 FSC-klagomål.docx", "A 15680-2025")</f>
        <v/>
      </c>
      <c r="W138">
        <f>HYPERLINK("https://klasma.github.io/Logging_030360/klagomålsmail/A 15680-2025 FSC-klagomål mail.docx", "A 15680-2025")</f>
        <v/>
      </c>
      <c r="X138">
        <f>HYPERLINK("https://klasma.github.io/Logging_030360/tillsyn/A 15680-2025 tillsynsbegäran.docx", "A 15680-2025")</f>
        <v/>
      </c>
      <c r="Y138">
        <f>HYPERLINK("https://klasma.github.io/Logging_030360/tillsynsmail/A 15680-2025 tillsynsbegäran mail.docx", "A 15680-2025")</f>
        <v/>
      </c>
    </row>
    <row r="139" ht="15" customHeight="1">
      <c r="A139" t="inlineStr">
        <is>
          <t>A 16733-2025</t>
        </is>
      </c>
      <c r="B139" s="1" t="n">
        <v>45754</v>
      </c>
      <c r="C139" s="1" t="n">
        <v>45810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Rödbrun blekspik</t>
        </is>
      </c>
      <c r="S139">
        <f>HYPERLINK("https://klasma.github.io/Logging_030360/artfynd/A 16733-2025 artfynd.xlsx", "A 16733-2025")</f>
        <v/>
      </c>
      <c r="T139">
        <f>HYPERLINK("https://klasma.github.io/Logging_030360/kartor/A 16733-2025 karta.png", "A 16733-2025")</f>
        <v/>
      </c>
      <c r="V139">
        <f>HYPERLINK("https://klasma.github.io/Logging_030360/klagomål/A 16733-2025 FSC-klagomål.docx", "A 16733-2025")</f>
        <v/>
      </c>
      <c r="W139">
        <f>HYPERLINK("https://klasma.github.io/Logging_030360/klagomålsmail/A 16733-2025 FSC-klagomål mail.docx", "A 16733-2025")</f>
        <v/>
      </c>
      <c r="X139">
        <f>HYPERLINK("https://klasma.github.io/Logging_030360/tillsyn/A 16733-2025 tillsynsbegäran.docx", "A 16733-2025")</f>
        <v/>
      </c>
      <c r="Y139">
        <f>HYPERLINK("https://klasma.github.io/Logging_030360/tillsynsmail/A 16733-2025 tillsynsbegäran mail.docx", "A 16733-2025")</f>
        <v/>
      </c>
    </row>
    <row r="140" ht="15" customHeight="1">
      <c r="A140" t="inlineStr">
        <is>
          <t>A 18619-2025</t>
        </is>
      </c>
      <c r="B140" s="1" t="n">
        <v>45763</v>
      </c>
      <c r="C140" s="1" t="n">
        <v>45810</v>
      </c>
      <c r="D140" t="inlineStr">
        <is>
          <t>UPPSALA LÄN</t>
        </is>
      </c>
      <c r="E140" t="inlineStr">
        <is>
          <t>TIERP</t>
        </is>
      </c>
      <c r="G140" t="n">
        <v>4.6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Nästrot</t>
        </is>
      </c>
      <c r="S140">
        <f>HYPERLINK("https://klasma.github.io/Logging_030360/artfynd/A 18619-2025 artfynd.xlsx", "A 18619-2025")</f>
        <v/>
      </c>
      <c r="T140">
        <f>HYPERLINK("https://klasma.github.io/Logging_030360/kartor/A 18619-2025 karta.png", "A 18619-2025")</f>
        <v/>
      </c>
      <c r="V140">
        <f>HYPERLINK("https://klasma.github.io/Logging_030360/klagomål/A 18619-2025 FSC-klagomål.docx", "A 18619-2025")</f>
        <v/>
      </c>
      <c r="W140">
        <f>HYPERLINK("https://klasma.github.io/Logging_030360/klagomålsmail/A 18619-2025 FSC-klagomål mail.docx", "A 18619-2025")</f>
        <v/>
      </c>
      <c r="X140">
        <f>HYPERLINK("https://klasma.github.io/Logging_030360/tillsyn/A 18619-2025 tillsynsbegäran.docx", "A 18619-2025")</f>
        <v/>
      </c>
      <c r="Y140">
        <f>HYPERLINK("https://klasma.github.io/Logging_030360/tillsynsmail/A 18619-2025 tillsynsbegäran mail.docx", "A 18619-2025")</f>
        <v/>
      </c>
    </row>
    <row r="141" ht="15" customHeight="1">
      <c r="A141" t="inlineStr">
        <is>
          <t>A 19661-2025</t>
        </is>
      </c>
      <c r="B141" s="1" t="n">
        <v>45770</v>
      </c>
      <c r="C141" s="1" t="n">
        <v>45810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4.2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HYPERLINK("https://klasma.github.io/Logging_030360/artfynd/A 19661-2025 artfynd.xlsx", "A 19661-2025")</f>
        <v/>
      </c>
      <c r="T141">
        <f>HYPERLINK("https://klasma.github.io/Logging_030360/kartor/A 19661-2025 karta.png", "A 19661-2025")</f>
        <v/>
      </c>
      <c r="V141">
        <f>HYPERLINK("https://klasma.github.io/Logging_030360/klagomål/A 19661-2025 FSC-klagomål.docx", "A 19661-2025")</f>
        <v/>
      </c>
      <c r="W141">
        <f>HYPERLINK("https://klasma.github.io/Logging_030360/klagomålsmail/A 19661-2025 FSC-klagomål mail.docx", "A 19661-2025")</f>
        <v/>
      </c>
      <c r="X141">
        <f>HYPERLINK("https://klasma.github.io/Logging_030360/tillsyn/A 19661-2025 tillsynsbegäran.docx", "A 19661-2025")</f>
        <v/>
      </c>
      <c r="Y141">
        <f>HYPERLINK("https://klasma.github.io/Logging_030360/tillsynsmail/A 19661-2025 tillsynsbegäran mail.docx", "A 19661-2025")</f>
        <v/>
      </c>
    </row>
    <row r="142" ht="15" customHeight="1">
      <c r="A142" t="inlineStr">
        <is>
          <t>A 22601-2025</t>
        </is>
      </c>
      <c r="B142" s="1" t="n">
        <v>45789</v>
      </c>
      <c r="C142" s="1" t="n">
        <v>45810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HYPERLINK("https://klasma.github.io/Logging_030360/artfynd/A 22601-2025 artfynd.xlsx", "A 22601-2025")</f>
        <v/>
      </c>
      <c r="T142">
        <f>HYPERLINK("https://klasma.github.io/Logging_030360/kartor/A 22601-2025 karta.png", "A 22601-2025")</f>
        <v/>
      </c>
      <c r="V142">
        <f>HYPERLINK("https://klasma.github.io/Logging_030360/klagomål/A 22601-2025 FSC-klagomål.docx", "A 22601-2025")</f>
        <v/>
      </c>
      <c r="W142">
        <f>HYPERLINK("https://klasma.github.io/Logging_030360/klagomålsmail/A 22601-2025 FSC-klagomål mail.docx", "A 22601-2025")</f>
        <v/>
      </c>
      <c r="X142">
        <f>HYPERLINK("https://klasma.github.io/Logging_030360/tillsyn/A 22601-2025 tillsynsbegäran.docx", "A 22601-2025")</f>
        <v/>
      </c>
      <c r="Y142">
        <f>HYPERLINK("https://klasma.github.io/Logging_030360/tillsynsmail/A 22601-2025 tillsynsbegäran mail.docx", "A 22601-2025")</f>
        <v/>
      </c>
    </row>
    <row r="143" ht="15" customHeight="1">
      <c r="A143" t="inlineStr">
        <is>
          <t>A 22777-2025</t>
        </is>
      </c>
      <c r="B143" s="1" t="n">
        <v>45789</v>
      </c>
      <c r="C143" s="1" t="n">
        <v>45810</v>
      </c>
      <c r="D143" t="inlineStr">
        <is>
          <t>UPPSALA LÄN</t>
        </is>
      </c>
      <c r="E143" t="inlineStr">
        <is>
          <t>TIERP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Persiljespindling</t>
        </is>
      </c>
      <c r="S143">
        <f>HYPERLINK("https://klasma.github.io/Logging_030360/artfynd/A 22777-2025 artfynd.xlsx", "A 22777-2025")</f>
        <v/>
      </c>
      <c r="T143">
        <f>HYPERLINK("https://klasma.github.io/Logging_030360/kartor/A 22777-2025 karta.png", "A 22777-2025")</f>
        <v/>
      </c>
      <c r="V143">
        <f>HYPERLINK("https://klasma.github.io/Logging_030360/klagomål/A 22777-2025 FSC-klagomål.docx", "A 22777-2025")</f>
        <v/>
      </c>
      <c r="W143">
        <f>HYPERLINK("https://klasma.github.io/Logging_030360/klagomålsmail/A 22777-2025 FSC-klagomål mail.docx", "A 22777-2025")</f>
        <v/>
      </c>
      <c r="X143">
        <f>HYPERLINK("https://klasma.github.io/Logging_030360/tillsyn/A 22777-2025 tillsynsbegäran.docx", "A 22777-2025")</f>
        <v/>
      </c>
      <c r="Y143">
        <f>HYPERLINK("https://klasma.github.io/Logging_030360/tillsynsmail/A 22777-2025 tillsynsbegäran mail.docx", "A 22777-2025")</f>
        <v/>
      </c>
    </row>
    <row r="144" ht="15" customHeight="1">
      <c r="A144" t="inlineStr">
        <is>
          <t>A 18466-2019</t>
        </is>
      </c>
      <c r="B144" s="1" t="n">
        <v>43559</v>
      </c>
      <c r="C144" s="1" t="n">
        <v>45810</v>
      </c>
      <c r="D144" t="inlineStr">
        <is>
          <t>UPPSALA LÄN</t>
        </is>
      </c>
      <c r="E144" t="inlineStr">
        <is>
          <t>TIERP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19791-2019</t>
        </is>
      </c>
      <c r="B145" s="1" t="n">
        <v>43567</v>
      </c>
      <c r="C145" s="1" t="n">
        <v>45810</v>
      </c>
      <c r="D145" t="inlineStr">
        <is>
          <t>UPPSALA LÄN</t>
        </is>
      </c>
      <c r="E145" t="inlineStr">
        <is>
          <t>TIERP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25498-2019</t>
        </is>
      </c>
      <c r="B146" s="1" t="n">
        <v>43606</v>
      </c>
      <c r="C146" s="1" t="n">
        <v>45810</v>
      </c>
      <c r="D146" t="inlineStr">
        <is>
          <t>UPPSALA LÄN</t>
        </is>
      </c>
      <c r="E146" t="inlineStr">
        <is>
          <t>TIERP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25502-2019</t>
        </is>
      </c>
      <c r="B147" s="1" t="n">
        <v>43606</v>
      </c>
      <c r="C147" s="1" t="n">
        <v>45810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26366-2019</t>
        </is>
      </c>
      <c r="B148" s="1" t="n">
        <v>43612</v>
      </c>
      <c r="C148" s="1" t="n">
        <v>45810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26371-2019</t>
        </is>
      </c>
      <c r="B149" s="1" t="n">
        <v>43612</v>
      </c>
      <c r="C149" s="1" t="n">
        <v>45810</v>
      </c>
      <c r="D149" t="inlineStr">
        <is>
          <t>UPPSALA LÄN</t>
        </is>
      </c>
      <c r="E149" t="inlineStr">
        <is>
          <t>TIERP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29792-2019</t>
        </is>
      </c>
      <c r="B150" s="1" t="n">
        <v>43633</v>
      </c>
      <c r="C150" s="1" t="n">
        <v>45810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31319-2019</t>
        </is>
      </c>
      <c r="B151" s="1" t="n">
        <v>43641</v>
      </c>
      <c r="C151" s="1" t="n">
        <v>45810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31884-2019</t>
        </is>
      </c>
      <c r="B152" s="1" t="n">
        <v>43642</v>
      </c>
      <c r="C152" s="1" t="n">
        <v>45810</v>
      </c>
      <c r="D152" t="inlineStr">
        <is>
          <t>UPPSALA LÄN</t>
        </is>
      </c>
      <c r="E152" t="inlineStr">
        <is>
          <t>TIERP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33670-2019</t>
        </is>
      </c>
      <c r="B153" s="1" t="n">
        <v>43651</v>
      </c>
      <c r="C153" s="1" t="n">
        <v>45810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34386-2019</t>
        </is>
      </c>
      <c r="B154" s="1" t="n">
        <v>43656</v>
      </c>
      <c r="C154" s="1" t="n">
        <v>45810</v>
      </c>
      <c r="D154" t="inlineStr">
        <is>
          <t>UPPSALA LÄN</t>
        </is>
      </c>
      <c r="E154" t="inlineStr">
        <is>
          <t>TIERP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34392-2019</t>
        </is>
      </c>
      <c r="B155" s="1" t="n">
        <v>43656</v>
      </c>
      <c r="C155" s="1" t="n">
        <v>45810</v>
      </c>
      <c r="D155" t="inlineStr">
        <is>
          <t>UPPSALA LÄN</t>
        </is>
      </c>
      <c r="E155" t="inlineStr">
        <is>
          <t>TIERP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36019-2019</t>
        </is>
      </c>
      <c r="B156" s="1" t="n">
        <v>43668</v>
      </c>
      <c r="C156" s="1" t="n">
        <v>45810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37114-2019</t>
        </is>
      </c>
      <c r="B157" s="1" t="n">
        <v>43676</v>
      </c>
      <c r="C157" s="1" t="n">
        <v>45810</v>
      </c>
      <c r="D157" t="inlineStr">
        <is>
          <t>UPPSALA LÄN</t>
        </is>
      </c>
      <c r="E157" t="inlineStr">
        <is>
          <t>TIERP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39554-2019</t>
        </is>
      </c>
      <c r="B158" s="1" t="n">
        <v>43686</v>
      </c>
      <c r="C158" s="1" t="n">
        <v>45810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39911-2019</t>
        </is>
      </c>
      <c r="B159" s="1" t="n">
        <v>43692</v>
      </c>
      <c r="C159" s="1" t="n">
        <v>45810</v>
      </c>
      <c r="D159" t="inlineStr">
        <is>
          <t>UPPSALA LÄN</t>
        </is>
      </c>
      <c r="E159" t="inlineStr">
        <is>
          <t>TIERP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39914-2019</t>
        </is>
      </c>
      <c r="B160" s="1" t="n">
        <v>43692</v>
      </c>
      <c r="C160" s="1" t="n">
        <v>45810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43535-2019</t>
        </is>
      </c>
      <c r="B161" s="1" t="n">
        <v>43706</v>
      </c>
      <c r="C161" s="1" t="n">
        <v>45810</v>
      </c>
      <c r="D161" t="inlineStr">
        <is>
          <t>UPPSALA LÄN</t>
        </is>
      </c>
      <c r="E161" t="inlineStr">
        <is>
          <t>TIERP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43625-2019</t>
        </is>
      </c>
      <c r="B162" s="1" t="n">
        <v>43707</v>
      </c>
      <c r="C162" s="1" t="n">
        <v>45810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44569-2019</t>
        </is>
      </c>
      <c r="B163" s="1" t="n">
        <v>43711</v>
      </c>
      <c r="C163" s="1" t="n">
        <v>45810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49877-2019</t>
        </is>
      </c>
      <c r="B164" s="1" t="n">
        <v>43733</v>
      </c>
      <c r="C164" s="1" t="n">
        <v>45810</v>
      </c>
      <c r="D164" t="inlineStr">
        <is>
          <t>UPPSALA LÄN</t>
        </is>
      </c>
      <c r="E164" t="inlineStr">
        <is>
          <t>TIERP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49900-2019</t>
        </is>
      </c>
      <c r="B165" s="1" t="n">
        <v>43733</v>
      </c>
      <c r="C165" s="1" t="n">
        <v>45810</v>
      </c>
      <c r="D165" t="inlineStr">
        <is>
          <t>UPPSALA LÄN</t>
        </is>
      </c>
      <c r="E165" t="inlineStr">
        <is>
          <t>TIERP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50156-2019</t>
        </is>
      </c>
      <c r="B166" s="1" t="n">
        <v>43734</v>
      </c>
      <c r="C166" s="1" t="n">
        <v>45810</v>
      </c>
      <c r="D166" t="inlineStr">
        <is>
          <t>UPPSALA LÄN</t>
        </is>
      </c>
      <c r="E166" t="inlineStr">
        <is>
          <t>TIERP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50858-2019</t>
        </is>
      </c>
      <c r="B167" s="1" t="n">
        <v>43738</v>
      </c>
      <c r="C167" s="1" t="n">
        <v>45810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51488-2019</t>
        </is>
      </c>
      <c r="B168" s="1" t="n">
        <v>43740</v>
      </c>
      <c r="C168" s="1" t="n">
        <v>45810</v>
      </c>
      <c r="D168" t="inlineStr">
        <is>
          <t>UPPSALA LÄN</t>
        </is>
      </c>
      <c r="E168" t="inlineStr">
        <is>
          <t>TIERP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51796-2019</t>
        </is>
      </c>
      <c r="B169" s="1" t="n">
        <v>43741</v>
      </c>
      <c r="C169" s="1" t="n">
        <v>45810</v>
      </c>
      <c r="D169" t="inlineStr">
        <is>
          <t>UPPSALA LÄN</t>
        </is>
      </c>
      <c r="E169" t="inlineStr">
        <is>
          <t>TIERP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52831-2019</t>
        </is>
      </c>
      <c r="B170" s="1" t="n">
        <v>43746</v>
      </c>
      <c r="C170" s="1" t="n">
        <v>45810</v>
      </c>
      <c r="D170" t="inlineStr">
        <is>
          <t>UPPSALA LÄN</t>
        </is>
      </c>
      <c r="E170" t="inlineStr">
        <is>
          <t>TIERP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52955-2019</t>
        </is>
      </c>
      <c r="B171" s="1" t="n">
        <v>43747</v>
      </c>
      <c r="C171" s="1" t="n">
        <v>45810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56380-2019</t>
        </is>
      </c>
      <c r="B172" s="1" t="n">
        <v>43756</v>
      </c>
      <c r="C172" s="1" t="n">
        <v>45810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55944-2019</t>
        </is>
      </c>
      <c r="B173" s="1" t="n">
        <v>43761</v>
      </c>
      <c r="C173" s="1" t="n">
        <v>45810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59227-2019</t>
        </is>
      </c>
      <c r="B174" s="1" t="n">
        <v>43770</v>
      </c>
      <c r="C174" s="1" t="n">
        <v>45810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58276-2019</t>
        </is>
      </c>
      <c r="B175" s="1" t="n">
        <v>43770</v>
      </c>
      <c r="C175" s="1" t="n">
        <v>45810</v>
      </c>
      <c r="D175" t="inlineStr">
        <is>
          <t>UPPSALA LÄN</t>
        </is>
      </c>
      <c r="E175" t="inlineStr">
        <is>
          <t>TIERP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59058-2019</t>
        </is>
      </c>
      <c r="B176" s="1" t="n">
        <v>43774</v>
      </c>
      <c r="C176" s="1" t="n">
        <v>45810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60230-2019</t>
        </is>
      </c>
      <c r="B177" s="1" t="n">
        <v>43780</v>
      </c>
      <c r="C177" s="1" t="n">
        <v>45810</v>
      </c>
      <c r="D177" t="inlineStr">
        <is>
          <t>UPPSALA LÄN</t>
        </is>
      </c>
      <c r="E177" t="inlineStr">
        <is>
          <t>TIERP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60222-2019</t>
        </is>
      </c>
      <c r="B178" s="1" t="n">
        <v>43780</v>
      </c>
      <c r="C178" s="1" t="n">
        <v>45810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61322-2019</t>
        </is>
      </c>
      <c r="B179" s="1" t="n">
        <v>43780</v>
      </c>
      <c r="C179" s="1" t="n">
        <v>45810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63769-2019</t>
        </is>
      </c>
      <c r="B180" s="1" t="n">
        <v>43795</v>
      </c>
      <c r="C180" s="1" t="n">
        <v>45810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63872-2019</t>
        </is>
      </c>
      <c r="B181" s="1" t="n">
        <v>43796</v>
      </c>
      <c r="C181" s="1" t="n">
        <v>45810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64252-2019</t>
        </is>
      </c>
      <c r="B182" s="1" t="n">
        <v>43797</v>
      </c>
      <c r="C182" s="1" t="n">
        <v>45810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64271-2019</t>
        </is>
      </c>
      <c r="B183" s="1" t="n">
        <v>43797</v>
      </c>
      <c r="C183" s="1" t="n">
        <v>45810</v>
      </c>
      <c r="D183" t="inlineStr">
        <is>
          <t>UPPSALA LÄN</t>
        </is>
      </c>
      <c r="E183" t="inlineStr">
        <is>
          <t>TIERP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64986-2019</t>
        </is>
      </c>
      <c r="B184" s="1" t="n">
        <v>43801</v>
      </c>
      <c r="C184" s="1" t="n">
        <v>45810</v>
      </c>
      <c r="D184" t="inlineStr">
        <is>
          <t>UPPSALA LÄN</t>
        </is>
      </c>
      <c r="E184" t="inlineStr">
        <is>
          <t>TIERP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64983-2019</t>
        </is>
      </c>
      <c r="B185" s="1" t="n">
        <v>43801</v>
      </c>
      <c r="C185" s="1" t="n">
        <v>45810</v>
      </c>
      <c r="D185" t="inlineStr">
        <is>
          <t>UPPSALA LÄN</t>
        </is>
      </c>
      <c r="E185" t="inlineStr">
        <is>
          <t>TIERP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65087-2019</t>
        </is>
      </c>
      <c r="B186" s="1" t="n">
        <v>43802</v>
      </c>
      <c r="C186" s="1" t="n">
        <v>45810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66641-2019</t>
        </is>
      </c>
      <c r="B187" s="1" t="n">
        <v>43809</v>
      </c>
      <c r="C187" s="1" t="n">
        <v>45810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66640-2019</t>
        </is>
      </c>
      <c r="B188" s="1" t="n">
        <v>43809</v>
      </c>
      <c r="C188" s="1" t="n">
        <v>45810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67253-2019</t>
        </is>
      </c>
      <c r="B189" s="1" t="n">
        <v>43812</v>
      </c>
      <c r="C189" s="1" t="n">
        <v>45810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69141-2019</t>
        </is>
      </c>
      <c r="B190" s="1" t="n">
        <v>43829</v>
      </c>
      <c r="C190" s="1" t="n">
        <v>45810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962-2020</t>
        </is>
      </c>
      <c r="B191" s="1" t="n">
        <v>43839</v>
      </c>
      <c r="C191" s="1" t="n">
        <v>45810</v>
      </c>
      <c r="D191" t="inlineStr">
        <is>
          <t>UPPSALA LÄN</t>
        </is>
      </c>
      <c r="E191" t="inlineStr">
        <is>
          <t>TIERP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1432-2020</t>
        </is>
      </c>
      <c r="B192" s="1" t="n">
        <v>43843</v>
      </c>
      <c r="C192" s="1" t="n">
        <v>45810</v>
      </c>
      <c r="D192" t="inlineStr">
        <is>
          <t>UPPSALA LÄN</t>
        </is>
      </c>
      <c r="E192" t="inlineStr">
        <is>
          <t>TIERP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3522-2020</t>
        </is>
      </c>
      <c r="B193" s="1" t="n">
        <v>43853</v>
      </c>
      <c r="C193" s="1" t="n">
        <v>45810</v>
      </c>
      <c r="D193" t="inlineStr">
        <is>
          <t>UPPSALA LÄN</t>
        </is>
      </c>
      <c r="E193" t="inlineStr">
        <is>
          <t>TIERP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3734-2020</t>
        </is>
      </c>
      <c r="B194" s="1" t="n">
        <v>43853</v>
      </c>
      <c r="C194" s="1" t="n">
        <v>45810</v>
      </c>
      <c r="D194" t="inlineStr">
        <is>
          <t>UPPSALA LÄN</t>
        </is>
      </c>
      <c r="E194" t="inlineStr">
        <is>
          <t>TIERP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4899-2020</t>
        </is>
      </c>
      <c r="B195" s="1" t="n">
        <v>43859</v>
      </c>
      <c r="C195" s="1" t="n">
        <v>45810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5048-2020</t>
        </is>
      </c>
      <c r="B196" s="1" t="n">
        <v>43859</v>
      </c>
      <c r="C196" s="1" t="n">
        <v>45810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8214-2020</t>
        </is>
      </c>
      <c r="B197" s="1" t="n">
        <v>43874</v>
      </c>
      <c r="C197" s="1" t="n">
        <v>45810</v>
      </c>
      <c r="D197" t="inlineStr">
        <is>
          <t>UPPSALA LÄN</t>
        </is>
      </c>
      <c r="E197" t="inlineStr">
        <is>
          <t>TIERP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8703-2020</t>
        </is>
      </c>
      <c r="B198" s="1" t="n">
        <v>43875</v>
      </c>
      <c r="C198" s="1" t="n">
        <v>45810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8757-2020</t>
        </is>
      </c>
      <c r="B199" s="1" t="n">
        <v>43878</v>
      </c>
      <c r="C199" s="1" t="n">
        <v>45810</v>
      </c>
      <c r="D199" t="inlineStr">
        <is>
          <t>UPPSALA LÄN</t>
        </is>
      </c>
      <c r="E199" t="inlineStr">
        <is>
          <t>TIERP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9334-2020</t>
        </is>
      </c>
      <c r="B200" s="1" t="n">
        <v>43880</v>
      </c>
      <c r="C200" s="1" t="n">
        <v>45810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10039-2020</t>
        </is>
      </c>
      <c r="B201" s="1" t="n">
        <v>43882</v>
      </c>
      <c r="C201" s="1" t="n">
        <v>45810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11433-2020</t>
        </is>
      </c>
      <c r="B202" s="1" t="n">
        <v>43893</v>
      </c>
      <c r="C202" s="1" t="n">
        <v>45810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12427-2020</t>
        </is>
      </c>
      <c r="B203" s="1" t="n">
        <v>43896</v>
      </c>
      <c r="C203" s="1" t="n">
        <v>45810</v>
      </c>
      <c r="D203" t="inlineStr">
        <is>
          <t>UPPSALA LÄN</t>
        </is>
      </c>
      <c r="E203" t="inlineStr">
        <is>
          <t>TIERP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12912-2020</t>
        </is>
      </c>
      <c r="B204" s="1" t="n">
        <v>43900</v>
      </c>
      <c r="C204" s="1" t="n">
        <v>45810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14627-2020</t>
        </is>
      </c>
      <c r="B205" s="1" t="n">
        <v>43901</v>
      </c>
      <c r="C205" s="1" t="n">
        <v>45810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14017-2020</t>
        </is>
      </c>
      <c r="B206" s="1" t="n">
        <v>43906</v>
      </c>
      <c r="C206" s="1" t="n">
        <v>45810</v>
      </c>
      <c r="D206" t="inlineStr">
        <is>
          <t>UPPSALA LÄN</t>
        </is>
      </c>
      <c r="E206" t="inlineStr">
        <is>
          <t>TIERP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15326-2020</t>
        </is>
      </c>
      <c r="B207" s="1" t="n">
        <v>43913</v>
      </c>
      <c r="C207" s="1" t="n">
        <v>45810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15233-2020</t>
        </is>
      </c>
      <c r="B208" s="1" t="n">
        <v>43913</v>
      </c>
      <c r="C208" s="1" t="n">
        <v>45810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18774-2020</t>
        </is>
      </c>
      <c r="B209" s="1" t="n">
        <v>43930</v>
      </c>
      <c r="C209" s="1" t="n">
        <v>45810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19136-2020</t>
        </is>
      </c>
      <c r="B210" s="1" t="n">
        <v>43936</v>
      </c>
      <c r="C210" s="1" t="n">
        <v>45810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19332-2020</t>
        </is>
      </c>
      <c r="B211" s="1" t="n">
        <v>43938</v>
      </c>
      <c r="C211" s="1" t="n">
        <v>45810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21730-2020</t>
        </is>
      </c>
      <c r="B212" s="1" t="n">
        <v>43957</v>
      </c>
      <c r="C212" s="1" t="n">
        <v>45810</v>
      </c>
      <c r="D212" t="inlineStr">
        <is>
          <t>UPPSALA LÄN</t>
        </is>
      </c>
      <c r="E212" t="inlineStr">
        <is>
          <t>TIERP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21814-2020</t>
        </is>
      </c>
      <c r="B213" s="1" t="n">
        <v>43958</v>
      </c>
      <c r="C213" s="1" t="n">
        <v>45810</v>
      </c>
      <c r="D213" t="inlineStr">
        <is>
          <t>UPPSALA LÄN</t>
        </is>
      </c>
      <c r="E213" t="inlineStr">
        <is>
          <t>TIERP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22763-2020</t>
        </is>
      </c>
      <c r="B214" s="1" t="n">
        <v>43963</v>
      </c>
      <c r="C214" s="1" t="n">
        <v>45810</v>
      </c>
      <c r="D214" t="inlineStr">
        <is>
          <t>UPPSALA LÄN</t>
        </is>
      </c>
      <c r="E214" t="inlineStr">
        <is>
          <t>TIERP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22802-2020</t>
        </is>
      </c>
      <c r="B215" s="1" t="n">
        <v>43964</v>
      </c>
      <c r="C215" s="1" t="n">
        <v>45810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22961-2020</t>
        </is>
      </c>
      <c r="B216" s="1" t="n">
        <v>43965</v>
      </c>
      <c r="C216" s="1" t="n">
        <v>45810</v>
      </c>
      <c r="D216" t="inlineStr">
        <is>
          <t>UPPSALA LÄN</t>
        </is>
      </c>
      <c r="E216" t="inlineStr">
        <is>
          <t>TIERP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25641-2020</t>
        </is>
      </c>
      <c r="B217" s="1" t="n">
        <v>43983</v>
      </c>
      <c r="C217" s="1" t="n">
        <v>45810</v>
      </c>
      <c r="D217" t="inlineStr">
        <is>
          <t>UPPSALA LÄN</t>
        </is>
      </c>
      <c r="E217" t="inlineStr">
        <is>
          <t>TIERP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26090-2020</t>
        </is>
      </c>
      <c r="B218" s="1" t="n">
        <v>43985</v>
      </c>
      <c r="C218" s="1" t="n">
        <v>45810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26101-2020</t>
        </is>
      </c>
      <c r="B219" s="1" t="n">
        <v>43985</v>
      </c>
      <c r="C219" s="1" t="n">
        <v>45810</v>
      </c>
      <c r="D219" t="inlineStr">
        <is>
          <t>UPPSALA LÄN</t>
        </is>
      </c>
      <c r="E219" t="inlineStr">
        <is>
          <t>TIERP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26095-2020</t>
        </is>
      </c>
      <c r="B220" s="1" t="n">
        <v>43985</v>
      </c>
      <c r="C220" s="1" t="n">
        <v>45810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27462-2020</t>
        </is>
      </c>
      <c r="B221" s="1" t="n">
        <v>43993</v>
      </c>
      <c r="C221" s="1" t="n">
        <v>45810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29989-2020</t>
        </is>
      </c>
      <c r="B222" s="1" t="n">
        <v>44006</v>
      </c>
      <c r="C222" s="1" t="n">
        <v>45810</v>
      </c>
      <c r="D222" t="inlineStr">
        <is>
          <t>UPPSALA LÄN</t>
        </is>
      </c>
      <c r="E222" t="inlineStr">
        <is>
          <t>TIERP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30245-2020</t>
        </is>
      </c>
      <c r="B223" s="1" t="n">
        <v>44007</v>
      </c>
      <c r="C223" s="1" t="n">
        <v>45810</v>
      </c>
      <c r="D223" t="inlineStr">
        <is>
          <t>UPPSALA LÄN</t>
        </is>
      </c>
      <c r="E223" t="inlineStr">
        <is>
          <t>TIERP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30544-2020</t>
        </is>
      </c>
      <c r="B224" s="1" t="n">
        <v>44008</v>
      </c>
      <c r="C224" s="1" t="n">
        <v>45810</v>
      </c>
      <c r="D224" t="inlineStr">
        <is>
          <t>UPPSALA LÄN</t>
        </is>
      </c>
      <c r="E224" t="inlineStr">
        <is>
          <t>TIERP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31685-2020</t>
        </is>
      </c>
      <c r="B225" s="1" t="n">
        <v>44013</v>
      </c>
      <c r="C225" s="1" t="n">
        <v>45810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33076-2020</t>
        </is>
      </c>
      <c r="B226" s="1" t="n">
        <v>44021</v>
      </c>
      <c r="C226" s="1" t="n">
        <v>45810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33378-2020</t>
        </is>
      </c>
      <c r="B227" s="1" t="n">
        <v>44022</v>
      </c>
      <c r="C227" s="1" t="n">
        <v>45810</v>
      </c>
      <c r="D227" t="inlineStr">
        <is>
          <t>UPPSALA LÄN</t>
        </is>
      </c>
      <c r="E227" t="inlineStr">
        <is>
          <t>TIERP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33873-2020</t>
        </is>
      </c>
      <c r="B228" s="1" t="n">
        <v>44025</v>
      </c>
      <c r="C228" s="1" t="n">
        <v>45810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34494-2020</t>
        </is>
      </c>
      <c r="B229" s="1" t="n">
        <v>44029</v>
      </c>
      <c r="C229" s="1" t="n">
        <v>45810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35573-2020</t>
        </is>
      </c>
      <c r="B230" s="1" t="n">
        <v>44043</v>
      </c>
      <c r="C230" s="1" t="n">
        <v>45810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36412-2020</t>
        </is>
      </c>
      <c r="B231" s="1" t="n">
        <v>44049</v>
      </c>
      <c r="C231" s="1" t="n">
        <v>45810</v>
      </c>
      <c r="D231" t="inlineStr">
        <is>
          <t>UPPSALA LÄN</t>
        </is>
      </c>
      <c r="E231" t="inlineStr">
        <is>
          <t>TIERP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37596-2020</t>
        </is>
      </c>
      <c r="B232" s="1" t="n">
        <v>44056</v>
      </c>
      <c r="C232" s="1" t="n">
        <v>45810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37680-2020</t>
        </is>
      </c>
      <c r="B233" s="1" t="n">
        <v>44056</v>
      </c>
      <c r="C233" s="1" t="n">
        <v>45810</v>
      </c>
      <c r="D233" t="inlineStr">
        <is>
          <t>UPPSALA LÄN</t>
        </is>
      </c>
      <c r="E233" t="inlineStr">
        <is>
          <t>TIERP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37691-2020</t>
        </is>
      </c>
      <c r="B234" s="1" t="n">
        <v>44056</v>
      </c>
      <c r="C234" s="1" t="n">
        <v>45810</v>
      </c>
      <c r="D234" t="inlineStr">
        <is>
          <t>UPPSALA LÄN</t>
        </is>
      </c>
      <c r="E234" t="inlineStr">
        <is>
          <t>TIERP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45513-2020</t>
        </is>
      </c>
      <c r="B235" s="1" t="n">
        <v>44085</v>
      </c>
      <c r="C235" s="1" t="n">
        <v>45810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45938-2020</t>
        </is>
      </c>
      <c r="B236" s="1" t="n">
        <v>44088</v>
      </c>
      <c r="C236" s="1" t="n">
        <v>45810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47234-2020</t>
        </is>
      </c>
      <c r="B237" s="1" t="n">
        <v>44097</v>
      </c>
      <c r="C237" s="1" t="n">
        <v>45810</v>
      </c>
      <c r="D237" t="inlineStr">
        <is>
          <t>UPPSALA LÄN</t>
        </is>
      </c>
      <c r="E237" t="inlineStr">
        <is>
          <t>TIERP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49718-2020</t>
        </is>
      </c>
      <c r="B238" s="1" t="n">
        <v>44106</v>
      </c>
      <c r="C238" s="1" t="n">
        <v>45810</v>
      </c>
      <c r="D238" t="inlineStr">
        <is>
          <t>UPPSALA LÄN</t>
        </is>
      </c>
      <c r="E238" t="inlineStr">
        <is>
          <t>TIERP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50677-2020</t>
        </is>
      </c>
      <c r="B239" s="1" t="n">
        <v>44111</v>
      </c>
      <c r="C239" s="1" t="n">
        <v>45810</v>
      </c>
      <c r="D239" t="inlineStr">
        <is>
          <t>UPPSALA LÄN</t>
        </is>
      </c>
      <c r="E239" t="inlineStr">
        <is>
          <t>TIERP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50735-2020</t>
        </is>
      </c>
      <c r="B240" s="1" t="n">
        <v>44111</v>
      </c>
      <c r="C240" s="1" t="n">
        <v>45810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51808-2020</t>
        </is>
      </c>
      <c r="B241" s="1" t="n">
        <v>44116</v>
      </c>
      <c r="C241" s="1" t="n">
        <v>45810</v>
      </c>
      <c r="D241" t="inlineStr">
        <is>
          <t>UPPSALA LÄN</t>
        </is>
      </c>
      <c r="E241" t="inlineStr">
        <is>
          <t>TIERP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53489-2020</t>
        </is>
      </c>
      <c r="B242" s="1" t="n">
        <v>44123</v>
      </c>
      <c r="C242" s="1" t="n">
        <v>45810</v>
      </c>
      <c r="D242" t="inlineStr">
        <is>
          <t>UPPSALA LÄN</t>
        </is>
      </c>
      <c r="E242" t="inlineStr">
        <is>
          <t>TIERP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58242-2020</t>
        </is>
      </c>
      <c r="B243" s="1" t="n">
        <v>44144</v>
      </c>
      <c r="C243" s="1" t="n">
        <v>45810</v>
      </c>
      <c r="D243" t="inlineStr">
        <is>
          <t>UPPSALA LÄN</t>
        </is>
      </c>
      <c r="E243" t="inlineStr">
        <is>
          <t>TIERP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59625-2020</t>
        </is>
      </c>
      <c r="B244" s="1" t="n">
        <v>44150</v>
      </c>
      <c r="C244" s="1" t="n">
        <v>45810</v>
      </c>
      <c r="D244" t="inlineStr">
        <is>
          <t>UPPSALA LÄN</t>
        </is>
      </c>
      <c r="E244" t="inlineStr">
        <is>
          <t>TIERP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59865-2020</t>
        </is>
      </c>
      <c r="B245" s="1" t="n">
        <v>44151</v>
      </c>
      <c r="C245" s="1" t="n">
        <v>45810</v>
      </c>
      <c r="D245" t="inlineStr">
        <is>
          <t>UPPSALA LÄN</t>
        </is>
      </c>
      <c r="E245" t="inlineStr">
        <is>
          <t>TIERP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60769-2020</t>
        </is>
      </c>
      <c r="B246" s="1" t="n">
        <v>44154</v>
      </c>
      <c r="C246" s="1" t="n">
        <v>45810</v>
      </c>
      <c r="D246" t="inlineStr">
        <is>
          <t>UPPSALA LÄN</t>
        </is>
      </c>
      <c r="E246" t="inlineStr">
        <is>
          <t>TIERP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61013-2020</t>
        </is>
      </c>
      <c r="B247" s="1" t="n">
        <v>44154</v>
      </c>
      <c r="C247" s="1" t="n">
        <v>45810</v>
      </c>
      <c r="D247" t="inlineStr">
        <is>
          <t>UPPSALA LÄN</t>
        </is>
      </c>
      <c r="E247" t="inlineStr">
        <is>
          <t>TIERP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61034-2020</t>
        </is>
      </c>
      <c r="B248" s="1" t="n">
        <v>44154</v>
      </c>
      <c r="C248" s="1" t="n">
        <v>45810</v>
      </c>
      <c r="D248" t="inlineStr">
        <is>
          <t>UPPSALA LÄN</t>
        </is>
      </c>
      <c r="E248" t="inlineStr">
        <is>
          <t>TIERP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63260-2020</t>
        </is>
      </c>
      <c r="B249" s="1" t="n">
        <v>44164</v>
      </c>
      <c r="C249" s="1" t="n">
        <v>45810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63504-2020</t>
        </is>
      </c>
      <c r="B250" s="1" t="n">
        <v>44165</v>
      </c>
      <c r="C250" s="1" t="n">
        <v>45810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63912-2020</t>
        </is>
      </c>
      <c r="B251" s="1" t="n">
        <v>44166</v>
      </c>
      <c r="C251" s="1" t="n">
        <v>45810</v>
      </c>
      <c r="D251" t="inlineStr">
        <is>
          <t>UPPSALA LÄN</t>
        </is>
      </c>
      <c r="E251" t="inlineStr">
        <is>
          <t>TIERP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65225-2020</t>
        </is>
      </c>
      <c r="B252" s="1" t="n">
        <v>44172</v>
      </c>
      <c r="C252" s="1" t="n">
        <v>45810</v>
      </c>
      <c r="D252" t="inlineStr">
        <is>
          <t>UPPSALA LÄN</t>
        </is>
      </c>
      <c r="E252" t="inlineStr">
        <is>
          <t>TIERP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65226-2020</t>
        </is>
      </c>
      <c r="B253" s="1" t="n">
        <v>44172</v>
      </c>
      <c r="C253" s="1" t="n">
        <v>45810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249-2021</t>
        </is>
      </c>
      <c r="B254" s="1" t="n">
        <v>44200</v>
      </c>
      <c r="C254" s="1" t="n">
        <v>45810</v>
      </c>
      <c r="D254" t="inlineStr">
        <is>
          <t>UPPSALA LÄN</t>
        </is>
      </c>
      <c r="E254" t="inlineStr">
        <is>
          <t>TIERP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1233-2021</t>
        </is>
      </c>
      <c r="B255" s="1" t="n">
        <v>44208</v>
      </c>
      <c r="C255" s="1" t="n">
        <v>45810</v>
      </c>
      <c r="D255" t="inlineStr">
        <is>
          <t>UPPSALA LÄN</t>
        </is>
      </c>
      <c r="E255" t="inlineStr">
        <is>
          <t>TIERP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1227-2021</t>
        </is>
      </c>
      <c r="B256" s="1" t="n">
        <v>44208</v>
      </c>
      <c r="C256" s="1" t="n">
        <v>45810</v>
      </c>
      <c r="D256" t="inlineStr">
        <is>
          <t>UPPSALA LÄN</t>
        </is>
      </c>
      <c r="E256" t="inlineStr">
        <is>
          <t>TIERP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2157-2021</t>
        </is>
      </c>
      <c r="B257" s="1" t="n">
        <v>44211</v>
      </c>
      <c r="C257" s="1" t="n">
        <v>45810</v>
      </c>
      <c r="D257" t="inlineStr">
        <is>
          <t>UPPSALA LÄN</t>
        </is>
      </c>
      <c r="E257" t="inlineStr">
        <is>
          <t>TIERP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2559-2021</t>
        </is>
      </c>
      <c r="B258" s="1" t="n">
        <v>44214</v>
      </c>
      <c r="C258" s="1" t="n">
        <v>45810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2810-2021</t>
        </is>
      </c>
      <c r="B259" s="1" t="n">
        <v>44215</v>
      </c>
      <c r="C259" s="1" t="n">
        <v>45810</v>
      </c>
      <c r="D259" t="inlineStr">
        <is>
          <t>UPPSALA LÄN</t>
        </is>
      </c>
      <c r="E259" t="inlineStr">
        <is>
          <t>TIERP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3443-2021</t>
        </is>
      </c>
      <c r="B260" s="1" t="n">
        <v>44218</v>
      </c>
      <c r="C260" s="1" t="n">
        <v>45810</v>
      </c>
      <c r="D260" t="inlineStr">
        <is>
          <t>UPPSALA LÄN</t>
        </is>
      </c>
      <c r="E260" t="inlineStr">
        <is>
          <t>TIERP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5857-2021</t>
        </is>
      </c>
      <c r="B261" s="1" t="n">
        <v>44231</v>
      </c>
      <c r="C261" s="1" t="n">
        <v>45810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7036-2021</t>
        </is>
      </c>
      <c r="B262" s="1" t="n">
        <v>44237</v>
      </c>
      <c r="C262" s="1" t="n">
        <v>45810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11937-2021</t>
        </is>
      </c>
      <c r="B263" s="1" t="n">
        <v>44266</v>
      </c>
      <c r="C263" s="1" t="n">
        <v>45810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11932-2021</t>
        </is>
      </c>
      <c r="B264" s="1" t="n">
        <v>44266</v>
      </c>
      <c r="C264" s="1" t="n">
        <v>45810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12591-2021</t>
        </is>
      </c>
      <c r="B265" s="1" t="n">
        <v>44270</v>
      </c>
      <c r="C265" s="1" t="n">
        <v>45810</v>
      </c>
      <c r="D265" t="inlineStr">
        <is>
          <t>UPPSALA LÄN</t>
        </is>
      </c>
      <c r="E265" t="inlineStr">
        <is>
          <t>TIERP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13157-2021</t>
        </is>
      </c>
      <c r="B266" s="1" t="n">
        <v>44272</v>
      </c>
      <c r="C266" s="1" t="n">
        <v>45810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14934-2021</t>
        </is>
      </c>
      <c r="B267" s="1" t="n">
        <v>44281</v>
      </c>
      <c r="C267" s="1" t="n">
        <v>45810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15587-2021</t>
        </is>
      </c>
      <c r="B268" s="1" t="n">
        <v>44285</v>
      </c>
      <c r="C268" s="1" t="n">
        <v>45810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15677-2021</t>
        </is>
      </c>
      <c r="B269" s="1" t="n">
        <v>44286</v>
      </c>
      <c r="C269" s="1" t="n">
        <v>45810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15728-2021</t>
        </is>
      </c>
      <c r="B270" s="1" t="n">
        <v>44286</v>
      </c>
      <c r="C270" s="1" t="n">
        <v>45810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16106-2021</t>
        </is>
      </c>
      <c r="B271" s="1" t="n">
        <v>44290</v>
      </c>
      <c r="C271" s="1" t="n">
        <v>45810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16124-2021</t>
        </is>
      </c>
      <c r="B272" s="1" t="n">
        <v>44291</v>
      </c>
      <c r="C272" s="1" t="n">
        <v>45810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18996-2021</t>
        </is>
      </c>
      <c r="B273" s="1" t="n">
        <v>44308</v>
      </c>
      <c r="C273" s="1" t="n">
        <v>45810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21967-2021</t>
        </is>
      </c>
      <c r="B274" s="1" t="n">
        <v>44323</v>
      </c>
      <c r="C274" s="1" t="n">
        <v>45810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23380-2021</t>
        </is>
      </c>
      <c r="B275" s="1" t="n">
        <v>44333</v>
      </c>
      <c r="C275" s="1" t="n">
        <v>45810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23828-2021</t>
        </is>
      </c>
      <c r="B276" s="1" t="n">
        <v>44335</v>
      </c>
      <c r="C276" s="1" t="n">
        <v>45810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23835-2021</t>
        </is>
      </c>
      <c r="B277" s="1" t="n">
        <v>44335</v>
      </c>
      <c r="C277" s="1" t="n">
        <v>45810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24278-2021</t>
        </is>
      </c>
      <c r="B278" s="1" t="n">
        <v>44337</v>
      </c>
      <c r="C278" s="1" t="n">
        <v>45810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24276-2021</t>
        </is>
      </c>
      <c r="B279" s="1" t="n">
        <v>44337</v>
      </c>
      <c r="C279" s="1" t="n">
        <v>45810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24431-2021</t>
        </is>
      </c>
      <c r="B280" s="1" t="n">
        <v>44337</v>
      </c>
      <c r="C280" s="1" t="n">
        <v>45810</v>
      </c>
      <c r="D280" t="inlineStr">
        <is>
          <t>UPPSALA LÄN</t>
        </is>
      </c>
      <c r="E280" t="inlineStr">
        <is>
          <t>TIERP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26301-2021</t>
        </is>
      </c>
      <c r="B281" s="1" t="n">
        <v>44347</v>
      </c>
      <c r="C281" s="1" t="n">
        <v>45810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28834-2021</t>
        </is>
      </c>
      <c r="B282" s="1" t="n">
        <v>44357</v>
      </c>
      <c r="C282" s="1" t="n">
        <v>45810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29082-2021</t>
        </is>
      </c>
      <c r="B283" s="1" t="n">
        <v>44358</v>
      </c>
      <c r="C283" s="1" t="n">
        <v>45810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29089-2021</t>
        </is>
      </c>
      <c r="B284" s="1" t="n">
        <v>44358</v>
      </c>
      <c r="C284" s="1" t="n">
        <v>45810</v>
      </c>
      <c r="D284" t="inlineStr">
        <is>
          <t>UPPSALA LÄN</t>
        </is>
      </c>
      <c r="E284" t="inlineStr">
        <is>
          <t>TIERP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30742-2021</t>
        </is>
      </c>
      <c r="B285" s="1" t="n">
        <v>44365</v>
      </c>
      <c r="C285" s="1" t="n">
        <v>45810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31099-2021</t>
        </is>
      </c>
      <c r="B286" s="1" t="n">
        <v>44368</v>
      </c>
      <c r="C286" s="1" t="n">
        <v>45810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32207-2021</t>
        </is>
      </c>
      <c r="B287" s="1" t="n">
        <v>44371</v>
      </c>
      <c r="C287" s="1" t="n">
        <v>45810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32995-2021</t>
        </is>
      </c>
      <c r="B288" s="1" t="n">
        <v>44376</v>
      </c>
      <c r="C288" s="1" t="n">
        <v>45810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34648-2021</t>
        </is>
      </c>
      <c r="B289" s="1" t="n">
        <v>44382</v>
      </c>
      <c r="C289" s="1" t="n">
        <v>45810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36069-2021</t>
        </is>
      </c>
      <c r="B290" s="1" t="n">
        <v>44389</v>
      </c>
      <c r="C290" s="1" t="n">
        <v>45810</v>
      </c>
      <c r="D290" t="inlineStr">
        <is>
          <t>UPPSALA LÄN</t>
        </is>
      </c>
      <c r="E290" t="inlineStr">
        <is>
          <t>TIERP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36150-2021</t>
        </is>
      </c>
      <c r="B291" s="1" t="n">
        <v>44389</v>
      </c>
      <c r="C291" s="1" t="n">
        <v>45810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39838-2021</t>
        </is>
      </c>
      <c r="B292" s="1" t="n">
        <v>44417</v>
      </c>
      <c r="C292" s="1" t="n">
        <v>45810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40011-2021</t>
        </is>
      </c>
      <c r="B293" s="1" t="n">
        <v>44418</v>
      </c>
      <c r="C293" s="1" t="n">
        <v>45810</v>
      </c>
      <c r="D293" t="inlineStr">
        <is>
          <t>UPPSALA LÄN</t>
        </is>
      </c>
      <c r="E293" t="inlineStr">
        <is>
          <t>TIERP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40804-2021</t>
        </is>
      </c>
      <c r="B294" s="1" t="n">
        <v>44421</v>
      </c>
      <c r="C294" s="1" t="n">
        <v>45810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40793-2021</t>
        </is>
      </c>
      <c r="B295" s="1" t="n">
        <v>44421</v>
      </c>
      <c r="C295" s="1" t="n">
        <v>45810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42262-2021</t>
        </is>
      </c>
      <c r="B296" s="1" t="n">
        <v>44427</v>
      </c>
      <c r="C296" s="1" t="n">
        <v>45810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43020-2021</t>
        </is>
      </c>
      <c r="B297" s="1" t="n">
        <v>44431</v>
      </c>
      <c r="C297" s="1" t="n">
        <v>45810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44009-2021</t>
        </is>
      </c>
      <c r="B298" s="1" t="n">
        <v>44434</v>
      </c>
      <c r="C298" s="1" t="n">
        <v>45810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44690-2021</t>
        </is>
      </c>
      <c r="B299" s="1" t="n">
        <v>44438</v>
      </c>
      <c r="C299" s="1" t="n">
        <v>45810</v>
      </c>
      <c r="D299" t="inlineStr">
        <is>
          <t>UPPSALA LÄN</t>
        </is>
      </c>
      <c r="E299" t="inlineStr">
        <is>
          <t>TIERP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45146-2021</t>
        </is>
      </c>
      <c r="B300" s="1" t="n">
        <v>44439</v>
      </c>
      <c r="C300" s="1" t="n">
        <v>45810</v>
      </c>
      <c r="D300" t="inlineStr">
        <is>
          <t>UPPSALA LÄN</t>
        </is>
      </c>
      <c r="E300" t="inlineStr">
        <is>
          <t>TIERP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45217-2021</t>
        </is>
      </c>
      <c r="B301" s="1" t="n">
        <v>44439</v>
      </c>
      <c r="C301" s="1" t="n">
        <v>45810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45225-2021</t>
        </is>
      </c>
      <c r="B302" s="1" t="n">
        <v>44439</v>
      </c>
      <c r="C302" s="1" t="n">
        <v>45810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45579-2021</t>
        </is>
      </c>
      <c r="B303" s="1" t="n">
        <v>44440</v>
      </c>
      <c r="C303" s="1" t="n">
        <v>45810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45993-2021</t>
        </is>
      </c>
      <c r="B304" s="1" t="n">
        <v>44441</v>
      </c>
      <c r="C304" s="1" t="n">
        <v>45810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46976-2021</t>
        </is>
      </c>
      <c r="B305" s="1" t="n">
        <v>44446</v>
      </c>
      <c r="C305" s="1" t="n">
        <v>45810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48455-2021</t>
        </is>
      </c>
      <c r="B306" s="1" t="n">
        <v>44452</v>
      </c>
      <c r="C306" s="1" t="n">
        <v>45810</v>
      </c>
      <c r="D306" t="inlineStr">
        <is>
          <t>UPPSALA LÄN</t>
        </is>
      </c>
      <c r="E306" t="inlineStr">
        <is>
          <t>TIERP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48536-2021</t>
        </is>
      </c>
      <c r="B307" s="1" t="n">
        <v>44452</v>
      </c>
      <c r="C307" s="1" t="n">
        <v>45810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48485-2021</t>
        </is>
      </c>
      <c r="B308" s="1" t="n">
        <v>44452</v>
      </c>
      <c r="C308" s="1" t="n">
        <v>45810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48880-2021</t>
        </is>
      </c>
      <c r="B309" s="1" t="n">
        <v>44452</v>
      </c>
      <c r="C309" s="1" t="n">
        <v>45810</v>
      </c>
      <c r="D309" t="inlineStr">
        <is>
          <t>UPPSALA LÄN</t>
        </is>
      </c>
      <c r="E309" t="inlineStr">
        <is>
          <t>TIERP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48970-2021</t>
        </is>
      </c>
      <c r="B310" s="1" t="n">
        <v>44453</v>
      </c>
      <c r="C310" s="1" t="n">
        <v>45810</v>
      </c>
      <c r="D310" t="inlineStr">
        <is>
          <t>UPPSALA LÄN</t>
        </is>
      </c>
      <c r="E310" t="inlineStr">
        <is>
          <t>TIERP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48982-2021</t>
        </is>
      </c>
      <c r="B311" s="1" t="n">
        <v>44453</v>
      </c>
      <c r="C311" s="1" t="n">
        <v>45810</v>
      </c>
      <c r="D311" t="inlineStr">
        <is>
          <t>UPPSALA LÄN</t>
        </is>
      </c>
      <c r="E311" t="inlineStr">
        <is>
          <t>TIERP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49053-2021</t>
        </is>
      </c>
      <c r="B312" s="1" t="n">
        <v>44453</v>
      </c>
      <c r="C312" s="1" t="n">
        <v>45810</v>
      </c>
      <c r="D312" t="inlineStr">
        <is>
          <t>UPPSALA LÄN</t>
        </is>
      </c>
      <c r="E312" t="inlineStr">
        <is>
          <t>TIERP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49061-2021</t>
        </is>
      </c>
      <c r="B313" s="1" t="n">
        <v>44453</v>
      </c>
      <c r="C313" s="1" t="n">
        <v>45810</v>
      </c>
      <c r="D313" t="inlineStr">
        <is>
          <t>UPPSALA LÄN</t>
        </is>
      </c>
      <c r="E313" t="inlineStr">
        <is>
          <t>TIERP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52025-2021</t>
        </is>
      </c>
      <c r="B314" s="1" t="n">
        <v>44463</v>
      </c>
      <c r="C314" s="1" t="n">
        <v>45810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53666-2021</t>
        </is>
      </c>
      <c r="B315" s="1" t="n">
        <v>44469</v>
      </c>
      <c r="C315" s="1" t="n">
        <v>45810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53766-2021</t>
        </is>
      </c>
      <c r="B316" s="1" t="n">
        <v>44469</v>
      </c>
      <c r="C316" s="1" t="n">
        <v>45810</v>
      </c>
      <c r="D316" t="inlineStr">
        <is>
          <t>UPPSALA LÄN</t>
        </is>
      </c>
      <c r="E316" t="inlineStr">
        <is>
          <t>TIERP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53751-2021</t>
        </is>
      </c>
      <c r="B317" s="1" t="n">
        <v>44469</v>
      </c>
      <c r="C317" s="1" t="n">
        <v>45810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55026-2021</t>
        </is>
      </c>
      <c r="B318" s="1" t="n">
        <v>44474</v>
      </c>
      <c r="C318" s="1" t="n">
        <v>45810</v>
      </c>
      <c r="D318" t="inlineStr">
        <is>
          <t>UPPSALA LÄN</t>
        </is>
      </c>
      <c r="E318" t="inlineStr">
        <is>
          <t>TIERP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56498-2021</t>
        </is>
      </c>
      <c r="B319" s="1" t="n">
        <v>44480</v>
      </c>
      <c r="C319" s="1" t="n">
        <v>45810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56509-2021</t>
        </is>
      </c>
      <c r="B320" s="1" t="n">
        <v>44480</v>
      </c>
      <c r="C320" s="1" t="n">
        <v>45810</v>
      </c>
      <c r="D320" t="inlineStr">
        <is>
          <t>UPPSALA LÄN</t>
        </is>
      </c>
      <c r="E320" t="inlineStr">
        <is>
          <t>TIERP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56740-2021</t>
        </is>
      </c>
      <c r="B321" s="1" t="n">
        <v>44481</v>
      </c>
      <c r="C321" s="1" t="n">
        <v>45810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57028-2021</t>
        </is>
      </c>
      <c r="B322" s="1" t="n">
        <v>44482</v>
      </c>
      <c r="C322" s="1" t="n">
        <v>45810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59378-2021</t>
        </is>
      </c>
      <c r="B323" s="1" t="n">
        <v>44491</v>
      </c>
      <c r="C323" s="1" t="n">
        <v>45810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59350-2021</t>
        </is>
      </c>
      <c r="B324" s="1" t="n">
        <v>44491</v>
      </c>
      <c r="C324" s="1" t="n">
        <v>45810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60441-2021</t>
        </is>
      </c>
      <c r="B325" s="1" t="n">
        <v>44496</v>
      </c>
      <c r="C325" s="1" t="n">
        <v>45810</v>
      </c>
      <c r="D325" t="inlineStr">
        <is>
          <t>UPPSALA LÄN</t>
        </is>
      </c>
      <c r="E325" t="inlineStr">
        <is>
          <t>TIERP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60429-2021</t>
        </is>
      </c>
      <c r="B326" s="1" t="n">
        <v>44496</v>
      </c>
      <c r="C326" s="1" t="n">
        <v>45810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60908-2021</t>
        </is>
      </c>
      <c r="B327" s="1" t="n">
        <v>44497</v>
      </c>
      <c r="C327" s="1" t="n">
        <v>45810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62897-2021</t>
        </is>
      </c>
      <c r="B328" s="1" t="n">
        <v>44504</v>
      </c>
      <c r="C328" s="1" t="n">
        <v>45810</v>
      </c>
      <c r="D328" t="inlineStr">
        <is>
          <t>UPPSALA LÄN</t>
        </is>
      </c>
      <c r="E328" t="inlineStr">
        <is>
          <t>TIERP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65255-2021</t>
        </is>
      </c>
      <c r="B329" s="1" t="n">
        <v>44515</v>
      </c>
      <c r="C329" s="1" t="n">
        <v>45810</v>
      </c>
      <c r="D329" t="inlineStr">
        <is>
          <t>UPPSALA LÄN</t>
        </is>
      </c>
      <c r="E329" t="inlineStr">
        <is>
          <t>TIERP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65491-2021</t>
        </is>
      </c>
      <c r="B330" s="1" t="n">
        <v>44516</v>
      </c>
      <c r="C330" s="1" t="n">
        <v>45810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66241-2021</t>
        </is>
      </c>
      <c r="B331" s="1" t="n">
        <v>44518</v>
      </c>
      <c r="C331" s="1" t="n">
        <v>45810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68410-2021</t>
        </is>
      </c>
      <c r="B332" s="1" t="n">
        <v>44529</v>
      </c>
      <c r="C332" s="1" t="n">
        <v>45810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35.5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69841-2021</t>
        </is>
      </c>
      <c r="B333" s="1" t="n">
        <v>44532</v>
      </c>
      <c r="C333" s="1" t="n">
        <v>45810</v>
      </c>
      <c r="D333" t="inlineStr">
        <is>
          <t>UPPSALA LÄN</t>
        </is>
      </c>
      <c r="E333" t="inlineStr">
        <is>
          <t>TIERP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71774-2021</t>
        </is>
      </c>
      <c r="B334" s="1" t="n">
        <v>44543</v>
      </c>
      <c r="C334" s="1" t="n">
        <v>45810</v>
      </c>
      <c r="D334" t="inlineStr">
        <is>
          <t>UPPSALA LÄN</t>
        </is>
      </c>
      <c r="E334" t="inlineStr">
        <is>
          <t>TIERP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72914-2021</t>
        </is>
      </c>
      <c r="B335" s="1" t="n">
        <v>44547</v>
      </c>
      <c r="C335" s="1" t="n">
        <v>45810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72975-2021</t>
        </is>
      </c>
      <c r="B336" s="1" t="n">
        <v>44548</v>
      </c>
      <c r="C336" s="1" t="n">
        <v>45810</v>
      </c>
      <c r="D336" t="inlineStr">
        <is>
          <t>UPPSALA LÄN</t>
        </is>
      </c>
      <c r="E336" t="inlineStr">
        <is>
          <t>TIERP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74473-2021</t>
        </is>
      </c>
      <c r="B337" s="1" t="n">
        <v>44560</v>
      </c>
      <c r="C337" s="1" t="n">
        <v>45810</v>
      </c>
      <c r="D337" t="inlineStr">
        <is>
          <t>UPPSALA LÄN</t>
        </is>
      </c>
      <c r="E337" t="inlineStr">
        <is>
          <t>TIERP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871-2022</t>
        </is>
      </c>
      <c r="B338" s="1" t="n">
        <v>44571</v>
      </c>
      <c r="C338" s="1" t="n">
        <v>45810</v>
      </c>
      <c r="D338" t="inlineStr">
        <is>
          <t>UPPSALA LÄN</t>
        </is>
      </c>
      <c r="E338" t="inlineStr">
        <is>
          <t>TIERP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2248-2022</t>
        </is>
      </c>
      <c r="B339" s="1" t="n">
        <v>44578</v>
      </c>
      <c r="C339" s="1" t="n">
        <v>45810</v>
      </c>
      <c r="D339" t="inlineStr">
        <is>
          <t>UPPSALA LÄN</t>
        </is>
      </c>
      <c r="E339" t="inlineStr">
        <is>
          <t>TIERP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2535-2022</t>
        </is>
      </c>
      <c r="B340" s="1" t="n">
        <v>44579</v>
      </c>
      <c r="C340" s="1" t="n">
        <v>45810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2534-2022</t>
        </is>
      </c>
      <c r="B341" s="1" t="n">
        <v>44579</v>
      </c>
      <c r="C341" s="1" t="n">
        <v>45810</v>
      </c>
      <c r="D341" t="inlineStr">
        <is>
          <t>UPPSALA LÄN</t>
        </is>
      </c>
      <c r="E341" t="inlineStr">
        <is>
          <t>TIERP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2559-2022</t>
        </is>
      </c>
      <c r="B342" s="1" t="n">
        <v>44580</v>
      </c>
      <c r="C342" s="1" t="n">
        <v>45810</v>
      </c>
      <c r="D342" t="inlineStr">
        <is>
          <t>UPPSALA LÄN</t>
        </is>
      </c>
      <c r="E342" t="inlineStr">
        <is>
          <t>TIERP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2771-2022</t>
        </is>
      </c>
      <c r="B343" s="1" t="n">
        <v>44581</v>
      </c>
      <c r="C343" s="1" t="n">
        <v>45810</v>
      </c>
      <c r="D343" t="inlineStr">
        <is>
          <t>UPPSALA LÄN</t>
        </is>
      </c>
      <c r="E343" t="inlineStr">
        <is>
          <t>TIERP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2795-2022</t>
        </is>
      </c>
      <c r="B344" s="1" t="n">
        <v>44581</v>
      </c>
      <c r="C344" s="1" t="n">
        <v>45810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2814-2022</t>
        </is>
      </c>
      <c r="B345" s="1" t="n">
        <v>44581</v>
      </c>
      <c r="C345" s="1" t="n">
        <v>45810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4083-2022</t>
        </is>
      </c>
      <c r="B346" s="1" t="n">
        <v>44588</v>
      </c>
      <c r="C346" s="1" t="n">
        <v>45810</v>
      </c>
      <c r="D346" t="inlineStr">
        <is>
          <t>UPPSALA LÄN</t>
        </is>
      </c>
      <c r="E346" t="inlineStr">
        <is>
          <t>TIERP</t>
        </is>
      </c>
      <c r="G346" t="n">
        <v>26.1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4597-2022</t>
        </is>
      </c>
      <c r="B347" s="1" t="n">
        <v>44592</v>
      </c>
      <c r="C347" s="1" t="n">
        <v>45810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5023-2022</t>
        </is>
      </c>
      <c r="B348" s="1" t="n">
        <v>44593</v>
      </c>
      <c r="C348" s="1" t="n">
        <v>45810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5170-2022</t>
        </is>
      </c>
      <c r="B349" s="1" t="n">
        <v>44594</v>
      </c>
      <c r="C349" s="1" t="n">
        <v>45810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5204-2022</t>
        </is>
      </c>
      <c r="B350" s="1" t="n">
        <v>44594</v>
      </c>
      <c r="C350" s="1" t="n">
        <v>45810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5266-2022</t>
        </is>
      </c>
      <c r="B351" s="1" t="n">
        <v>44594</v>
      </c>
      <c r="C351" s="1" t="n">
        <v>45810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5918-2022</t>
        </is>
      </c>
      <c r="B352" s="1" t="n">
        <v>44597</v>
      </c>
      <c r="C352" s="1" t="n">
        <v>45810</v>
      </c>
      <c r="D352" t="inlineStr">
        <is>
          <t>UPPSALA LÄN</t>
        </is>
      </c>
      <c r="E352" t="inlineStr">
        <is>
          <t>TIERP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6254-2022</t>
        </is>
      </c>
      <c r="B353" s="1" t="n">
        <v>44600</v>
      </c>
      <c r="C353" s="1" t="n">
        <v>45810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7068-2022</t>
        </is>
      </c>
      <c r="B354" s="1" t="n">
        <v>44603</v>
      </c>
      <c r="C354" s="1" t="n">
        <v>45810</v>
      </c>
      <c r="D354" t="inlineStr">
        <is>
          <t>UPPSALA LÄN</t>
        </is>
      </c>
      <c r="E354" t="inlineStr">
        <is>
          <t>TIERP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9288-2022</t>
        </is>
      </c>
      <c r="B355" s="1" t="n">
        <v>44616</v>
      </c>
      <c r="C355" s="1" t="n">
        <v>45810</v>
      </c>
      <c r="D355" t="inlineStr">
        <is>
          <t>UPPSALA LÄN</t>
        </is>
      </c>
      <c r="E355" t="inlineStr">
        <is>
          <t>TIERP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9564-2022</t>
        </is>
      </c>
      <c r="B356" s="1" t="n">
        <v>44617</v>
      </c>
      <c r="C356" s="1" t="n">
        <v>45810</v>
      </c>
      <c r="D356" t="inlineStr">
        <is>
          <t>UPPSALA LÄN</t>
        </is>
      </c>
      <c r="E356" t="inlineStr">
        <is>
          <t>TIERP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9895-2022</t>
        </is>
      </c>
      <c r="B357" s="1" t="n">
        <v>44620</v>
      </c>
      <c r="C357" s="1" t="n">
        <v>45810</v>
      </c>
      <c r="D357" t="inlineStr">
        <is>
          <t>UPPSALA LÄN</t>
        </is>
      </c>
      <c r="E357" t="inlineStr">
        <is>
          <t>TIERP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10783-2022</t>
        </is>
      </c>
      <c r="B358" s="1" t="n">
        <v>44627</v>
      </c>
      <c r="C358" s="1" t="n">
        <v>45810</v>
      </c>
      <c r="D358" t="inlineStr">
        <is>
          <t>UPPSALA LÄN</t>
        </is>
      </c>
      <c r="E358" t="inlineStr">
        <is>
          <t>TIERP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10780-2022</t>
        </is>
      </c>
      <c r="B359" s="1" t="n">
        <v>44627</v>
      </c>
      <c r="C359" s="1" t="n">
        <v>45810</v>
      </c>
      <c r="D359" t="inlineStr">
        <is>
          <t>UPPSALA LÄN</t>
        </is>
      </c>
      <c r="E359" t="inlineStr">
        <is>
          <t>TIERP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10785-2022</t>
        </is>
      </c>
      <c r="B360" s="1" t="n">
        <v>44627</v>
      </c>
      <c r="C360" s="1" t="n">
        <v>45810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10777-2022</t>
        </is>
      </c>
      <c r="B361" s="1" t="n">
        <v>44627</v>
      </c>
      <c r="C361" s="1" t="n">
        <v>45810</v>
      </c>
      <c r="D361" t="inlineStr">
        <is>
          <t>UPPSALA LÄN</t>
        </is>
      </c>
      <c r="E361" t="inlineStr">
        <is>
          <t>TIERP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11529-2022</t>
        </is>
      </c>
      <c r="B362" s="1" t="n">
        <v>44631</v>
      </c>
      <c r="C362" s="1" t="n">
        <v>45810</v>
      </c>
      <c r="D362" t="inlineStr">
        <is>
          <t>UPPSALA LÄN</t>
        </is>
      </c>
      <c r="E362" t="inlineStr">
        <is>
          <t>TIERP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11496-2022</t>
        </is>
      </c>
      <c r="B363" s="1" t="n">
        <v>44631</v>
      </c>
      <c r="C363" s="1" t="n">
        <v>45810</v>
      </c>
      <c r="D363" t="inlineStr">
        <is>
          <t>UPPSALA LÄN</t>
        </is>
      </c>
      <c r="E363" t="inlineStr">
        <is>
          <t>TIERP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11824-2022</t>
        </is>
      </c>
      <c r="B364" s="1" t="n">
        <v>44634</v>
      </c>
      <c r="C364" s="1" t="n">
        <v>45810</v>
      </c>
      <c r="D364" t="inlineStr">
        <is>
          <t>UPPSALA LÄN</t>
        </is>
      </c>
      <c r="E364" t="inlineStr">
        <is>
          <t>TIERP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12189-2022</t>
        </is>
      </c>
      <c r="B365" s="1" t="n">
        <v>44636</v>
      </c>
      <c r="C365" s="1" t="n">
        <v>45810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12194-2022</t>
        </is>
      </c>
      <c r="B366" s="1" t="n">
        <v>44636</v>
      </c>
      <c r="C366" s="1" t="n">
        <v>45810</v>
      </c>
      <c r="D366" t="inlineStr">
        <is>
          <t>UPPSALA LÄN</t>
        </is>
      </c>
      <c r="E366" t="inlineStr">
        <is>
          <t>TIERP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12449-2022</t>
        </is>
      </c>
      <c r="B367" s="1" t="n">
        <v>44638</v>
      </c>
      <c r="C367" s="1" t="n">
        <v>45810</v>
      </c>
      <c r="D367" t="inlineStr">
        <is>
          <t>UPPSALA LÄN</t>
        </is>
      </c>
      <c r="E367" t="inlineStr">
        <is>
          <t>TIERP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12624-2022</t>
        </is>
      </c>
      <c r="B368" s="1" t="n">
        <v>44641</v>
      </c>
      <c r="C368" s="1" t="n">
        <v>45810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13237-2022</t>
        </is>
      </c>
      <c r="B369" s="1" t="n">
        <v>44644</v>
      </c>
      <c r="C369" s="1" t="n">
        <v>45810</v>
      </c>
      <c r="D369" t="inlineStr">
        <is>
          <t>UPPSALA LÄN</t>
        </is>
      </c>
      <c r="E369" t="inlineStr">
        <is>
          <t>TIERP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13656-2022</t>
        </is>
      </c>
      <c r="B370" s="1" t="n">
        <v>44648</v>
      </c>
      <c r="C370" s="1" t="n">
        <v>45810</v>
      </c>
      <c r="D370" t="inlineStr">
        <is>
          <t>UPPSALA LÄN</t>
        </is>
      </c>
      <c r="E370" t="inlineStr">
        <is>
          <t>TIERP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13650-2022</t>
        </is>
      </c>
      <c r="B371" s="1" t="n">
        <v>44648</v>
      </c>
      <c r="C371" s="1" t="n">
        <v>45810</v>
      </c>
      <c r="D371" t="inlineStr">
        <is>
          <t>UPPSALA LÄN</t>
        </is>
      </c>
      <c r="E371" t="inlineStr">
        <is>
          <t>TIERP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14860-2022</t>
        </is>
      </c>
      <c r="B372" s="1" t="n">
        <v>44656</v>
      </c>
      <c r="C372" s="1" t="n">
        <v>45810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16253-2022</t>
        </is>
      </c>
      <c r="B373" s="1" t="n">
        <v>44670</v>
      </c>
      <c r="C373" s="1" t="n">
        <v>45810</v>
      </c>
      <c r="D373" t="inlineStr">
        <is>
          <t>UPPSALA LÄN</t>
        </is>
      </c>
      <c r="E373" t="inlineStr">
        <is>
          <t>TIERP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16556-2022</t>
        </is>
      </c>
      <c r="B374" s="1" t="n">
        <v>44672</v>
      </c>
      <c r="C374" s="1" t="n">
        <v>45810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17158-2022</t>
        </is>
      </c>
      <c r="B375" s="1" t="n">
        <v>44677</v>
      </c>
      <c r="C375" s="1" t="n">
        <v>45810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17074-2022</t>
        </is>
      </c>
      <c r="B376" s="1" t="n">
        <v>44677</v>
      </c>
      <c r="C376" s="1" t="n">
        <v>45810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18097-2022</t>
        </is>
      </c>
      <c r="B377" s="1" t="n">
        <v>44684</v>
      </c>
      <c r="C377" s="1" t="n">
        <v>45810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18130-2022</t>
        </is>
      </c>
      <c r="B378" s="1" t="n">
        <v>44684</v>
      </c>
      <c r="C378" s="1" t="n">
        <v>45810</v>
      </c>
      <c r="D378" t="inlineStr">
        <is>
          <t>UPPSALA LÄN</t>
        </is>
      </c>
      <c r="E378" t="inlineStr">
        <is>
          <t>TIERP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18431-2022</t>
        </is>
      </c>
      <c r="B379" s="1" t="n">
        <v>44686</v>
      </c>
      <c r="C379" s="1" t="n">
        <v>45810</v>
      </c>
      <c r="D379" t="inlineStr">
        <is>
          <t>UPPSALA LÄN</t>
        </is>
      </c>
      <c r="E379" t="inlineStr">
        <is>
          <t>TIERP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18609-2022</t>
        </is>
      </c>
      <c r="B380" s="1" t="n">
        <v>44687</v>
      </c>
      <c r="C380" s="1" t="n">
        <v>45810</v>
      </c>
      <c r="D380" t="inlineStr">
        <is>
          <t>UPPSALA LÄN</t>
        </is>
      </c>
      <c r="E380" t="inlineStr">
        <is>
          <t>TIERP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18781-2022</t>
        </is>
      </c>
      <c r="B381" s="1" t="n">
        <v>44689</v>
      </c>
      <c r="C381" s="1" t="n">
        <v>45810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19840-2022</t>
        </is>
      </c>
      <c r="B382" s="1" t="n">
        <v>44696</v>
      </c>
      <c r="C382" s="1" t="n">
        <v>45810</v>
      </c>
      <c r="D382" t="inlineStr">
        <is>
          <t>UPPSALA LÄN</t>
        </is>
      </c>
      <c r="E382" t="inlineStr">
        <is>
          <t>TIERP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20288-2022</t>
        </is>
      </c>
      <c r="B383" s="1" t="n">
        <v>44698</v>
      </c>
      <c r="C383" s="1" t="n">
        <v>45810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20587-2022</t>
        </is>
      </c>
      <c r="B384" s="1" t="n">
        <v>44700</v>
      </c>
      <c r="C384" s="1" t="n">
        <v>45810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20885-2022</t>
        </is>
      </c>
      <c r="B385" s="1" t="n">
        <v>44701</v>
      </c>
      <c r="C385" s="1" t="n">
        <v>45810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20997-2022</t>
        </is>
      </c>
      <c r="B386" s="1" t="n">
        <v>44701</v>
      </c>
      <c r="C386" s="1" t="n">
        <v>45810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20911-2022</t>
        </is>
      </c>
      <c r="B387" s="1" t="n">
        <v>44701</v>
      </c>
      <c r="C387" s="1" t="n">
        <v>45810</v>
      </c>
      <c r="D387" t="inlineStr">
        <is>
          <t>UPPSALA LÄN</t>
        </is>
      </c>
      <c r="E387" t="inlineStr">
        <is>
          <t>TIERP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21034-2022</t>
        </is>
      </c>
      <c r="B388" s="1" t="n">
        <v>44704</v>
      </c>
      <c r="C388" s="1" t="n">
        <v>45810</v>
      </c>
      <c r="D388" t="inlineStr">
        <is>
          <t>UPPSALA LÄN</t>
        </is>
      </c>
      <c r="E388" t="inlineStr">
        <is>
          <t>TIERP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21047-2022</t>
        </is>
      </c>
      <c r="B389" s="1" t="n">
        <v>44704</v>
      </c>
      <c r="C389" s="1" t="n">
        <v>45810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21017-2022</t>
        </is>
      </c>
      <c r="B390" s="1" t="n">
        <v>44704</v>
      </c>
      <c r="C390" s="1" t="n">
        <v>45810</v>
      </c>
      <c r="D390" t="inlineStr">
        <is>
          <t>UPPSALA LÄN</t>
        </is>
      </c>
      <c r="E390" t="inlineStr">
        <is>
          <t>TIERP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21032-2022</t>
        </is>
      </c>
      <c r="B391" s="1" t="n">
        <v>44704</v>
      </c>
      <c r="C391" s="1" t="n">
        <v>45810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21132-2022</t>
        </is>
      </c>
      <c r="B392" s="1" t="n">
        <v>44704</v>
      </c>
      <c r="C392" s="1" t="n">
        <v>45810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21332-2022</t>
        </is>
      </c>
      <c r="B393" s="1" t="n">
        <v>44705</v>
      </c>
      <c r="C393" s="1" t="n">
        <v>45810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21775-2022</t>
        </is>
      </c>
      <c r="B394" s="1" t="n">
        <v>44708</v>
      </c>
      <c r="C394" s="1" t="n">
        <v>45810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21776-2022</t>
        </is>
      </c>
      <c r="B395" s="1" t="n">
        <v>44708</v>
      </c>
      <c r="C395" s="1" t="n">
        <v>45810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22663-2022</t>
        </is>
      </c>
      <c r="B396" s="1" t="n">
        <v>44713</v>
      </c>
      <c r="C396" s="1" t="n">
        <v>45810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22592-2022</t>
        </is>
      </c>
      <c r="B397" s="1" t="n">
        <v>44713</v>
      </c>
      <c r="C397" s="1" t="n">
        <v>45810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22810-2022</t>
        </is>
      </c>
      <c r="B398" s="1" t="n">
        <v>44715</v>
      </c>
      <c r="C398" s="1" t="n">
        <v>45810</v>
      </c>
      <c r="D398" t="inlineStr">
        <is>
          <t>UPPSALA LÄN</t>
        </is>
      </c>
      <c r="E398" t="inlineStr">
        <is>
          <t>TIERP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23959-2022</t>
        </is>
      </c>
      <c r="B399" s="1" t="n">
        <v>44722</v>
      </c>
      <c r="C399" s="1" t="n">
        <v>45810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24264-2022</t>
        </is>
      </c>
      <c r="B400" s="1" t="n">
        <v>44725</v>
      </c>
      <c r="C400" s="1" t="n">
        <v>45810</v>
      </c>
      <c r="D400" t="inlineStr">
        <is>
          <t>UPPSALA LÄN</t>
        </is>
      </c>
      <c r="E400" t="inlineStr">
        <is>
          <t>TIERP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HYPERLINK("https://klasma.github.io/Logging_0360/knärot/A 24264-2022 karta knärot.png", "A 24264-2022")</f>
        <v/>
      </c>
      <c r="V400">
        <f>HYPERLINK("https://klasma.github.io/Logging_0360/klagomål/A 24264-2022 FSC-klagomål.docx", "A 24264-2022")</f>
        <v/>
      </c>
      <c r="W400">
        <f>HYPERLINK("https://klasma.github.io/Logging_0360/klagomålsmail/A 24264-2022 FSC-klagomål mail.docx", "A 24264-2022")</f>
        <v/>
      </c>
      <c r="X400">
        <f>HYPERLINK("https://klasma.github.io/Logging_0360/tillsyn/A 24264-2022 tillsynsbegäran.docx", "A 24264-2022")</f>
        <v/>
      </c>
      <c r="Y400">
        <f>HYPERLINK("https://klasma.github.io/Logging_0360/tillsynsmail/A 24264-2022 tillsynsbegäran mail.docx", "A 24264-2022")</f>
        <v/>
      </c>
    </row>
    <row r="401" ht="15" customHeight="1">
      <c r="A401" t="inlineStr">
        <is>
          <t>A 24341-2022</t>
        </is>
      </c>
      <c r="B401" s="1" t="n">
        <v>44726</v>
      </c>
      <c r="C401" s="1" t="n">
        <v>45810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24869-2022</t>
        </is>
      </c>
      <c r="B402" s="1" t="n">
        <v>44728</v>
      </c>
      <c r="C402" s="1" t="n">
        <v>45810</v>
      </c>
      <c r="D402" t="inlineStr">
        <is>
          <t>UPPSALA LÄN</t>
        </is>
      </c>
      <c r="E402" t="inlineStr">
        <is>
          <t>TIERP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25476-2022</t>
        </is>
      </c>
      <c r="B403" s="1" t="n">
        <v>44732</v>
      </c>
      <c r="C403" s="1" t="n">
        <v>45810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25958-2022</t>
        </is>
      </c>
      <c r="B404" s="1" t="n">
        <v>44734</v>
      </c>
      <c r="C404" s="1" t="n">
        <v>45810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26111-2022</t>
        </is>
      </c>
      <c r="B405" s="1" t="n">
        <v>44734</v>
      </c>
      <c r="C405" s="1" t="n">
        <v>45810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26161-2022</t>
        </is>
      </c>
      <c r="B406" s="1" t="n">
        <v>44735</v>
      </c>
      <c r="C406" s="1" t="n">
        <v>45810</v>
      </c>
      <c r="D406" t="inlineStr">
        <is>
          <t>UPPSALA LÄN</t>
        </is>
      </c>
      <c r="E406" t="inlineStr">
        <is>
          <t>TIERP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26537-2022</t>
        </is>
      </c>
      <c r="B407" s="1" t="n">
        <v>44739</v>
      </c>
      <c r="C407" s="1" t="n">
        <v>45810</v>
      </c>
      <c r="D407" t="inlineStr">
        <is>
          <t>UPPSALA LÄN</t>
        </is>
      </c>
      <c r="E407" t="inlineStr">
        <is>
          <t>TIERP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26656-2022</t>
        </is>
      </c>
      <c r="B408" s="1" t="n">
        <v>44739</v>
      </c>
      <c r="C408" s="1" t="n">
        <v>45810</v>
      </c>
      <c r="D408" t="inlineStr">
        <is>
          <t>UPPSALA LÄN</t>
        </is>
      </c>
      <c r="E408" t="inlineStr">
        <is>
          <t>TIERP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27533-2022</t>
        </is>
      </c>
      <c r="B409" s="1" t="n">
        <v>44742</v>
      </c>
      <c r="C409" s="1" t="n">
        <v>45810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27838-2022</t>
        </is>
      </c>
      <c r="B410" s="1" t="n">
        <v>44743</v>
      </c>
      <c r="C410" s="1" t="n">
        <v>45810</v>
      </c>
      <c r="D410" t="inlineStr">
        <is>
          <t>UPPSALA LÄN</t>
        </is>
      </c>
      <c r="E410" t="inlineStr">
        <is>
          <t>TIERP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27860-2022</t>
        </is>
      </c>
      <c r="B411" s="1" t="n">
        <v>44743</v>
      </c>
      <c r="C411" s="1" t="n">
        <v>45810</v>
      </c>
      <c r="D411" t="inlineStr">
        <is>
          <t>UPPSALA LÄN</t>
        </is>
      </c>
      <c r="E411" t="inlineStr">
        <is>
          <t>TIERP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28346-2022</t>
        </is>
      </c>
      <c r="B412" s="1" t="n">
        <v>44747</v>
      </c>
      <c r="C412" s="1" t="n">
        <v>45810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28565-2022</t>
        </is>
      </c>
      <c r="B413" s="1" t="n">
        <v>44748</v>
      </c>
      <c r="C413" s="1" t="n">
        <v>45810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28881-2022</t>
        </is>
      </c>
      <c r="B414" s="1" t="n">
        <v>44749</v>
      </c>
      <c r="C414" s="1" t="n">
        <v>45810</v>
      </c>
      <c r="D414" t="inlineStr">
        <is>
          <t>UPPSALA LÄN</t>
        </is>
      </c>
      <c r="E414" t="inlineStr">
        <is>
          <t>TIERP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28915-2022</t>
        </is>
      </c>
      <c r="B415" s="1" t="n">
        <v>44749</v>
      </c>
      <c r="C415" s="1" t="n">
        <v>45810</v>
      </c>
      <c r="D415" t="inlineStr">
        <is>
          <t>UPPSALA LÄN</t>
        </is>
      </c>
      <c r="E415" t="inlineStr">
        <is>
          <t>TIERP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29103-2022</t>
        </is>
      </c>
      <c r="B416" s="1" t="n">
        <v>44750</v>
      </c>
      <c r="C416" s="1" t="n">
        <v>45810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29156-2022</t>
        </is>
      </c>
      <c r="B417" s="1" t="n">
        <v>44750</v>
      </c>
      <c r="C417" s="1" t="n">
        <v>45810</v>
      </c>
      <c r="D417" t="inlineStr">
        <is>
          <t>UPPSALA LÄN</t>
        </is>
      </c>
      <c r="E417" t="inlineStr">
        <is>
          <t>TIERP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29737-2022</t>
        </is>
      </c>
      <c r="B418" s="1" t="n">
        <v>44755</v>
      </c>
      <c r="C418" s="1" t="n">
        <v>45810</v>
      </c>
      <c r="D418" t="inlineStr">
        <is>
          <t>UPPSALA LÄN</t>
        </is>
      </c>
      <c r="E418" t="inlineStr">
        <is>
          <t>TIERP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29899-2022</t>
        </is>
      </c>
      <c r="B419" s="1" t="n">
        <v>44756</v>
      </c>
      <c r="C419" s="1" t="n">
        <v>45810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29981-2022</t>
        </is>
      </c>
      <c r="B420" s="1" t="n">
        <v>44756</v>
      </c>
      <c r="C420" s="1" t="n">
        <v>45810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29983-2022</t>
        </is>
      </c>
      <c r="B421" s="1" t="n">
        <v>44756</v>
      </c>
      <c r="C421" s="1" t="n">
        <v>45810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31094-2022</t>
        </is>
      </c>
      <c r="B422" s="1" t="n">
        <v>44769</v>
      </c>
      <c r="C422" s="1" t="n">
        <v>45810</v>
      </c>
      <c r="D422" t="inlineStr">
        <is>
          <t>UPPSALA LÄN</t>
        </is>
      </c>
      <c r="E422" t="inlineStr">
        <is>
          <t>TIERP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31103-2022</t>
        </is>
      </c>
      <c r="B423" s="1" t="n">
        <v>44769</v>
      </c>
      <c r="C423" s="1" t="n">
        <v>45810</v>
      </c>
      <c r="D423" t="inlineStr">
        <is>
          <t>UPPSALA LÄN</t>
        </is>
      </c>
      <c r="E423" t="inlineStr">
        <is>
          <t>TIERP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32090-2022</t>
        </is>
      </c>
      <c r="B424" s="1" t="n">
        <v>44778</v>
      </c>
      <c r="C424" s="1" t="n">
        <v>45810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32092-2022</t>
        </is>
      </c>
      <c r="B425" s="1" t="n">
        <v>44778</v>
      </c>
      <c r="C425" s="1" t="n">
        <v>45810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32089-2022</t>
        </is>
      </c>
      <c r="B426" s="1" t="n">
        <v>44778</v>
      </c>
      <c r="C426" s="1" t="n">
        <v>45810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32190-2022</t>
        </is>
      </c>
      <c r="B427" s="1" t="n">
        <v>44781</v>
      </c>
      <c r="C427" s="1" t="n">
        <v>45810</v>
      </c>
      <c r="D427" t="inlineStr">
        <is>
          <t>UPPSALA LÄN</t>
        </is>
      </c>
      <c r="E427" t="inlineStr">
        <is>
          <t>TIERP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32326-2022</t>
        </is>
      </c>
      <c r="B428" s="1" t="n">
        <v>44781</v>
      </c>
      <c r="C428" s="1" t="n">
        <v>45810</v>
      </c>
      <c r="D428" t="inlineStr">
        <is>
          <t>UPPSALA LÄN</t>
        </is>
      </c>
      <c r="E428" t="inlineStr">
        <is>
          <t>TIERP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33286-2022</t>
        </is>
      </c>
      <c r="B429" s="1" t="n">
        <v>44788</v>
      </c>
      <c r="C429" s="1" t="n">
        <v>45810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33890-2022</t>
        </is>
      </c>
      <c r="B430" s="1" t="n">
        <v>44790</v>
      </c>
      <c r="C430" s="1" t="n">
        <v>45810</v>
      </c>
      <c r="D430" t="inlineStr">
        <is>
          <t>UPPSALA LÄN</t>
        </is>
      </c>
      <c r="E430" t="inlineStr">
        <is>
          <t>TIERP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34460-2022</t>
        </is>
      </c>
      <c r="B431" s="1" t="n">
        <v>44792</v>
      </c>
      <c r="C431" s="1" t="n">
        <v>45810</v>
      </c>
      <c r="D431" t="inlineStr">
        <is>
          <t>UPPSALA LÄN</t>
        </is>
      </c>
      <c r="E431" t="inlineStr">
        <is>
          <t>TIERP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36549-2022</t>
        </is>
      </c>
      <c r="B432" s="1" t="n">
        <v>44804</v>
      </c>
      <c r="C432" s="1" t="n">
        <v>45810</v>
      </c>
      <c r="D432" t="inlineStr">
        <is>
          <t>UPPSALA LÄN</t>
        </is>
      </c>
      <c r="E432" t="inlineStr">
        <is>
          <t>TIERP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36561-2022</t>
        </is>
      </c>
      <c r="B433" s="1" t="n">
        <v>44804</v>
      </c>
      <c r="C433" s="1" t="n">
        <v>45810</v>
      </c>
      <c r="D433" t="inlineStr">
        <is>
          <t>UPPSALA LÄN</t>
        </is>
      </c>
      <c r="E433" t="inlineStr">
        <is>
          <t>TIERP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37938-2022</t>
        </is>
      </c>
      <c r="B434" s="1" t="n">
        <v>44811</v>
      </c>
      <c r="C434" s="1" t="n">
        <v>45810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39802-2022</t>
        </is>
      </c>
      <c r="B435" s="1" t="n">
        <v>44819</v>
      </c>
      <c r="C435" s="1" t="n">
        <v>45810</v>
      </c>
      <c r="D435" t="inlineStr">
        <is>
          <t>UPPSALA LÄN</t>
        </is>
      </c>
      <c r="E435" t="inlineStr">
        <is>
          <t>TIERP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39903-2022</t>
        </is>
      </c>
      <c r="B436" s="1" t="n">
        <v>44819</v>
      </c>
      <c r="C436" s="1" t="n">
        <v>45810</v>
      </c>
      <c r="D436" t="inlineStr">
        <is>
          <t>UPPSALA LÄN</t>
        </is>
      </c>
      <c r="E436" t="inlineStr">
        <is>
          <t>TIERP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40765-2022</t>
        </is>
      </c>
      <c r="B437" s="1" t="n">
        <v>44824</v>
      </c>
      <c r="C437" s="1" t="n">
        <v>45810</v>
      </c>
      <c r="D437" t="inlineStr">
        <is>
          <t>UPPSALA LÄN</t>
        </is>
      </c>
      <c r="E437" t="inlineStr">
        <is>
          <t>TIERP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41971-2022</t>
        </is>
      </c>
      <c r="B438" s="1" t="n">
        <v>44827</v>
      </c>
      <c r="C438" s="1" t="n">
        <v>45810</v>
      </c>
      <c r="D438" t="inlineStr">
        <is>
          <t>UPPSALA LÄN</t>
        </is>
      </c>
      <c r="E438" t="inlineStr">
        <is>
          <t>TIERP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43713-2022</t>
        </is>
      </c>
      <c r="B439" s="1" t="n">
        <v>44837</v>
      </c>
      <c r="C439" s="1" t="n">
        <v>45810</v>
      </c>
      <c r="D439" t="inlineStr">
        <is>
          <t>UPPSALA LÄN</t>
        </is>
      </c>
      <c r="E439" t="inlineStr">
        <is>
          <t>TIERP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43680-2022</t>
        </is>
      </c>
      <c r="B440" s="1" t="n">
        <v>44837</v>
      </c>
      <c r="C440" s="1" t="n">
        <v>45810</v>
      </c>
      <c r="D440" t="inlineStr">
        <is>
          <t>UPPSALA LÄN</t>
        </is>
      </c>
      <c r="E440" t="inlineStr">
        <is>
          <t>TIERP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44946-2022</t>
        </is>
      </c>
      <c r="B441" s="1" t="n">
        <v>44841</v>
      </c>
      <c r="C441" s="1" t="n">
        <v>45810</v>
      </c>
      <c r="D441" t="inlineStr">
        <is>
          <t>UPPSALA LÄN</t>
        </is>
      </c>
      <c r="E441" t="inlineStr">
        <is>
          <t>TIERP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45057-2022</t>
        </is>
      </c>
      <c r="B442" s="1" t="n">
        <v>44841</v>
      </c>
      <c r="C442" s="1" t="n">
        <v>45810</v>
      </c>
      <c r="D442" t="inlineStr">
        <is>
          <t>UPPSALA LÄN</t>
        </is>
      </c>
      <c r="E442" t="inlineStr">
        <is>
          <t>TIERP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46681-2022</t>
        </is>
      </c>
      <c r="B443" s="1" t="n">
        <v>44843</v>
      </c>
      <c r="C443" s="1" t="n">
        <v>45810</v>
      </c>
      <c r="D443" t="inlineStr">
        <is>
          <t>UPPSALA LÄN</t>
        </is>
      </c>
      <c r="E443" t="inlineStr">
        <is>
          <t>TIERP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45516-2022</t>
        </is>
      </c>
      <c r="B444" s="1" t="n">
        <v>44845</v>
      </c>
      <c r="C444" s="1" t="n">
        <v>45810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28.1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45769-2022</t>
        </is>
      </c>
      <c r="B445" s="1" t="n">
        <v>44846</v>
      </c>
      <c r="C445" s="1" t="n">
        <v>45810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46275-2022</t>
        </is>
      </c>
      <c r="B446" s="1" t="n">
        <v>44847</v>
      </c>
      <c r="C446" s="1" t="n">
        <v>45810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47419-2022</t>
        </is>
      </c>
      <c r="B447" s="1" t="n">
        <v>44853</v>
      </c>
      <c r="C447" s="1" t="n">
        <v>45810</v>
      </c>
      <c r="D447" t="inlineStr">
        <is>
          <t>UPPSALA LÄN</t>
        </is>
      </c>
      <c r="E447" t="inlineStr">
        <is>
          <t>TIERP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47414-2022</t>
        </is>
      </c>
      <c r="B448" s="1" t="n">
        <v>44853</v>
      </c>
      <c r="C448" s="1" t="n">
        <v>45810</v>
      </c>
      <c r="D448" t="inlineStr">
        <is>
          <t>UPPSALA LÄN</t>
        </is>
      </c>
      <c r="E448" t="inlineStr">
        <is>
          <t>TIERP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47422-2022</t>
        </is>
      </c>
      <c r="B449" s="1" t="n">
        <v>44853</v>
      </c>
      <c r="C449" s="1" t="n">
        <v>45810</v>
      </c>
      <c r="D449" t="inlineStr">
        <is>
          <t>UPPSALA LÄN</t>
        </is>
      </c>
      <c r="E449" t="inlineStr">
        <is>
          <t>TIERP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48483-2022</t>
        </is>
      </c>
      <c r="B450" s="1" t="n">
        <v>44858</v>
      </c>
      <c r="C450" s="1" t="n">
        <v>45810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48486-2022</t>
        </is>
      </c>
      <c r="B451" s="1" t="n">
        <v>44858</v>
      </c>
      <c r="C451" s="1" t="n">
        <v>45810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48403-2022</t>
        </is>
      </c>
      <c r="B452" s="1" t="n">
        <v>44858</v>
      </c>
      <c r="C452" s="1" t="n">
        <v>45810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48575-2022</t>
        </is>
      </c>
      <c r="B453" s="1" t="n">
        <v>44859</v>
      </c>
      <c r="C453" s="1" t="n">
        <v>45810</v>
      </c>
      <c r="D453" t="inlineStr">
        <is>
          <t>UPPSALA LÄN</t>
        </is>
      </c>
      <c r="E453" t="inlineStr">
        <is>
          <t>TIERP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48568-2022</t>
        </is>
      </c>
      <c r="B454" s="1" t="n">
        <v>44859</v>
      </c>
      <c r="C454" s="1" t="n">
        <v>45810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48750-2022</t>
        </is>
      </c>
      <c r="B455" s="1" t="n">
        <v>44859</v>
      </c>
      <c r="C455" s="1" t="n">
        <v>45810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49314-2022</t>
        </is>
      </c>
      <c r="B456" s="1" t="n">
        <v>44861</v>
      </c>
      <c r="C456" s="1" t="n">
        <v>45810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49946-2022</t>
        </is>
      </c>
      <c r="B457" s="1" t="n">
        <v>44865</v>
      </c>
      <c r="C457" s="1" t="n">
        <v>45810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49933-2022</t>
        </is>
      </c>
      <c r="B458" s="1" t="n">
        <v>44865</v>
      </c>
      <c r="C458" s="1" t="n">
        <v>45810</v>
      </c>
      <c r="D458" t="inlineStr">
        <is>
          <t>UPPSALA LÄN</t>
        </is>
      </c>
      <c r="E458" t="inlineStr">
        <is>
          <t>TIERP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50040-2022</t>
        </is>
      </c>
      <c r="B459" s="1" t="n">
        <v>44865</v>
      </c>
      <c r="C459" s="1" t="n">
        <v>45810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51232-2022</t>
        </is>
      </c>
      <c r="B460" s="1" t="n">
        <v>44868</v>
      </c>
      <c r="C460" s="1" t="n">
        <v>45810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21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51606-2022</t>
        </is>
      </c>
      <c r="B461" s="1" t="n">
        <v>44871</v>
      </c>
      <c r="C461" s="1" t="n">
        <v>45810</v>
      </c>
      <c r="D461" t="inlineStr">
        <is>
          <t>UPPSALA LÄN</t>
        </is>
      </c>
      <c r="E461" t="inlineStr">
        <is>
          <t>TIERP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52388-2022</t>
        </is>
      </c>
      <c r="B462" s="1" t="n">
        <v>44874</v>
      </c>
      <c r="C462" s="1" t="n">
        <v>45810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53819-2022</t>
        </is>
      </c>
      <c r="B463" s="1" t="n">
        <v>44880</v>
      </c>
      <c r="C463" s="1" t="n">
        <v>45810</v>
      </c>
      <c r="D463" t="inlineStr">
        <is>
          <t>UPPSALA LÄN</t>
        </is>
      </c>
      <c r="E463" t="inlineStr">
        <is>
          <t>TIERP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53784-2022</t>
        </is>
      </c>
      <c r="B464" s="1" t="n">
        <v>44880</v>
      </c>
      <c r="C464" s="1" t="n">
        <v>45810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53813-2022</t>
        </is>
      </c>
      <c r="B465" s="1" t="n">
        <v>44880</v>
      </c>
      <c r="C465" s="1" t="n">
        <v>45810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54041-2022</t>
        </is>
      </c>
      <c r="B466" s="1" t="n">
        <v>44881</v>
      </c>
      <c r="C466" s="1" t="n">
        <v>45810</v>
      </c>
      <c r="D466" t="inlineStr">
        <is>
          <t>UPPSALA LÄN</t>
        </is>
      </c>
      <c r="E466" t="inlineStr">
        <is>
          <t>TIERP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54764-2022</t>
        </is>
      </c>
      <c r="B467" s="1" t="n">
        <v>44883</v>
      </c>
      <c r="C467" s="1" t="n">
        <v>45810</v>
      </c>
      <c r="D467" t="inlineStr">
        <is>
          <t>UPPSALA LÄN</t>
        </is>
      </c>
      <c r="E467" t="inlineStr">
        <is>
          <t>TIERP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54952-2022</t>
        </is>
      </c>
      <c r="B468" s="1" t="n">
        <v>44886</v>
      </c>
      <c r="C468" s="1" t="n">
        <v>45810</v>
      </c>
      <c r="D468" t="inlineStr">
        <is>
          <t>UPPSALA LÄN</t>
        </is>
      </c>
      <c r="E468" t="inlineStr">
        <is>
          <t>TIERP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55423-2022</t>
        </is>
      </c>
      <c r="B469" s="1" t="n">
        <v>44887</v>
      </c>
      <c r="C469" s="1" t="n">
        <v>45810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55508-2022</t>
        </is>
      </c>
      <c r="B470" s="1" t="n">
        <v>44887</v>
      </c>
      <c r="C470" s="1" t="n">
        <v>45810</v>
      </c>
      <c r="D470" t="inlineStr">
        <is>
          <t>UPPSALA LÄN</t>
        </is>
      </c>
      <c r="E470" t="inlineStr">
        <is>
          <t>TIERP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56558-2022</t>
        </is>
      </c>
      <c r="B471" s="1" t="n">
        <v>44887</v>
      </c>
      <c r="C471" s="1" t="n">
        <v>45810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55566-2022</t>
        </is>
      </c>
      <c r="B472" s="1" t="n">
        <v>44888</v>
      </c>
      <c r="C472" s="1" t="n">
        <v>45810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56350-2022</t>
        </is>
      </c>
      <c r="B473" s="1" t="n">
        <v>44890</v>
      </c>
      <c r="C473" s="1" t="n">
        <v>45810</v>
      </c>
      <c r="D473" t="inlineStr">
        <is>
          <t>UPPSALA LÄN</t>
        </is>
      </c>
      <c r="E473" t="inlineStr">
        <is>
          <t>TIERP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56438-2022</t>
        </is>
      </c>
      <c r="B474" s="1" t="n">
        <v>44892</v>
      </c>
      <c r="C474" s="1" t="n">
        <v>45810</v>
      </c>
      <c r="D474" t="inlineStr">
        <is>
          <t>UPPSALA LÄN</t>
        </is>
      </c>
      <c r="E474" t="inlineStr">
        <is>
          <t>TIERP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56966-2022</t>
        </is>
      </c>
      <c r="B475" s="1" t="n">
        <v>44894</v>
      </c>
      <c r="C475" s="1" t="n">
        <v>45810</v>
      </c>
      <c r="D475" t="inlineStr">
        <is>
          <t>UPPSALA LÄN</t>
        </is>
      </c>
      <c r="E475" t="inlineStr">
        <is>
          <t>TIERP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56972-2022</t>
        </is>
      </c>
      <c r="B476" s="1" t="n">
        <v>44894</v>
      </c>
      <c r="C476" s="1" t="n">
        <v>45810</v>
      </c>
      <c r="D476" t="inlineStr">
        <is>
          <t>UPPSALA LÄN</t>
        </is>
      </c>
      <c r="E476" t="inlineStr">
        <is>
          <t>TIERP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56877-2022</t>
        </is>
      </c>
      <c r="B477" s="1" t="n">
        <v>44894</v>
      </c>
      <c r="C477" s="1" t="n">
        <v>45810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56947-2022</t>
        </is>
      </c>
      <c r="B478" s="1" t="n">
        <v>44894</v>
      </c>
      <c r="C478" s="1" t="n">
        <v>45810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57532-2022</t>
        </is>
      </c>
      <c r="B479" s="1" t="n">
        <v>44896</v>
      </c>
      <c r="C479" s="1" t="n">
        <v>45810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57536-2022</t>
        </is>
      </c>
      <c r="B480" s="1" t="n">
        <v>44896</v>
      </c>
      <c r="C480" s="1" t="n">
        <v>45810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58120-2022</t>
        </is>
      </c>
      <c r="B481" s="1" t="n">
        <v>44900</v>
      </c>
      <c r="C481" s="1" t="n">
        <v>45810</v>
      </c>
      <c r="D481" t="inlineStr">
        <is>
          <t>UPPSALA LÄN</t>
        </is>
      </c>
      <c r="E481" t="inlineStr">
        <is>
          <t>TIERP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58058-2022</t>
        </is>
      </c>
      <c r="B482" s="1" t="n">
        <v>44900</v>
      </c>
      <c r="C482" s="1" t="n">
        <v>45810</v>
      </c>
      <c r="D482" t="inlineStr">
        <is>
          <t>UPPSALA LÄN</t>
        </is>
      </c>
      <c r="E482" t="inlineStr">
        <is>
          <t>TIERP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58080-2022</t>
        </is>
      </c>
      <c r="B483" s="1" t="n">
        <v>44900</v>
      </c>
      <c r="C483" s="1" t="n">
        <v>45810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58222-2022</t>
        </is>
      </c>
      <c r="B484" s="1" t="n">
        <v>44901</v>
      </c>
      <c r="C484" s="1" t="n">
        <v>45810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58691-2022</t>
        </is>
      </c>
      <c r="B485" s="1" t="n">
        <v>44902</v>
      </c>
      <c r="C485" s="1" t="n">
        <v>45810</v>
      </c>
      <c r="D485" t="inlineStr">
        <is>
          <t>UPPSALA LÄN</t>
        </is>
      </c>
      <c r="E485" t="inlineStr">
        <is>
          <t>TIERP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58957-2022</t>
        </is>
      </c>
      <c r="B486" s="1" t="n">
        <v>44903</v>
      </c>
      <c r="C486" s="1" t="n">
        <v>45810</v>
      </c>
      <c r="D486" t="inlineStr">
        <is>
          <t>UPPSALA LÄN</t>
        </is>
      </c>
      <c r="E486" t="inlineStr">
        <is>
          <t>TIERP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59393-2022</t>
        </is>
      </c>
      <c r="B487" s="1" t="n">
        <v>44906</v>
      </c>
      <c r="C487" s="1" t="n">
        <v>45810</v>
      </c>
      <c r="D487" t="inlineStr">
        <is>
          <t>UPPSALA LÄN</t>
        </is>
      </c>
      <c r="E487" t="inlineStr">
        <is>
          <t>TIERP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59394-2022</t>
        </is>
      </c>
      <c r="B488" s="1" t="n">
        <v>44906</v>
      </c>
      <c r="C488" s="1" t="n">
        <v>45810</v>
      </c>
      <c r="D488" t="inlineStr">
        <is>
          <t>UPPSALA LÄN</t>
        </is>
      </c>
      <c r="E488" t="inlineStr">
        <is>
          <t>TIERP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59534-2022</t>
        </is>
      </c>
      <c r="B489" s="1" t="n">
        <v>44907</v>
      </c>
      <c r="C489" s="1" t="n">
        <v>45810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59589-2022</t>
        </is>
      </c>
      <c r="B490" s="1" t="n">
        <v>44907</v>
      </c>
      <c r="C490" s="1" t="n">
        <v>45810</v>
      </c>
      <c r="D490" t="inlineStr">
        <is>
          <t>UPPSALA LÄN</t>
        </is>
      </c>
      <c r="E490" t="inlineStr">
        <is>
          <t>TIERP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59731-2022</t>
        </is>
      </c>
      <c r="B491" s="1" t="n">
        <v>44908</v>
      </c>
      <c r="C491" s="1" t="n">
        <v>45810</v>
      </c>
      <c r="D491" t="inlineStr">
        <is>
          <t>UPPSALA LÄN</t>
        </is>
      </c>
      <c r="E491" t="inlineStr">
        <is>
          <t>TIERP</t>
        </is>
      </c>
      <c r="F491" t="inlineStr">
        <is>
          <t>Kyrkan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60154-2022</t>
        </is>
      </c>
      <c r="B492" s="1" t="n">
        <v>44909</v>
      </c>
      <c r="C492" s="1" t="n">
        <v>45810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60151-2022</t>
        </is>
      </c>
      <c r="B493" s="1" t="n">
        <v>44909</v>
      </c>
      <c r="C493" s="1" t="n">
        <v>45810</v>
      </c>
      <c r="D493" t="inlineStr">
        <is>
          <t>UPPSALA LÄN</t>
        </is>
      </c>
      <c r="E493" t="inlineStr">
        <is>
          <t>TIERP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60505-2022</t>
        </is>
      </c>
      <c r="B494" s="1" t="n">
        <v>44911</v>
      </c>
      <c r="C494" s="1" t="n">
        <v>45810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61615-2022</t>
        </is>
      </c>
      <c r="B495" s="1" t="n">
        <v>44916</v>
      </c>
      <c r="C495" s="1" t="n">
        <v>45810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61617-2022</t>
        </is>
      </c>
      <c r="B496" s="1" t="n">
        <v>44916</v>
      </c>
      <c r="C496" s="1" t="n">
        <v>45810</v>
      </c>
      <c r="D496" t="inlineStr">
        <is>
          <t>UPPSALA LÄN</t>
        </is>
      </c>
      <c r="E496" t="inlineStr">
        <is>
          <t>TIERP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61694-2022</t>
        </is>
      </c>
      <c r="B497" s="1" t="n">
        <v>44917</v>
      </c>
      <c r="C497" s="1" t="n">
        <v>45810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61715-2022</t>
        </is>
      </c>
      <c r="B498" s="1" t="n">
        <v>44917</v>
      </c>
      <c r="C498" s="1" t="n">
        <v>45810</v>
      </c>
      <c r="D498" t="inlineStr">
        <is>
          <t>UPPSALA LÄN</t>
        </is>
      </c>
      <c r="E498" t="inlineStr">
        <is>
          <t>TIERP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61717-2022</t>
        </is>
      </c>
      <c r="B499" s="1" t="n">
        <v>44917</v>
      </c>
      <c r="C499" s="1" t="n">
        <v>45810</v>
      </c>
      <c r="D499" t="inlineStr">
        <is>
          <t>UPPSALA LÄN</t>
        </is>
      </c>
      <c r="E499" t="inlineStr">
        <is>
          <t>TIERP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62138-2022</t>
        </is>
      </c>
      <c r="B500" s="1" t="n">
        <v>44922</v>
      </c>
      <c r="C500" s="1" t="n">
        <v>45810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439-2023</t>
        </is>
      </c>
      <c r="B501" s="1" t="n">
        <v>44924</v>
      </c>
      <c r="C501" s="1" t="n">
        <v>45810</v>
      </c>
      <c r="D501" t="inlineStr">
        <is>
          <t>UPPSALA LÄN</t>
        </is>
      </c>
      <c r="E501" t="inlineStr">
        <is>
          <t>TIERP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437-2023</t>
        </is>
      </c>
      <c r="B502" s="1" t="n">
        <v>44924</v>
      </c>
      <c r="C502" s="1" t="n">
        <v>45810</v>
      </c>
      <c r="D502" t="inlineStr">
        <is>
          <t>UPPSALA LÄN</t>
        </is>
      </c>
      <c r="E502" t="inlineStr">
        <is>
          <t>TIERP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73-2023</t>
        </is>
      </c>
      <c r="B503" s="1" t="n">
        <v>44928</v>
      </c>
      <c r="C503" s="1" t="n">
        <v>45810</v>
      </c>
      <c r="D503" t="inlineStr">
        <is>
          <t>UPPSALA LÄN</t>
        </is>
      </c>
      <c r="E503" t="inlineStr">
        <is>
          <t>TIERP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319-2023</t>
        </is>
      </c>
      <c r="B504" s="1" t="n">
        <v>44929</v>
      </c>
      <c r="C504" s="1" t="n">
        <v>45810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1384-2023</t>
        </is>
      </c>
      <c r="B505" s="1" t="n">
        <v>44936</v>
      </c>
      <c r="C505" s="1" t="n">
        <v>45810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1383-2023</t>
        </is>
      </c>
      <c r="B506" s="1" t="n">
        <v>44936</v>
      </c>
      <c r="C506" s="1" t="n">
        <v>45810</v>
      </c>
      <c r="D506" t="inlineStr">
        <is>
          <t>UPPSALA LÄN</t>
        </is>
      </c>
      <c r="E506" t="inlineStr">
        <is>
          <t>TIERP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1572-2023</t>
        </is>
      </c>
      <c r="B507" s="1" t="n">
        <v>44937</v>
      </c>
      <c r="C507" s="1" t="n">
        <v>45810</v>
      </c>
      <c r="D507" t="inlineStr">
        <is>
          <t>UPPSALA LÄN</t>
        </is>
      </c>
      <c r="E507" t="inlineStr">
        <is>
          <t>TIERP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2102-2023</t>
        </is>
      </c>
      <c r="B508" s="1" t="n">
        <v>44939</v>
      </c>
      <c r="C508" s="1" t="n">
        <v>45810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2266-2023</t>
        </is>
      </c>
      <c r="B509" s="1" t="n">
        <v>44942</v>
      </c>
      <c r="C509" s="1" t="n">
        <v>45810</v>
      </c>
      <c r="D509" t="inlineStr">
        <is>
          <t>UPPSALA LÄN</t>
        </is>
      </c>
      <c r="E509" t="inlineStr">
        <is>
          <t>TIERP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2735-2023</t>
        </is>
      </c>
      <c r="B510" s="1" t="n">
        <v>44944</v>
      </c>
      <c r="C510" s="1" t="n">
        <v>45810</v>
      </c>
      <c r="D510" t="inlineStr">
        <is>
          <t>UPPSALA LÄN</t>
        </is>
      </c>
      <c r="E510" t="inlineStr">
        <is>
          <t>TIERP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2899-2023</t>
        </is>
      </c>
      <c r="B511" s="1" t="n">
        <v>44945</v>
      </c>
      <c r="C511" s="1" t="n">
        <v>45810</v>
      </c>
      <c r="D511" t="inlineStr">
        <is>
          <t>UPPSALA LÄN</t>
        </is>
      </c>
      <c r="E511" t="inlineStr">
        <is>
          <t>TIERP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2902-2023</t>
        </is>
      </c>
      <c r="B512" s="1" t="n">
        <v>44945</v>
      </c>
      <c r="C512" s="1" t="n">
        <v>45810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2901-2023</t>
        </is>
      </c>
      <c r="B513" s="1" t="n">
        <v>44945</v>
      </c>
      <c r="C513" s="1" t="n">
        <v>45810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3545-2023</t>
        </is>
      </c>
      <c r="B514" s="1" t="n">
        <v>44950</v>
      </c>
      <c r="C514" s="1" t="n">
        <v>45810</v>
      </c>
      <c r="D514" t="inlineStr">
        <is>
          <t>UPPSALA LÄN</t>
        </is>
      </c>
      <c r="E514" t="inlineStr">
        <is>
          <t>TIERP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3561-2023</t>
        </is>
      </c>
      <c r="B515" s="1" t="n">
        <v>44950</v>
      </c>
      <c r="C515" s="1" t="n">
        <v>45810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4276-2023</t>
        </is>
      </c>
      <c r="B516" s="1" t="n">
        <v>44953</v>
      </c>
      <c r="C516" s="1" t="n">
        <v>45810</v>
      </c>
      <c r="D516" t="inlineStr">
        <is>
          <t>UPPSALA LÄN</t>
        </is>
      </c>
      <c r="E516" t="inlineStr">
        <is>
          <t>TIERP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4329-2023</t>
        </is>
      </c>
      <c r="B517" s="1" t="n">
        <v>44953</v>
      </c>
      <c r="C517" s="1" t="n">
        <v>45810</v>
      </c>
      <c r="D517" t="inlineStr">
        <is>
          <t>UPPSALA LÄN</t>
        </is>
      </c>
      <c r="E517" t="inlineStr">
        <is>
          <t>TIERP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4409-2023</t>
        </is>
      </c>
      <c r="B518" s="1" t="n">
        <v>44956</v>
      </c>
      <c r="C518" s="1" t="n">
        <v>45810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4531-2023</t>
        </is>
      </c>
      <c r="B519" s="1" t="n">
        <v>44956</v>
      </c>
      <c r="C519" s="1" t="n">
        <v>45810</v>
      </c>
      <c r="D519" t="inlineStr">
        <is>
          <t>UPPSALA LÄN</t>
        </is>
      </c>
      <c r="E519" t="inlineStr">
        <is>
          <t>TIERP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4511-2023</t>
        </is>
      </c>
      <c r="B520" s="1" t="n">
        <v>44956</v>
      </c>
      <c r="C520" s="1" t="n">
        <v>45810</v>
      </c>
      <c r="D520" t="inlineStr">
        <is>
          <t>UPPSALA LÄN</t>
        </is>
      </c>
      <c r="E520" t="inlineStr">
        <is>
          <t>TIERP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4530-2023</t>
        </is>
      </c>
      <c r="B521" s="1" t="n">
        <v>44956</v>
      </c>
      <c r="C521" s="1" t="n">
        <v>45810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5289-2023</t>
        </is>
      </c>
      <c r="B522" s="1" t="n">
        <v>44959</v>
      </c>
      <c r="C522" s="1" t="n">
        <v>45810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5967-2023</t>
        </is>
      </c>
      <c r="B523" s="1" t="n">
        <v>44964</v>
      </c>
      <c r="C523" s="1" t="n">
        <v>45810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5987-2023</t>
        </is>
      </c>
      <c r="B524" s="1" t="n">
        <v>44964</v>
      </c>
      <c r="C524" s="1" t="n">
        <v>45810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5994-2023</t>
        </is>
      </c>
      <c r="B525" s="1" t="n">
        <v>44964</v>
      </c>
      <c r="C525" s="1" t="n">
        <v>45810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6075-2023</t>
        </is>
      </c>
      <c r="B526" s="1" t="n">
        <v>44964</v>
      </c>
      <c r="C526" s="1" t="n">
        <v>45810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5963-2023</t>
        </is>
      </c>
      <c r="B527" s="1" t="n">
        <v>44964</v>
      </c>
      <c r="C527" s="1" t="n">
        <v>45810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5995-2023</t>
        </is>
      </c>
      <c r="B528" s="1" t="n">
        <v>44964</v>
      </c>
      <c r="C528" s="1" t="n">
        <v>45810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6048-2023</t>
        </is>
      </c>
      <c r="B529" s="1" t="n">
        <v>44964</v>
      </c>
      <c r="C529" s="1" t="n">
        <v>45810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6071-2023</t>
        </is>
      </c>
      <c r="B530" s="1" t="n">
        <v>44964</v>
      </c>
      <c r="C530" s="1" t="n">
        <v>45810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5993-2023</t>
        </is>
      </c>
      <c r="B531" s="1" t="n">
        <v>44964</v>
      </c>
      <c r="C531" s="1" t="n">
        <v>45810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5997-2023</t>
        </is>
      </c>
      <c r="B532" s="1" t="n">
        <v>44964</v>
      </c>
      <c r="C532" s="1" t="n">
        <v>45810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6049-2023</t>
        </is>
      </c>
      <c r="B533" s="1" t="n">
        <v>44964</v>
      </c>
      <c r="C533" s="1" t="n">
        <v>45810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6288-2023</t>
        </is>
      </c>
      <c r="B534" s="1" t="n">
        <v>44965</v>
      </c>
      <c r="C534" s="1" t="n">
        <v>45810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6364-2023</t>
        </is>
      </c>
      <c r="B535" s="1" t="n">
        <v>44965</v>
      </c>
      <c r="C535" s="1" t="n">
        <v>45810</v>
      </c>
      <c r="D535" t="inlineStr">
        <is>
          <t>UPPSALA LÄN</t>
        </is>
      </c>
      <c r="E535" t="inlineStr">
        <is>
          <t>TIERP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6497-2023</t>
        </is>
      </c>
      <c r="B536" s="1" t="n">
        <v>44966</v>
      </c>
      <c r="C536" s="1" t="n">
        <v>45810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7352-2023</t>
        </is>
      </c>
      <c r="B537" s="1" t="n">
        <v>44966</v>
      </c>
      <c r="C537" s="1" t="n">
        <v>45810</v>
      </c>
      <c r="D537" t="inlineStr">
        <is>
          <t>UPPSALA LÄN</t>
        </is>
      </c>
      <c r="E537" t="inlineStr">
        <is>
          <t>TIERP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7359-2023</t>
        </is>
      </c>
      <c r="B538" s="1" t="n">
        <v>44966</v>
      </c>
      <c r="C538" s="1" t="n">
        <v>45810</v>
      </c>
      <c r="D538" t="inlineStr">
        <is>
          <t>UPPSALA LÄN</t>
        </is>
      </c>
      <c r="E538" t="inlineStr">
        <is>
          <t>TIERP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7392-2023</t>
        </is>
      </c>
      <c r="B539" s="1" t="n">
        <v>44971</v>
      </c>
      <c r="C539" s="1" t="n">
        <v>45810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7370-2023</t>
        </is>
      </c>
      <c r="B540" s="1" t="n">
        <v>44971</v>
      </c>
      <c r="C540" s="1" t="n">
        <v>45810</v>
      </c>
      <c r="D540" t="inlineStr">
        <is>
          <t>UPPSALA LÄN</t>
        </is>
      </c>
      <c r="E540" t="inlineStr">
        <is>
          <t>TIERP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7591-2023</t>
        </is>
      </c>
      <c r="B541" s="1" t="n">
        <v>44972</v>
      </c>
      <c r="C541" s="1" t="n">
        <v>45810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8914-2023</t>
        </is>
      </c>
      <c r="B542" s="1" t="n">
        <v>44973</v>
      </c>
      <c r="C542" s="1" t="n">
        <v>45810</v>
      </c>
      <c r="D542" t="inlineStr">
        <is>
          <t>UPPSALA LÄN</t>
        </is>
      </c>
      <c r="E542" t="inlineStr">
        <is>
          <t>TIERP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8767-2023</t>
        </is>
      </c>
      <c r="B543" s="1" t="n">
        <v>44978</v>
      </c>
      <c r="C543" s="1" t="n">
        <v>45810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8768-2023</t>
        </is>
      </c>
      <c r="B544" s="1" t="n">
        <v>44978</v>
      </c>
      <c r="C544" s="1" t="n">
        <v>45810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8774-2023</t>
        </is>
      </c>
      <c r="B545" s="1" t="n">
        <v>44978</v>
      </c>
      <c r="C545" s="1" t="n">
        <v>45810</v>
      </c>
      <c r="D545" t="inlineStr">
        <is>
          <t>UPPSALA LÄN</t>
        </is>
      </c>
      <c r="E545" t="inlineStr">
        <is>
          <t>TIERP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8772-2023</t>
        </is>
      </c>
      <c r="B546" s="1" t="n">
        <v>44978</v>
      </c>
      <c r="C546" s="1" t="n">
        <v>45810</v>
      </c>
      <c r="D546" t="inlineStr">
        <is>
          <t>UPPSALA LÄN</t>
        </is>
      </c>
      <c r="E546" t="inlineStr">
        <is>
          <t>TIERP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9030-2023</t>
        </is>
      </c>
      <c r="B547" s="1" t="n">
        <v>44979</v>
      </c>
      <c r="C547" s="1" t="n">
        <v>45810</v>
      </c>
      <c r="D547" t="inlineStr">
        <is>
          <t>UPPSALA LÄN</t>
        </is>
      </c>
      <c r="E547" t="inlineStr">
        <is>
          <t>TIERP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9230-2023</t>
        </is>
      </c>
      <c r="B548" s="1" t="n">
        <v>44980</v>
      </c>
      <c r="C548" s="1" t="n">
        <v>45810</v>
      </c>
      <c r="D548" t="inlineStr">
        <is>
          <t>UPPSALA LÄN</t>
        </is>
      </c>
      <c r="E548" t="inlineStr">
        <is>
          <t>TIERP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9238-2023</t>
        </is>
      </c>
      <c r="B549" s="1" t="n">
        <v>44980</v>
      </c>
      <c r="C549" s="1" t="n">
        <v>45810</v>
      </c>
      <c r="D549" t="inlineStr">
        <is>
          <t>UPPSALA LÄN</t>
        </is>
      </c>
      <c r="E549" t="inlineStr">
        <is>
          <t>TIERP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9290-2023</t>
        </is>
      </c>
      <c r="B550" s="1" t="n">
        <v>44980</v>
      </c>
      <c r="C550" s="1" t="n">
        <v>45810</v>
      </c>
      <c r="D550" t="inlineStr">
        <is>
          <t>UPPSALA LÄN</t>
        </is>
      </c>
      <c r="E550" t="inlineStr">
        <is>
          <t>TIERP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9432-2023</t>
        </is>
      </c>
      <c r="B551" s="1" t="n">
        <v>44981</v>
      </c>
      <c r="C551" s="1" t="n">
        <v>45810</v>
      </c>
      <c r="D551" t="inlineStr">
        <is>
          <t>UPPSALA LÄN</t>
        </is>
      </c>
      <c r="E551" t="inlineStr">
        <is>
          <t>TIERP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9664-2023</t>
        </is>
      </c>
      <c r="B552" s="1" t="n">
        <v>44984</v>
      </c>
      <c r="C552" s="1" t="n">
        <v>45810</v>
      </c>
      <c r="D552" t="inlineStr">
        <is>
          <t>UPPSALA LÄN</t>
        </is>
      </c>
      <c r="E552" t="inlineStr">
        <is>
          <t>TIERP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10204-2023</t>
        </is>
      </c>
      <c r="B553" s="1" t="n">
        <v>44986</v>
      </c>
      <c r="C553" s="1" t="n">
        <v>45810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10216-2023</t>
        </is>
      </c>
      <c r="B554" s="1" t="n">
        <v>44986</v>
      </c>
      <c r="C554" s="1" t="n">
        <v>45810</v>
      </c>
      <c r="D554" t="inlineStr">
        <is>
          <t>UPPSALA LÄN</t>
        </is>
      </c>
      <c r="E554" t="inlineStr">
        <is>
          <t>TIERP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10199-2023</t>
        </is>
      </c>
      <c r="B555" s="1" t="n">
        <v>44986</v>
      </c>
      <c r="C555" s="1" t="n">
        <v>45810</v>
      </c>
      <c r="D555" t="inlineStr">
        <is>
          <t>UPPSALA LÄN</t>
        </is>
      </c>
      <c r="E555" t="inlineStr">
        <is>
          <t>TIERP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10594-2023</t>
        </is>
      </c>
      <c r="B556" s="1" t="n">
        <v>44988</v>
      </c>
      <c r="C556" s="1" t="n">
        <v>45810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10943-2023</t>
        </is>
      </c>
      <c r="B557" s="1" t="n">
        <v>44991</v>
      </c>
      <c r="C557" s="1" t="n">
        <v>45810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10940-2023</t>
        </is>
      </c>
      <c r="B558" s="1" t="n">
        <v>44991</v>
      </c>
      <c r="C558" s="1" t="n">
        <v>45810</v>
      </c>
      <c r="D558" t="inlineStr">
        <is>
          <t>UPPSALA LÄN</t>
        </is>
      </c>
      <c r="E558" t="inlineStr">
        <is>
          <t>TIERP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11574-2023</t>
        </is>
      </c>
      <c r="B559" s="1" t="n">
        <v>44994</v>
      </c>
      <c r="C559" s="1" t="n">
        <v>45810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13448-2023</t>
        </is>
      </c>
      <c r="B560" s="1" t="n">
        <v>45005</v>
      </c>
      <c r="C560" s="1" t="n">
        <v>45810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13407-2023</t>
        </is>
      </c>
      <c r="B561" s="1" t="n">
        <v>45005</v>
      </c>
      <c r="C561" s="1" t="n">
        <v>45810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13428-2023</t>
        </is>
      </c>
      <c r="B562" s="1" t="n">
        <v>45005</v>
      </c>
      <c r="C562" s="1" t="n">
        <v>45810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13447-2023</t>
        </is>
      </c>
      <c r="B563" s="1" t="n">
        <v>45005</v>
      </c>
      <c r="C563" s="1" t="n">
        <v>45810</v>
      </c>
      <c r="D563" t="inlineStr">
        <is>
          <t>UPPSALA LÄN</t>
        </is>
      </c>
      <c r="E563" t="inlineStr">
        <is>
          <t>TIERP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13466-2023</t>
        </is>
      </c>
      <c r="B564" s="1" t="n">
        <v>45005</v>
      </c>
      <c r="C564" s="1" t="n">
        <v>45810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13304-2023</t>
        </is>
      </c>
      <c r="B565" s="1" t="n">
        <v>45005</v>
      </c>
      <c r="C565" s="1" t="n">
        <v>45810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13412-2023</t>
        </is>
      </c>
      <c r="B566" s="1" t="n">
        <v>45005</v>
      </c>
      <c r="C566" s="1" t="n">
        <v>45810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13418-2023</t>
        </is>
      </c>
      <c r="B567" s="1" t="n">
        <v>45005</v>
      </c>
      <c r="C567" s="1" t="n">
        <v>45810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13572-2023</t>
        </is>
      </c>
      <c r="B568" s="1" t="n">
        <v>45006</v>
      </c>
      <c r="C568" s="1" t="n">
        <v>45810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14181-2023</t>
        </is>
      </c>
      <c r="B569" s="1" t="n">
        <v>45009</v>
      </c>
      <c r="C569" s="1" t="n">
        <v>45810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14086-2023</t>
        </is>
      </c>
      <c r="B570" s="1" t="n">
        <v>45009</v>
      </c>
      <c r="C570" s="1" t="n">
        <v>45810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14541-2023</t>
        </is>
      </c>
      <c r="B571" s="1" t="n">
        <v>45013</v>
      </c>
      <c r="C571" s="1" t="n">
        <v>45810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14553-2023</t>
        </is>
      </c>
      <c r="B572" s="1" t="n">
        <v>45013</v>
      </c>
      <c r="C572" s="1" t="n">
        <v>45810</v>
      </c>
      <c r="D572" t="inlineStr">
        <is>
          <t>UPPSALA LÄN</t>
        </is>
      </c>
      <c r="E572" t="inlineStr">
        <is>
          <t>TIERP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15578-2023</t>
        </is>
      </c>
      <c r="B573" s="1" t="n">
        <v>45020</v>
      </c>
      <c r="C573" s="1" t="n">
        <v>45810</v>
      </c>
      <c r="D573" t="inlineStr">
        <is>
          <t>UPPSALA LÄN</t>
        </is>
      </c>
      <c r="E573" t="inlineStr">
        <is>
          <t>TIERP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15763-2023</t>
        </is>
      </c>
      <c r="B574" s="1" t="n">
        <v>45021</v>
      </c>
      <c r="C574" s="1" t="n">
        <v>45810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15842-2023</t>
        </is>
      </c>
      <c r="B575" s="1" t="n">
        <v>45022</v>
      </c>
      <c r="C575" s="1" t="n">
        <v>45810</v>
      </c>
      <c r="D575" t="inlineStr">
        <is>
          <t>UPPSALA LÄN</t>
        </is>
      </c>
      <c r="E575" t="inlineStr">
        <is>
          <t>TIERP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15832-2023</t>
        </is>
      </c>
      <c r="B576" s="1" t="n">
        <v>45022</v>
      </c>
      <c r="C576" s="1" t="n">
        <v>45810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15851-2023</t>
        </is>
      </c>
      <c r="B577" s="1" t="n">
        <v>45022</v>
      </c>
      <c r="C577" s="1" t="n">
        <v>45810</v>
      </c>
      <c r="D577" t="inlineStr">
        <is>
          <t>UPPSALA LÄN</t>
        </is>
      </c>
      <c r="E577" t="inlineStr">
        <is>
          <t>TIERP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16058-2023</t>
        </is>
      </c>
      <c r="B578" s="1" t="n">
        <v>45027</v>
      </c>
      <c r="C578" s="1" t="n">
        <v>45810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16054-2023</t>
        </is>
      </c>
      <c r="B579" s="1" t="n">
        <v>45027</v>
      </c>
      <c r="C579" s="1" t="n">
        <v>45810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16295-2023</t>
        </is>
      </c>
      <c r="B580" s="1" t="n">
        <v>45028</v>
      </c>
      <c r="C580" s="1" t="n">
        <v>45810</v>
      </c>
      <c r="D580" t="inlineStr">
        <is>
          <t>UPPSALA LÄN</t>
        </is>
      </c>
      <c r="E580" t="inlineStr">
        <is>
          <t>TIERP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16405-2023</t>
        </is>
      </c>
      <c r="B581" s="1" t="n">
        <v>45029</v>
      </c>
      <c r="C581" s="1" t="n">
        <v>45810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16587-2023</t>
        </is>
      </c>
      <c r="B582" s="1" t="n">
        <v>45030</v>
      </c>
      <c r="C582" s="1" t="n">
        <v>45810</v>
      </c>
      <c r="D582" t="inlineStr">
        <is>
          <t>UPPSALA LÄN</t>
        </is>
      </c>
      <c r="E582" t="inlineStr">
        <is>
          <t>TIERP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16631-2023</t>
        </is>
      </c>
      <c r="B583" s="1" t="n">
        <v>45030</v>
      </c>
      <c r="C583" s="1" t="n">
        <v>45810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16791-2023</t>
        </is>
      </c>
      <c r="B584" s="1" t="n">
        <v>45033</v>
      </c>
      <c r="C584" s="1" t="n">
        <v>45810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17979-2023</t>
        </is>
      </c>
      <c r="B585" s="1" t="n">
        <v>45040</v>
      </c>
      <c r="C585" s="1" t="n">
        <v>45810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17950-2023</t>
        </is>
      </c>
      <c r="B586" s="1" t="n">
        <v>45040</v>
      </c>
      <c r="C586" s="1" t="n">
        <v>45810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18038-2023</t>
        </is>
      </c>
      <c r="B587" s="1" t="n">
        <v>45040</v>
      </c>
      <c r="C587" s="1" t="n">
        <v>45810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17944-2023</t>
        </is>
      </c>
      <c r="B588" s="1" t="n">
        <v>45040</v>
      </c>
      <c r="C588" s="1" t="n">
        <v>45810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17958-2023</t>
        </is>
      </c>
      <c r="B589" s="1" t="n">
        <v>45040</v>
      </c>
      <c r="C589" s="1" t="n">
        <v>45810</v>
      </c>
      <c r="D589" t="inlineStr">
        <is>
          <t>UPPSALA LÄN</t>
        </is>
      </c>
      <c r="E589" t="inlineStr">
        <is>
          <t>TIERP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18014-2023</t>
        </is>
      </c>
      <c r="B590" s="1" t="n">
        <v>45040</v>
      </c>
      <c r="C590" s="1" t="n">
        <v>45810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18190-2023</t>
        </is>
      </c>
      <c r="B591" s="1" t="n">
        <v>45041</v>
      </c>
      <c r="C591" s="1" t="n">
        <v>45810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18641-2023</t>
        </is>
      </c>
      <c r="B592" s="1" t="n">
        <v>45043</v>
      </c>
      <c r="C592" s="1" t="n">
        <v>45810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19172-2023</t>
        </is>
      </c>
      <c r="B593" s="1" t="n">
        <v>45046</v>
      </c>
      <c r="C593" s="1" t="n">
        <v>45810</v>
      </c>
      <c r="D593" t="inlineStr">
        <is>
          <t>UPPSALA LÄN</t>
        </is>
      </c>
      <c r="E593" t="inlineStr">
        <is>
          <t>TIERP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19174-2023</t>
        </is>
      </c>
      <c r="B594" s="1" t="n">
        <v>45046</v>
      </c>
      <c r="C594" s="1" t="n">
        <v>45810</v>
      </c>
      <c r="D594" t="inlineStr">
        <is>
          <t>UPPSALA LÄN</t>
        </is>
      </c>
      <c r="E594" t="inlineStr">
        <is>
          <t>TIERP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19175-2023</t>
        </is>
      </c>
      <c r="B595" s="1" t="n">
        <v>45046</v>
      </c>
      <c r="C595" s="1" t="n">
        <v>45810</v>
      </c>
      <c r="D595" t="inlineStr">
        <is>
          <t>UPPSALA LÄN</t>
        </is>
      </c>
      <c r="E595" t="inlineStr">
        <is>
          <t>TIERP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19129-2023</t>
        </is>
      </c>
      <c r="B596" s="1" t="n">
        <v>45048</v>
      </c>
      <c r="C596" s="1" t="n">
        <v>45810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19127-2023</t>
        </is>
      </c>
      <c r="B597" s="1" t="n">
        <v>45048</v>
      </c>
      <c r="C597" s="1" t="n">
        <v>45810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19283-2023</t>
        </is>
      </c>
      <c r="B598" s="1" t="n">
        <v>45049</v>
      </c>
      <c r="C598" s="1" t="n">
        <v>45810</v>
      </c>
      <c r="D598" t="inlineStr">
        <is>
          <t>UPPSALA LÄN</t>
        </is>
      </c>
      <c r="E598" t="inlineStr">
        <is>
          <t>TIERP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19791-2023</t>
        </is>
      </c>
      <c r="B599" s="1" t="n">
        <v>45051</v>
      </c>
      <c r="C599" s="1" t="n">
        <v>45810</v>
      </c>
      <c r="D599" t="inlineStr">
        <is>
          <t>UPPSALA LÄN</t>
        </is>
      </c>
      <c r="E599" t="inlineStr">
        <is>
          <t>TIERP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20116-2023</t>
        </is>
      </c>
      <c r="B600" s="1" t="n">
        <v>45055</v>
      </c>
      <c r="C600" s="1" t="n">
        <v>45810</v>
      </c>
      <c r="D600" t="inlineStr">
        <is>
          <t>UPPSALA LÄN</t>
        </is>
      </c>
      <c r="E600" t="inlineStr">
        <is>
          <t>TIERP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20508-2023</t>
        </is>
      </c>
      <c r="B601" s="1" t="n">
        <v>45057</v>
      </c>
      <c r="C601" s="1" t="n">
        <v>45810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20495-2023</t>
        </is>
      </c>
      <c r="B602" s="1" t="n">
        <v>45057</v>
      </c>
      <c r="C602" s="1" t="n">
        <v>45810</v>
      </c>
      <c r="D602" t="inlineStr">
        <is>
          <t>UPPSALA LÄN</t>
        </is>
      </c>
      <c r="E602" t="inlineStr">
        <is>
          <t>TIERP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20496-2023</t>
        </is>
      </c>
      <c r="B603" s="1" t="n">
        <v>45057</v>
      </c>
      <c r="C603" s="1" t="n">
        <v>45810</v>
      </c>
      <c r="D603" t="inlineStr">
        <is>
          <t>UPPSALA LÄN</t>
        </is>
      </c>
      <c r="E603" t="inlineStr">
        <is>
          <t>TIERP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20748-2023</t>
        </is>
      </c>
      <c r="B604" s="1" t="n">
        <v>45058</v>
      </c>
      <c r="C604" s="1" t="n">
        <v>45810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20750-2023</t>
        </is>
      </c>
      <c r="B605" s="1" t="n">
        <v>45058</v>
      </c>
      <c r="C605" s="1" t="n">
        <v>45810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20767-2023</t>
        </is>
      </c>
      <c r="B606" s="1" t="n">
        <v>45058</v>
      </c>
      <c r="C606" s="1" t="n">
        <v>45810</v>
      </c>
      <c r="D606" t="inlineStr">
        <is>
          <t>UPPSALA LÄN</t>
        </is>
      </c>
      <c r="E606" t="inlineStr">
        <is>
          <t>TIERP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21051-2023</t>
        </is>
      </c>
      <c r="B607" s="1" t="n">
        <v>45061</v>
      </c>
      <c r="C607" s="1" t="n">
        <v>45810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40.2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21053-2023</t>
        </is>
      </c>
      <c r="B608" s="1" t="n">
        <v>45061</v>
      </c>
      <c r="C608" s="1" t="n">
        <v>45810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21170-2023</t>
        </is>
      </c>
      <c r="B609" s="1" t="n">
        <v>45062</v>
      </c>
      <c r="C609" s="1" t="n">
        <v>45810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21547-2023</t>
        </is>
      </c>
      <c r="B610" s="1" t="n">
        <v>45063</v>
      </c>
      <c r="C610" s="1" t="n">
        <v>45810</v>
      </c>
      <c r="D610" t="inlineStr">
        <is>
          <t>UPPSALA LÄN</t>
        </is>
      </c>
      <c r="E610" t="inlineStr">
        <is>
          <t>TIERP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21550-2023</t>
        </is>
      </c>
      <c r="B611" s="1" t="n">
        <v>45063</v>
      </c>
      <c r="C611" s="1" t="n">
        <v>45810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22321-2023</t>
        </is>
      </c>
      <c r="B612" s="1" t="n">
        <v>45070</v>
      </c>
      <c r="C612" s="1" t="n">
        <v>45810</v>
      </c>
      <c r="D612" t="inlineStr">
        <is>
          <t>UPPSALA LÄN</t>
        </is>
      </c>
      <c r="E612" t="inlineStr">
        <is>
          <t>TIERP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22672-2023</t>
        </is>
      </c>
      <c r="B613" s="1" t="n">
        <v>45071</v>
      </c>
      <c r="C613" s="1" t="n">
        <v>45810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22901-2023</t>
        </is>
      </c>
      <c r="B614" s="1" t="n">
        <v>45072</v>
      </c>
      <c r="C614" s="1" t="n">
        <v>45810</v>
      </c>
      <c r="D614" t="inlineStr">
        <is>
          <t>UPPSALA LÄN</t>
        </is>
      </c>
      <c r="E614" t="inlineStr">
        <is>
          <t>TIERP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23164-2023</t>
        </is>
      </c>
      <c r="B615" s="1" t="n">
        <v>45075</v>
      </c>
      <c r="C615" s="1" t="n">
        <v>45810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23154-2023</t>
        </is>
      </c>
      <c r="B616" s="1" t="n">
        <v>45075</v>
      </c>
      <c r="C616" s="1" t="n">
        <v>45810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24110-2023</t>
        </is>
      </c>
      <c r="B617" s="1" t="n">
        <v>45079</v>
      </c>
      <c r="C617" s="1" t="n">
        <v>45810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25408-2023</t>
        </is>
      </c>
      <c r="B618" s="1" t="n">
        <v>45080</v>
      </c>
      <c r="C618" s="1" t="n">
        <v>45810</v>
      </c>
      <c r="D618" t="inlineStr">
        <is>
          <t>UPPSALA LÄN</t>
        </is>
      </c>
      <c r="E618" t="inlineStr">
        <is>
          <t>TIERP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25784-2023</t>
        </is>
      </c>
      <c r="B619" s="1" t="n">
        <v>45090</v>
      </c>
      <c r="C619" s="1" t="n">
        <v>45810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26275-2023</t>
        </is>
      </c>
      <c r="B620" s="1" t="n">
        <v>45091</v>
      </c>
      <c r="C620" s="1" t="n">
        <v>45810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26380-2023</t>
        </is>
      </c>
      <c r="B621" s="1" t="n">
        <v>45092</v>
      </c>
      <c r="C621" s="1" t="n">
        <v>45810</v>
      </c>
      <c r="D621" t="inlineStr">
        <is>
          <t>UPPSALA LÄN</t>
        </is>
      </c>
      <c r="E621" t="inlineStr">
        <is>
          <t>TIERP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26546-2023</t>
        </is>
      </c>
      <c r="B622" s="1" t="n">
        <v>45092</v>
      </c>
      <c r="C622" s="1" t="n">
        <v>45810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26541-2023</t>
        </is>
      </c>
      <c r="B623" s="1" t="n">
        <v>45092</v>
      </c>
      <c r="C623" s="1" t="n">
        <v>45810</v>
      </c>
      <c r="D623" t="inlineStr">
        <is>
          <t>UPPSALA LÄN</t>
        </is>
      </c>
      <c r="E623" t="inlineStr">
        <is>
          <t>TIERP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27168-2023</t>
        </is>
      </c>
      <c r="B624" s="1" t="n">
        <v>45096</v>
      </c>
      <c r="C624" s="1" t="n">
        <v>45810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27074-2023</t>
        </is>
      </c>
      <c r="B625" s="1" t="n">
        <v>45096</v>
      </c>
      <c r="C625" s="1" t="n">
        <v>45810</v>
      </c>
      <c r="D625" t="inlineStr">
        <is>
          <t>UPPSALA LÄN</t>
        </is>
      </c>
      <c r="E625" t="inlineStr">
        <is>
          <t>TIERP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27266-2023</t>
        </is>
      </c>
      <c r="B626" s="1" t="n">
        <v>45096</v>
      </c>
      <c r="C626" s="1" t="n">
        <v>45810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27856-2023</t>
        </is>
      </c>
      <c r="B627" s="1" t="n">
        <v>45098</v>
      </c>
      <c r="C627" s="1" t="n">
        <v>45810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28252-2023</t>
        </is>
      </c>
      <c r="B628" s="1" t="n">
        <v>45099</v>
      </c>
      <c r="C628" s="1" t="n">
        <v>45810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28564-2023</t>
        </is>
      </c>
      <c r="B629" s="1" t="n">
        <v>45103</v>
      </c>
      <c r="C629" s="1" t="n">
        <v>45810</v>
      </c>
      <c r="D629" t="inlineStr">
        <is>
          <t>UPPSALA LÄN</t>
        </is>
      </c>
      <c r="E629" t="inlineStr">
        <is>
          <t>TIERP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28912-2023</t>
        </is>
      </c>
      <c r="B630" s="1" t="n">
        <v>45104</v>
      </c>
      <c r="C630" s="1" t="n">
        <v>45810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28909-2023</t>
        </is>
      </c>
      <c r="B631" s="1" t="n">
        <v>45104</v>
      </c>
      <c r="C631" s="1" t="n">
        <v>45810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29109-2023</t>
        </is>
      </c>
      <c r="B632" s="1" t="n">
        <v>45105</v>
      </c>
      <c r="C632" s="1" t="n">
        <v>45810</v>
      </c>
      <c r="D632" t="inlineStr">
        <is>
          <t>UPPSALA LÄN</t>
        </is>
      </c>
      <c r="E632" t="inlineStr">
        <is>
          <t>TIERP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29113-2023</t>
        </is>
      </c>
      <c r="B633" s="1" t="n">
        <v>45105</v>
      </c>
      <c r="C633" s="1" t="n">
        <v>45810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29110-2023</t>
        </is>
      </c>
      <c r="B634" s="1" t="n">
        <v>45105</v>
      </c>
      <c r="C634" s="1" t="n">
        <v>45810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29115-2023</t>
        </is>
      </c>
      <c r="B635" s="1" t="n">
        <v>45105</v>
      </c>
      <c r="C635" s="1" t="n">
        <v>45810</v>
      </c>
      <c r="D635" t="inlineStr">
        <is>
          <t>UPPSALA LÄN</t>
        </is>
      </c>
      <c r="E635" t="inlineStr">
        <is>
          <t>TIERP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29099-2023</t>
        </is>
      </c>
      <c r="B636" s="1" t="n">
        <v>45105</v>
      </c>
      <c r="C636" s="1" t="n">
        <v>45810</v>
      </c>
      <c r="D636" t="inlineStr">
        <is>
          <t>UPPSALA LÄN</t>
        </is>
      </c>
      <c r="E636" t="inlineStr">
        <is>
          <t>TIERP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29098-2023</t>
        </is>
      </c>
      <c r="B637" s="1" t="n">
        <v>45105</v>
      </c>
      <c r="C637" s="1" t="n">
        <v>45810</v>
      </c>
      <c r="D637" t="inlineStr">
        <is>
          <t>UPPSALA LÄN</t>
        </is>
      </c>
      <c r="E637" t="inlineStr">
        <is>
          <t>TIERP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29107-2023</t>
        </is>
      </c>
      <c r="B638" s="1" t="n">
        <v>45105</v>
      </c>
      <c r="C638" s="1" t="n">
        <v>45810</v>
      </c>
      <c r="D638" t="inlineStr">
        <is>
          <t>UPPSALA LÄN</t>
        </is>
      </c>
      <c r="E638" t="inlineStr">
        <is>
          <t>TIERP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29480-2023</t>
        </is>
      </c>
      <c r="B639" s="1" t="n">
        <v>45106</v>
      </c>
      <c r="C639" s="1" t="n">
        <v>45810</v>
      </c>
      <c r="D639" t="inlineStr">
        <is>
          <t>UPPSALA LÄN</t>
        </is>
      </c>
      <c r="E639" t="inlineStr">
        <is>
          <t>TIERP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31279-2023</t>
        </is>
      </c>
      <c r="B640" s="1" t="n">
        <v>45114</v>
      </c>
      <c r="C640" s="1" t="n">
        <v>45810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31273-2023</t>
        </is>
      </c>
      <c r="B641" s="1" t="n">
        <v>45114</v>
      </c>
      <c r="C641" s="1" t="n">
        <v>45810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33677-2023</t>
        </is>
      </c>
      <c r="B642" s="1" t="n">
        <v>45119</v>
      </c>
      <c r="C642" s="1" t="n">
        <v>45810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57.7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32665-2023</t>
        </is>
      </c>
      <c r="B643" s="1" t="n">
        <v>45121</v>
      </c>
      <c r="C643" s="1" t="n">
        <v>45810</v>
      </c>
      <c r="D643" t="inlineStr">
        <is>
          <t>UPPSALA LÄN</t>
        </is>
      </c>
      <c r="E643" t="inlineStr">
        <is>
          <t>TIERP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33307-2023</t>
        </is>
      </c>
      <c r="B644" s="1" t="n">
        <v>45127</v>
      </c>
      <c r="C644" s="1" t="n">
        <v>45810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33339-2023</t>
        </is>
      </c>
      <c r="B645" s="1" t="n">
        <v>45128</v>
      </c>
      <c r="C645" s="1" t="n">
        <v>45810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33338-2023</t>
        </is>
      </c>
      <c r="B646" s="1" t="n">
        <v>45128</v>
      </c>
      <c r="C646" s="1" t="n">
        <v>45810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33451-2023</t>
        </is>
      </c>
      <c r="B647" s="1" t="n">
        <v>45130</v>
      </c>
      <c r="C647" s="1" t="n">
        <v>45810</v>
      </c>
      <c r="D647" t="inlineStr">
        <is>
          <t>UPPSALA LÄN</t>
        </is>
      </c>
      <c r="E647" t="inlineStr">
        <is>
          <t>TIERP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33797-2023</t>
        </is>
      </c>
      <c r="B648" s="1" t="n">
        <v>45133</v>
      </c>
      <c r="C648" s="1" t="n">
        <v>45810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HYPERLINK("https://klasma.github.io/Logging_0360/knärot/A 33797-2023 karta knärot.png", "A 33797-2023")</f>
        <v/>
      </c>
      <c r="V648">
        <f>HYPERLINK("https://klasma.github.io/Logging_0360/klagomål/A 33797-2023 FSC-klagomål.docx", "A 33797-2023")</f>
        <v/>
      </c>
      <c r="W648">
        <f>HYPERLINK("https://klasma.github.io/Logging_0360/klagomålsmail/A 33797-2023 FSC-klagomål mail.docx", "A 33797-2023")</f>
        <v/>
      </c>
      <c r="X648">
        <f>HYPERLINK("https://klasma.github.io/Logging_0360/tillsyn/A 33797-2023 tillsynsbegäran.docx", "A 33797-2023")</f>
        <v/>
      </c>
      <c r="Y648">
        <f>HYPERLINK("https://klasma.github.io/Logging_0360/tillsynsmail/A 33797-2023 tillsynsbegäran mail.docx", "A 33797-2023")</f>
        <v/>
      </c>
    </row>
    <row r="649" ht="15" customHeight="1">
      <c r="A649" t="inlineStr">
        <is>
          <t>A 34082-2023</t>
        </is>
      </c>
      <c r="B649" s="1" t="n">
        <v>45135</v>
      </c>
      <c r="C649" s="1" t="n">
        <v>45810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34079-2023</t>
        </is>
      </c>
      <c r="B650" s="1" t="n">
        <v>45135</v>
      </c>
      <c r="C650" s="1" t="n">
        <v>45810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34198-2023</t>
        </is>
      </c>
      <c r="B651" s="1" t="n">
        <v>45138</v>
      </c>
      <c r="C651" s="1" t="n">
        <v>45810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35375-2023</t>
        </is>
      </c>
      <c r="B652" s="1" t="n">
        <v>45146</v>
      </c>
      <c r="C652" s="1" t="n">
        <v>45810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35926-2023</t>
        </is>
      </c>
      <c r="B653" s="1" t="n">
        <v>45148</v>
      </c>
      <c r="C653" s="1" t="n">
        <v>45810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36544-2023</t>
        </is>
      </c>
      <c r="B654" s="1" t="n">
        <v>45153</v>
      </c>
      <c r="C654" s="1" t="n">
        <v>45810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38297-2023</t>
        </is>
      </c>
      <c r="B655" s="1" t="n">
        <v>45161</v>
      </c>
      <c r="C655" s="1" t="n">
        <v>45810</v>
      </c>
      <c r="D655" t="inlineStr">
        <is>
          <t>UPPSALA LÄN</t>
        </is>
      </c>
      <c r="E655" t="inlineStr">
        <is>
          <t>TIERP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45810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45810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45810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45810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45810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45810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45810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45810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45810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45810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45810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45810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45810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45810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45810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45810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45810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45810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45810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45810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45810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45810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45810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45810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45810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45810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45810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45810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45810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45810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45810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45810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45810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45810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45810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45810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45810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45810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45810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45810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45810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45810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45810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45810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45810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45810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45810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45810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45810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45810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45810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45810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45810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45810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45810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45810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45810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45810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45810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45810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45810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45810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45810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45810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45810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45810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45810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45810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45810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45810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45810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45810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45810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45810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45810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45810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45810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45810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45810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45810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45810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45810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45810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45810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45810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45810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45810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45810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45810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45810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45810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45810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45810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45810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45810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45810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45810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45810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45810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45810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45810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45810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45810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45810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45810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45810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45810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45810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45810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45810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45810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45810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45810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45810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45810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45810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45810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45810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45810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45810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45810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45810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45810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45810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45810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45810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45810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45810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45810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45810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45810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45810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45810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45810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45810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45810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45810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45810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45810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45810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45810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45810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45810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45810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45810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45810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45810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45810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45810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45810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45810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45810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45810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45810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45810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45810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45810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45810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45810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45810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45810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45810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45810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45810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45810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45810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45810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45810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45810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45810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45810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45810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45810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45810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45810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45810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45810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45810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45810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45810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45810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45810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45810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45810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45810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45810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45810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45810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45810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45810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45810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45810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45810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45810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45810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45810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45810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45810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45810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45810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45810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45810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45810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45810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45810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45810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45810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45810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45810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45810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45810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45810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45810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45810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45810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45810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45810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45810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45810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45810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45810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45810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45810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45810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45810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45810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45810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45810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45810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45810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45810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45810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45810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45810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45810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45810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45810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45810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45810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45810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45810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45810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45810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45810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45810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45810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45810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45810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45810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45810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45810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45810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45810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45810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45810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45810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45810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45810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45810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45810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45810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45810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45810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45810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45810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45810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45810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45810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45810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45810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45810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45810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45810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45810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45810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45810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45810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45810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45810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45810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45810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45810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45810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45810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45810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45810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45810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45810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45810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45810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45810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45810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45810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45810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45810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45810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45810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45810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45810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45810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45810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45810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45810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45810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45810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45810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45810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45810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45810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45810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45810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45810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45810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45810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45810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45810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45810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45810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45810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45810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45810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45810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45810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45810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45810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45810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45810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45810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45810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45810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45810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45810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45810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45810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45810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45810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45810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45810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45810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45810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45810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45810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45810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45810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45810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45810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45810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45810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45810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45810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45810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45810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45810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45810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45810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45810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45810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45810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45810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45810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45810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45810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45810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45810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45810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45810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45810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45810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45810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45810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45810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45810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45810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45810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45810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45810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45810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45810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45810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45810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45810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45810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45810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45810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45810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45810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45810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45810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45810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45810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45810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45810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45810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45810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45810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45810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45810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45810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45810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45810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45810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45810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45810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45810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45810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45810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45810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45810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45810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45810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45810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45810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45810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45810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45810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45810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45810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45810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45810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45810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45810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45810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45810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45810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45810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45810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45810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45810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45810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45810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45810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45810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45810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45810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45810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45810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45810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45810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45810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45810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45810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45810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45810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45810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45810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45810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45810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45810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45810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45810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45810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45810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45810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45810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45810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45810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45810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45810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45810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45810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45810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45810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45810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45810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45810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45810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45810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45810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45810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45810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45810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45810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45810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45810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45810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45810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45810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45810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45810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45810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45810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45810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45810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45810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45810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45810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45810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45810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45810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45810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45810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45810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45810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45810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45810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45810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45810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45810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45810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45810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45810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45810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45810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45810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45810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45810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45810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45810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45810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45810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45810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45810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45810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45810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45810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45810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45810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45810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45810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45810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45810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45810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45810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45810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45810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45810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45810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45810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45810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45810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45810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45810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45810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45810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45810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45810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45810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45810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45810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45810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45810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45810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45810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45810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45810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45810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45810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45810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45810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45810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45810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45810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45810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45810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45810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45810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45810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45810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45810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45810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45810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45810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45810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45810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45810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45810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45810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45810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45810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45810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45810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45810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45810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45810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45810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45810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45810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45810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45810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45810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45810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45810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45810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45810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45810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45810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45810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45810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45810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21398-2025</t>
        </is>
      </c>
      <c r="B1245" s="1" t="n">
        <v>45782</v>
      </c>
      <c r="C1245" s="1" t="n">
        <v>45810</v>
      </c>
      <c r="D1245" t="inlineStr">
        <is>
          <t>UPPSALA LÄN</t>
        </is>
      </c>
      <c r="E1245" t="inlineStr">
        <is>
          <t>TIERP</t>
        </is>
      </c>
      <c r="F1245" t="inlineStr">
        <is>
          <t>Kyrkan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45810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45810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45810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21635-2025</t>
        </is>
      </c>
      <c r="B1249" s="1" t="n">
        <v>45783</v>
      </c>
      <c r="C1249" s="1" t="n">
        <v>45810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45810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45810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21889-2025</t>
        </is>
      </c>
      <c r="B1252" s="1" t="n">
        <v>45784</v>
      </c>
      <c r="C1252" s="1" t="n">
        <v>45810</v>
      </c>
      <c r="D1252" t="inlineStr">
        <is>
          <t>UPPSALA LÄN</t>
        </is>
      </c>
      <c r="E1252" t="inlineStr">
        <is>
          <t>TIERP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45810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21905-2025</t>
        </is>
      </c>
      <c r="B1254" s="1" t="n">
        <v>45784</v>
      </c>
      <c r="C1254" s="1" t="n">
        <v>45810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45810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45810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22529-2025</t>
        </is>
      </c>
      <c r="B1257" s="1" t="n">
        <v>45786</v>
      </c>
      <c r="C1257" s="1" t="n">
        <v>45810</v>
      </c>
      <c r="D1257" t="inlineStr">
        <is>
          <t>UPPSALA LÄN</t>
        </is>
      </c>
      <c r="E1257" t="inlineStr">
        <is>
          <t>TIERP</t>
        </is>
      </c>
      <c r="F1257" t="inlineStr">
        <is>
          <t>Övriga Aktiebolag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45810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45810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22274-2025</t>
        </is>
      </c>
      <c r="B1260" s="1" t="n">
        <v>45786</v>
      </c>
      <c r="C1260" s="1" t="n">
        <v>45810</v>
      </c>
      <c r="D1260" t="inlineStr">
        <is>
          <t>UPPSALA LÄN</t>
        </is>
      </c>
      <c r="E1260" t="inlineStr">
        <is>
          <t>TIERP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22769-2025</t>
        </is>
      </c>
      <c r="B1261" s="1" t="n">
        <v>45789</v>
      </c>
      <c r="C1261" s="1" t="n">
        <v>45810</v>
      </c>
      <c r="D1261" t="inlineStr">
        <is>
          <t>UPPSALA LÄN</t>
        </is>
      </c>
      <c r="E1261" t="inlineStr">
        <is>
          <t>TIERP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23204-2025</t>
        </is>
      </c>
      <c r="B1262" s="1" t="n">
        <v>45791</v>
      </c>
      <c r="C1262" s="1" t="n">
        <v>45810</v>
      </c>
      <c r="D1262" t="inlineStr">
        <is>
          <t>UPPSALA LÄN</t>
        </is>
      </c>
      <c r="E1262" t="inlineStr">
        <is>
          <t>TIERP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23198-2025</t>
        </is>
      </c>
      <c r="B1263" s="1" t="n">
        <v>45791</v>
      </c>
      <c r="C1263" s="1" t="n">
        <v>45810</v>
      </c>
      <c r="D1263" t="inlineStr">
        <is>
          <t>UPPSALA LÄN</t>
        </is>
      </c>
      <c r="E1263" t="inlineStr">
        <is>
          <t>TIERP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45810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23312-2025</t>
        </is>
      </c>
      <c r="B1265" s="1" t="n">
        <v>45791</v>
      </c>
      <c r="C1265" s="1" t="n">
        <v>45810</v>
      </c>
      <c r="D1265" t="inlineStr">
        <is>
          <t>UPPSALA LÄN</t>
        </is>
      </c>
      <c r="E1265" t="inlineStr">
        <is>
          <t>TIERP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23468-2025</t>
        </is>
      </c>
      <c r="B1266" s="1" t="n">
        <v>45792</v>
      </c>
      <c r="C1266" s="1" t="n">
        <v>45810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23796-2025</t>
        </is>
      </c>
      <c r="B1267" s="1" t="n">
        <v>45793</v>
      </c>
      <c r="C1267" s="1" t="n">
        <v>45810</v>
      </c>
      <c r="D1267" t="inlineStr">
        <is>
          <t>UPPSALA LÄN</t>
        </is>
      </c>
      <c r="E1267" t="inlineStr">
        <is>
          <t>TIERP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24160-2025</t>
        </is>
      </c>
      <c r="B1268" s="1" t="n">
        <v>45796</v>
      </c>
      <c r="C1268" s="1" t="n">
        <v>45810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45810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24124-2025</t>
        </is>
      </c>
      <c r="B1270" s="1" t="n">
        <v>45796</v>
      </c>
      <c r="C1270" s="1" t="n">
        <v>45810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24975-2025</t>
        </is>
      </c>
      <c r="B1271" s="1" t="n">
        <v>45799</v>
      </c>
      <c r="C1271" s="1" t="n">
        <v>45810</v>
      </c>
      <c r="D1271" t="inlineStr">
        <is>
          <t>UPPSALA LÄN</t>
        </is>
      </c>
      <c r="E1271" t="inlineStr">
        <is>
          <t>TIERP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24807-2025</t>
        </is>
      </c>
      <c r="B1272" s="1" t="n">
        <v>45799</v>
      </c>
      <c r="C1272" s="1" t="n">
        <v>45810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24841-2025</t>
        </is>
      </c>
      <c r="B1273" s="1" t="n">
        <v>45799</v>
      </c>
      <c r="C1273" s="1" t="n">
        <v>45810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45810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24799-2025</t>
        </is>
      </c>
      <c r="B1275" s="1" t="n">
        <v>45799</v>
      </c>
      <c r="C1275" s="1" t="n">
        <v>45810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25671-2025</t>
        </is>
      </c>
      <c r="B1276" s="1" t="n">
        <v>45803</v>
      </c>
      <c r="C1276" s="1" t="n">
        <v>45810</v>
      </c>
      <c r="D1276" t="inlineStr">
        <is>
          <t>UPPSALA LÄN</t>
        </is>
      </c>
      <c r="E1276" t="inlineStr">
        <is>
          <t>TIERP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26040-2025</t>
        </is>
      </c>
      <c r="B1277" s="1" t="n">
        <v>45804</v>
      </c>
      <c r="C1277" s="1" t="n">
        <v>45810</v>
      </c>
      <c r="D1277" t="inlineStr">
        <is>
          <t>UPPSALA LÄN</t>
        </is>
      </c>
      <c r="E1277" t="inlineStr">
        <is>
          <t>TIERP</t>
        </is>
      </c>
      <c r="F1277" t="inlineStr">
        <is>
          <t>Bergvik skog öst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25900-2025</t>
        </is>
      </c>
      <c r="B1278" s="1" t="n">
        <v>45804</v>
      </c>
      <c r="C1278" s="1" t="n">
        <v>45810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25927-2025</t>
        </is>
      </c>
      <c r="B1279" s="1" t="n">
        <v>45804</v>
      </c>
      <c r="C1279" s="1" t="n">
        <v>45810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45810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26556-2025</t>
        </is>
      </c>
      <c r="B1281" s="1" t="n">
        <v>45807</v>
      </c>
      <c r="C1281" s="1" t="n">
        <v>45810</v>
      </c>
      <c r="D1281" t="inlineStr">
        <is>
          <t>UPPSALA LÄN</t>
        </is>
      </c>
      <c r="E1281" t="inlineStr">
        <is>
          <t>TIERP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26559-2025</t>
        </is>
      </c>
      <c r="B1282" s="1" t="n">
        <v>45807</v>
      </c>
      <c r="C1282" s="1" t="n">
        <v>45810</v>
      </c>
      <c r="D1282" t="inlineStr">
        <is>
          <t>UPPSALA LÄN</t>
        </is>
      </c>
      <c r="E1282" t="inlineStr">
        <is>
          <t>TIERP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45810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26555-2025</t>
        </is>
      </c>
      <c r="B1284" s="1" t="n">
        <v>45807</v>
      </c>
      <c r="C1284" s="1" t="n">
        <v>45810</v>
      </c>
      <c r="D1284" t="inlineStr">
        <is>
          <t>UPPSALA LÄN</t>
        </is>
      </c>
      <c r="E1284" t="inlineStr">
        <is>
          <t>TIERP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26541-2025</t>
        </is>
      </c>
      <c r="B1285" s="1" t="n">
        <v>45807</v>
      </c>
      <c r="C1285" s="1" t="n">
        <v>45810</v>
      </c>
      <c r="D1285" t="inlineStr">
        <is>
          <t>UPPSALA LÄN</t>
        </is>
      </c>
      <c r="E1285" t="inlineStr">
        <is>
          <t>TIERP</t>
        </is>
      </c>
      <c r="G1285" t="n">
        <v>10.6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2025-06-02T18:03:19Z</dcterms:created>
  <dcterms:modified xmlns:dcterms="http://purl.org/dc/terms/" xmlns:xsi="http://www.w3.org/2001/XMLSchema-instance" xsi:type="dcterms:W3CDTF">2025-06-02T18:03:20Z</dcterms:modified>
</cp:coreProperties>
</file>