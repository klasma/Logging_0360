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45875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45875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45875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45875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45875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45875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45875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45875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45875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45875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45875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45875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45875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45875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45875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45875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45875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45875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45875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45875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45875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45875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45875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45875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45875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45875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45875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45875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45875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45875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45875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45875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45875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45875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45875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45875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45875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45875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45875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45875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45875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45875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45875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45875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45875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45875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45875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45875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45875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45875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45875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45875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45875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45875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45875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45875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45875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45875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45875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45875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45875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45875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45875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45875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45875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45875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45875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45875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45875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45875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45875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45875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45875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45875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45875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45875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45875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45875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45875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45875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45875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45875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45875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45875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45875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45875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45875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45875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45875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45875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45875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45875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2535-2022</t>
        </is>
      </c>
      <c r="B94" s="1" t="n">
        <v>44579</v>
      </c>
      <c r="C94" s="1" t="n">
        <v>45875</v>
      </c>
      <c r="D94" t="inlineStr">
        <is>
          <t>UPPSALA LÄN</t>
        </is>
      </c>
      <c r="E94" t="inlineStr">
        <is>
          <t>TIERP</t>
        </is>
      </c>
      <c r="G94" t="n">
        <v>2.3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HYPERLINK("https://klasma.github.io/Logging_0360/artfynd/A 2535-2022 artfynd.xlsx", "A 2535-2022")</f>
        <v/>
      </c>
      <c r="T94">
        <f>HYPERLINK("https://klasma.github.io/Logging_0360/kartor/A 2535-2022 karta.png", "A 2535-2022")</f>
        <v/>
      </c>
      <c r="U94">
        <f>HYPERLINK("https://klasma.github.io/Logging_0360/knärot/A 2535-2022 karta knärot.png", "A 2535-2022")</f>
        <v/>
      </c>
      <c r="V94">
        <f>HYPERLINK("https://klasma.github.io/Logging_0360/klagomål/A 2535-2022 FSC-klagomål.docx", "A 2535-2022")</f>
        <v/>
      </c>
      <c r="W94">
        <f>HYPERLINK("https://klasma.github.io/Logging_0360/klagomålsmail/A 2535-2022 FSC-klagomål mail.docx", "A 2535-2022")</f>
        <v/>
      </c>
      <c r="X94">
        <f>HYPERLINK("https://klasma.github.io/Logging_0360/tillsyn/A 2535-2022 tillsynsbegäran.docx", "A 2535-2022")</f>
        <v/>
      </c>
      <c r="Y94">
        <f>HYPERLINK("https://klasma.github.io/Logging_0360/tillsynsmail/A 2535-2022 tillsynsbegäran mail.docx", "A 2535-2022")</f>
        <v/>
      </c>
    </row>
    <row r="95" ht="15" customHeight="1">
      <c r="A95" t="inlineStr">
        <is>
          <t>A 5454-2022</t>
        </is>
      </c>
      <c r="B95" s="1" t="n">
        <v>44595</v>
      </c>
      <c r="C95" s="1" t="n">
        <v>45875</v>
      </c>
      <c r="D95" t="inlineStr">
        <is>
          <t>UPPSALA LÄN</t>
        </is>
      </c>
      <c r="E95" t="inlineStr">
        <is>
          <t>TIERP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Anisspindling</t>
        </is>
      </c>
      <c r="S95">
        <f>HYPERLINK("https://klasma.github.io/Logging_0360/artfynd/A 5454-2022 artfynd.xlsx", "A 5454-2022")</f>
        <v/>
      </c>
      <c r="T95">
        <f>HYPERLINK("https://klasma.github.io/Logging_0360/kartor/A 5454-2022 karta.png", "A 5454-2022")</f>
        <v/>
      </c>
      <c r="U95">
        <f>HYPERLINK("https://klasma.github.io/Logging_0360/knärot/A 5454-2022 karta knärot.png", "A 5454-2022")</f>
        <v/>
      </c>
      <c r="V95">
        <f>HYPERLINK("https://klasma.github.io/Logging_0360/klagomål/A 5454-2022 FSC-klagomål.docx", "A 5454-2022")</f>
        <v/>
      </c>
      <c r="W95">
        <f>HYPERLINK("https://klasma.github.io/Logging_0360/klagomålsmail/A 5454-2022 FSC-klagomål mail.docx", "A 5454-2022")</f>
        <v/>
      </c>
      <c r="X95">
        <f>HYPERLINK("https://klasma.github.io/Logging_0360/tillsyn/A 5454-2022 tillsynsbegäran.docx", "A 5454-2022")</f>
        <v/>
      </c>
      <c r="Y95">
        <f>HYPERLINK("https://klasma.github.io/Logging_0360/tillsynsmail/A 5454-2022 tillsynsbegäran mail.docx", "A 5454-2022")</f>
        <v/>
      </c>
    </row>
    <row r="96" ht="15" customHeight="1">
      <c r="A96" t="inlineStr">
        <is>
          <t>A 7505-2022</t>
        </is>
      </c>
      <c r="B96" s="1" t="n">
        <v>44607</v>
      </c>
      <c r="C96" s="1" t="n">
        <v>45875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Grentaggsvamp</t>
        </is>
      </c>
      <c r="S96">
        <f>HYPERLINK("https://klasma.github.io/Logging_0360/artfynd/A 7505-2022 artfynd.xlsx", "A 7505-2022")</f>
        <v/>
      </c>
      <c r="T96">
        <f>HYPERLINK("https://klasma.github.io/Logging_0360/kartor/A 7505-2022 karta.png", "A 7505-2022")</f>
        <v/>
      </c>
      <c r="V96">
        <f>HYPERLINK("https://klasma.github.io/Logging_0360/klagomål/A 7505-2022 FSC-klagomål.docx", "A 7505-2022")</f>
        <v/>
      </c>
      <c r="W96">
        <f>HYPERLINK("https://klasma.github.io/Logging_0360/klagomålsmail/A 7505-2022 FSC-klagomål mail.docx", "A 7505-2022")</f>
        <v/>
      </c>
      <c r="X96">
        <f>HYPERLINK("https://klasma.github.io/Logging_0360/tillsyn/A 7505-2022 tillsynsbegäran.docx", "A 7505-2022")</f>
        <v/>
      </c>
      <c r="Y96">
        <f>HYPERLINK("https://klasma.github.io/Logging_0360/tillsynsmail/A 7505-2022 tillsynsbegäran mail.docx", "A 7505-2022")</f>
        <v/>
      </c>
    </row>
    <row r="97" ht="15" customHeight="1">
      <c r="A97" t="inlineStr">
        <is>
          <t>A 33375-2022</t>
        </is>
      </c>
      <c r="B97" s="1" t="n">
        <v>44788</v>
      </c>
      <c r="C97" s="1" t="n">
        <v>45875</v>
      </c>
      <c r="D97" t="inlineStr">
        <is>
          <t>UPPSALA LÄN</t>
        </is>
      </c>
      <c r="E97" t="inlineStr">
        <is>
          <t>TIERP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Fältgentiana</t>
        </is>
      </c>
      <c r="S97">
        <f>HYPERLINK("https://klasma.github.io/Logging_0360/artfynd/A 33375-2022 artfynd.xlsx", "A 33375-2022")</f>
        <v/>
      </c>
      <c r="T97">
        <f>HYPERLINK("https://klasma.github.io/Logging_0360/kartor/A 33375-2022 karta.png", "A 33375-2022")</f>
        <v/>
      </c>
      <c r="V97">
        <f>HYPERLINK("https://klasma.github.io/Logging_0360/klagomål/A 33375-2022 FSC-klagomål.docx", "A 33375-2022")</f>
        <v/>
      </c>
      <c r="W97">
        <f>HYPERLINK("https://klasma.github.io/Logging_0360/klagomålsmail/A 33375-2022 FSC-klagomål mail.docx", "A 33375-2022")</f>
        <v/>
      </c>
      <c r="X97">
        <f>HYPERLINK("https://klasma.github.io/Logging_0360/tillsyn/A 33375-2022 tillsynsbegäran.docx", "A 33375-2022")</f>
        <v/>
      </c>
      <c r="Y97">
        <f>HYPERLINK("https://klasma.github.io/Logging_0360/tillsynsmail/A 33375-2022 tillsynsbegäran mail.docx", "A 33375-2022")</f>
        <v/>
      </c>
    </row>
    <row r="98" ht="15" customHeight="1">
      <c r="A98" t="inlineStr">
        <is>
          <t>A 40362-2022</t>
        </is>
      </c>
      <c r="B98" s="1" t="n">
        <v>44823</v>
      </c>
      <c r="C98" s="1" t="n">
        <v>45875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18.5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HYPERLINK("https://klasma.github.io/Logging_0360/artfynd/A 40362-2022 artfynd.xlsx", "A 40362-2022")</f>
        <v/>
      </c>
      <c r="T98">
        <f>HYPERLINK("https://klasma.github.io/Logging_0360/kartor/A 40362-2022 karta.png", "A 40362-2022")</f>
        <v/>
      </c>
      <c r="V98">
        <f>HYPERLINK("https://klasma.github.io/Logging_0360/klagomål/A 40362-2022 FSC-klagomål.docx", "A 40362-2022")</f>
        <v/>
      </c>
      <c r="W98">
        <f>HYPERLINK("https://klasma.github.io/Logging_0360/klagomålsmail/A 40362-2022 FSC-klagomål mail.docx", "A 40362-2022")</f>
        <v/>
      </c>
      <c r="X98">
        <f>HYPERLINK("https://klasma.github.io/Logging_0360/tillsyn/A 40362-2022 tillsynsbegäran.docx", "A 40362-2022")</f>
        <v/>
      </c>
      <c r="Y98">
        <f>HYPERLINK("https://klasma.github.io/Logging_0360/tillsynsmail/A 40362-2022 tillsynsbegäran mail.docx", "A 40362-2022")</f>
        <v/>
      </c>
    </row>
    <row r="99" ht="15" customHeight="1">
      <c r="A99" t="inlineStr">
        <is>
          <t>A 45536-2022</t>
        </is>
      </c>
      <c r="B99" s="1" t="n">
        <v>44845</v>
      </c>
      <c r="C99" s="1" t="n">
        <v>45875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HYPERLINK("https://klasma.github.io/Logging_0360/artfynd/A 45536-2022 artfynd.xlsx", "A 45536-2022")</f>
        <v/>
      </c>
      <c r="T99">
        <f>HYPERLINK("https://klasma.github.io/Logging_0360/kartor/A 45536-2022 karta.png", "A 45536-2022")</f>
        <v/>
      </c>
      <c r="V99">
        <f>HYPERLINK("https://klasma.github.io/Logging_0360/klagomål/A 45536-2022 FSC-klagomål.docx", "A 45536-2022")</f>
        <v/>
      </c>
      <c r="W99">
        <f>HYPERLINK("https://klasma.github.io/Logging_0360/klagomålsmail/A 45536-2022 FSC-klagomål mail.docx", "A 45536-2022")</f>
        <v/>
      </c>
      <c r="X99">
        <f>HYPERLINK("https://klasma.github.io/Logging_0360/tillsyn/A 45536-2022 tillsynsbegäran.docx", "A 45536-2022")</f>
        <v/>
      </c>
      <c r="Y99">
        <f>HYPERLINK("https://klasma.github.io/Logging_0360/tillsynsmail/A 45536-2022 tillsynsbegäran mail.docx", "A 45536-2022")</f>
        <v/>
      </c>
    </row>
    <row r="100" ht="15" customHeight="1">
      <c r="A100" t="inlineStr">
        <is>
          <t>A 47227-2022</t>
        </is>
      </c>
      <c r="B100" s="1" t="n">
        <v>44852</v>
      </c>
      <c r="C100" s="1" t="n">
        <v>45875</v>
      </c>
      <c r="D100" t="inlineStr">
        <is>
          <t>UPPSALA LÄN</t>
        </is>
      </c>
      <c r="E100" t="inlineStr">
        <is>
          <t>TIERP</t>
        </is>
      </c>
      <c r="G100" t="n">
        <v>5.9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47227-2022 artfynd.xlsx", "A 47227-2022")</f>
        <v/>
      </c>
      <c r="T100">
        <f>HYPERLINK("https://klasma.github.io/Logging_0360/kartor/A 47227-2022 karta.png", "A 47227-2022")</f>
        <v/>
      </c>
      <c r="V100">
        <f>HYPERLINK("https://klasma.github.io/Logging_0360/klagomål/A 47227-2022 FSC-klagomål.docx", "A 47227-2022")</f>
        <v/>
      </c>
      <c r="W100">
        <f>HYPERLINK("https://klasma.github.io/Logging_0360/klagomålsmail/A 47227-2022 FSC-klagomål mail.docx", "A 47227-2022")</f>
        <v/>
      </c>
      <c r="X100">
        <f>HYPERLINK("https://klasma.github.io/Logging_0360/tillsyn/A 47227-2022 tillsynsbegäran.docx", "A 47227-2022")</f>
        <v/>
      </c>
      <c r="Y100">
        <f>HYPERLINK("https://klasma.github.io/Logging_0360/tillsynsmail/A 47227-2022 tillsynsbegäran mail.docx", "A 47227-2022")</f>
        <v/>
      </c>
    </row>
    <row r="101" ht="15" customHeight="1">
      <c r="A101" t="inlineStr">
        <is>
          <t>A 56968-2022</t>
        </is>
      </c>
      <c r="B101" s="1" t="n">
        <v>44894</v>
      </c>
      <c r="C101" s="1" t="n">
        <v>45875</v>
      </c>
      <c r="D101" t="inlineStr">
        <is>
          <t>UPPSALA LÄN</t>
        </is>
      </c>
      <c r="E101" t="inlineStr">
        <is>
          <t>TIERP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Olivspindling</t>
        </is>
      </c>
      <c r="S101">
        <f>HYPERLINK("https://klasma.github.io/Logging_0360/artfynd/A 56968-2022 artfynd.xlsx", "A 56968-2022")</f>
        <v/>
      </c>
      <c r="T101">
        <f>HYPERLINK("https://klasma.github.io/Logging_0360/kartor/A 56968-2022 karta.png", "A 56968-2022")</f>
        <v/>
      </c>
      <c r="V101">
        <f>HYPERLINK("https://klasma.github.io/Logging_0360/klagomål/A 56968-2022 FSC-klagomål.docx", "A 56968-2022")</f>
        <v/>
      </c>
      <c r="W101">
        <f>HYPERLINK("https://klasma.github.io/Logging_0360/klagomålsmail/A 56968-2022 FSC-klagomål mail.docx", "A 56968-2022")</f>
        <v/>
      </c>
      <c r="X101">
        <f>HYPERLINK("https://klasma.github.io/Logging_0360/tillsyn/A 56968-2022 tillsynsbegäran.docx", "A 56968-2022")</f>
        <v/>
      </c>
      <c r="Y101">
        <f>HYPERLINK("https://klasma.github.io/Logging_0360/tillsynsmail/A 56968-2022 tillsynsbegäran mail.docx", "A 56968-2022")</f>
        <v/>
      </c>
    </row>
    <row r="102" ht="15" customHeight="1">
      <c r="A102" t="inlineStr">
        <is>
          <t>A 60555-2022</t>
        </is>
      </c>
      <c r="B102" s="1" t="n">
        <v>44911</v>
      </c>
      <c r="C102" s="1" t="n">
        <v>45875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4.5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60555-2022 artfynd.xlsx", "A 60555-2022")</f>
        <v/>
      </c>
      <c r="T102">
        <f>HYPERLINK("https://klasma.github.io/Logging_0360/kartor/A 60555-2022 karta.png", "A 60555-2022")</f>
        <v/>
      </c>
      <c r="V102">
        <f>HYPERLINK("https://klasma.github.io/Logging_0360/klagomål/A 60555-2022 FSC-klagomål.docx", "A 60555-2022")</f>
        <v/>
      </c>
      <c r="W102">
        <f>HYPERLINK("https://klasma.github.io/Logging_0360/klagomålsmail/A 60555-2022 FSC-klagomål mail.docx", "A 60555-2022")</f>
        <v/>
      </c>
      <c r="X102">
        <f>HYPERLINK("https://klasma.github.io/Logging_0360/tillsyn/A 60555-2022 tillsynsbegäran.docx", "A 60555-2022")</f>
        <v/>
      </c>
      <c r="Y102">
        <f>HYPERLINK("https://klasma.github.io/Logging_0360/tillsynsmail/A 60555-2022 tillsynsbegäran mail.docx", "A 60555-2022")</f>
        <v/>
      </c>
    </row>
    <row r="103" ht="15" customHeight="1">
      <c r="A103" t="inlineStr">
        <is>
          <t>A 4544-2023</t>
        </is>
      </c>
      <c r="B103" s="1" t="n">
        <v>44956</v>
      </c>
      <c r="C103" s="1" t="n">
        <v>45875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11.5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4544-2023 artfynd.xlsx", "A 4544-2023")</f>
        <v/>
      </c>
      <c r="T103">
        <f>HYPERLINK("https://klasma.github.io/Logging_0360/kartor/A 4544-2023 karta.png", "A 4544-2023")</f>
        <v/>
      </c>
      <c r="V103">
        <f>HYPERLINK("https://klasma.github.io/Logging_0360/klagomål/A 4544-2023 FSC-klagomål.docx", "A 4544-2023")</f>
        <v/>
      </c>
      <c r="W103">
        <f>HYPERLINK("https://klasma.github.io/Logging_0360/klagomålsmail/A 4544-2023 FSC-klagomål mail.docx", "A 4544-2023")</f>
        <v/>
      </c>
      <c r="X103">
        <f>HYPERLINK("https://klasma.github.io/Logging_0360/tillsyn/A 4544-2023 tillsynsbegäran.docx", "A 4544-2023")</f>
        <v/>
      </c>
      <c r="Y103">
        <f>HYPERLINK("https://klasma.github.io/Logging_0360/tillsynsmail/A 4544-2023 tillsynsbegäran mail.docx", "A 4544-2023")</f>
        <v/>
      </c>
    </row>
    <row r="104" ht="15" customHeight="1">
      <c r="A104" t="inlineStr">
        <is>
          <t>A 5472-2023</t>
        </is>
      </c>
      <c r="B104" s="1" t="n">
        <v>44960</v>
      </c>
      <c r="C104" s="1" t="n">
        <v>45875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7.8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5472-2023 artfynd.xlsx", "A 5472-2023")</f>
        <v/>
      </c>
      <c r="T104">
        <f>HYPERLINK("https://klasma.github.io/Logging_0360/kartor/A 5472-2023 karta.png", "A 5472-2023")</f>
        <v/>
      </c>
      <c r="V104">
        <f>HYPERLINK("https://klasma.github.io/Logging_0360/klagomål/A 5472-2023 FSC-klagomål.docx", "A 5472-2023")</f>
        <v/>
      </c>
      <c r="W104">
        <f>HYPERLINK("https://klasma.github.io/Logging_0360/klagomålsmail/A 5472-2023 FSC-klagomål mail.docx", "A 5472-2023")</f>
        <v/>
      </c>
      <c r="X104">
        <f>HYPERLINK("https://klasma.github.io/Logging_0360/tillsyn/A 5472-2023 tillsynsbegäran.docx", "A 5472-2023")</f>
        <v/>
      </c>
      <c r="Y104">
        <f>HYPERLINK("https://klasma.github.io/Logging_0360/tillsynsmail/A 5472-2023 tillsynsbegäran mail.docx", "A 5472-2023")</f>
        <v/>
      </c>
    </row>
    <row r="105" ht="15" customHeight="1">
      <c r="A105" t="inlineStr">
        <is>
          <t>A 13433-2023</t>
        </is>
      </c>
      <c r="B105" s="1" t="n">
        <v>45005</v>
      </c>
      <c r="C105" s="1" t="n">
        <v>45875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2.6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13433-2023 artfynd.xlsx", "A 13433-2023")</f>
        <v/>
      </c>
      <c r="T105">
        <f>HYPERLINK("https://klasma.github.io/Logging_0360/kartor/A 13433-2023 karta.png", "A 13433-2023")</f>
        <v/>
      </c>
      <c r="V105">
        <f>HYPERLINK("https://klasma.github.io/Logging_0360/klagomål/A 13433-2023 FSC-klagomål.docx", "A 13433-2023")</f>
        <v/>
      </c>
      <c r="W105">
        <f>HYPERLINK("https://klasma.github.io/Logging_0360/klagomålsmail/A 13433-2023 FSC-klagomål mail.docx", "A 13433-2023")</f>
        <v/>
      </c>
      <c r="X105">
        <f>HYPERLINK("https://klasma.github.io/Logging_0360/tillsyn/A 13433-2023 tillsynsbegäran.docx", "A 13433-2023")</f>
        <v/>
      </c>
      <c r="Y105">
        <f>HYPERLINK("https://klasma.github.io/Logging_0360/tillsynsmail/A 13433-2023 tillsynsbegäran mail.docx", "A 13433-2023")</f>
        <v/>
      </c>
    </row>
    <row r="106" ht="15" customHeight="1">
      <c r="A106" t="inlineStr">
        <is>
          <t>A 38151-2023</t>
        </is>
      </c>
      <c r="B106" s="1" t="n">
        <v>45160</v>
      </c>
      <c r="C106" s="1" t="n">
        <v>45875</v>
      </c>
      <c r="D106" t="inlineStr">
        <is>
          <t>UPPSALA LÄN</t>
        </is>
      </c>
      <c r="E106" t="inlineStr">
        <is>
          <t>TIERP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Tornseglare</t>
        </is>
      </c>
      <c r="S106">
        <f>HYPERLINK("https://klasma.github.io/Logging_0360/artfynd/A 38151-2023 artfynd.xlsx", "A 38151-2023")</f>
        <v/>
      </c>
      <c r="T106">
        <f>HYPERLINK("https://klasma.github.io/Logging_0360/kartor/A 38151-2023 karta.png", "A 38151-2023")</f>
        <v/>
      </c>
      <c r="V106">
        <f>HYPERLINK("https://klasma.github.io/Logging_0360/klagomål/A 38151-2023 FSC-klagomål.docx", "A 38151-2023")</f>
        <v/>
      </c>
      <c r="W106">
        <f>HYPERLINK("https://klasma.github.io/Logging_0360/klagomålsmail/A 38151-2023 FSC-klagomål mail.docx", "A 38151-2023")</f>
        <v/>
      </c>
      <c r="X106">
        <f>HYPERLINK("https://klasma.github.io/Logging_0360/tillsyn/A 38151-2023 tillsynsbegäran.docx", "A 38151-2023")</f>
        <v/>
      </c>
      <c r="Y106">
        <f>HYPERLINK("https://klasma.github.io/Logging_0360/tillsynsmail/A 38151-2023 tillsynsbegäran mail.docx", "A 38151-2023")</f>
        <v/>
      </c>
      <c r="Z106">
        <f>HYPERLINK("https://klasma.github.io/Logging_0360/fåglar/A 38151-2023 prioriterade fågelarter.docx", "A 38151-2023")</f>
        <v/>
      </c>
    </row>
    <row r="107" ht="15" customHeight="1">
      <c r="A107" t="inlineStr">
        <is>
          <t>A 38105-2023</t>
        </is>
      </c>
      <c r="B107" s="1" t="n">
        <v>45161</v>
      </c>
      <c r="C107" s="1" t="n">
        <v>45875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15.1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HYPERLINK("https://klasma.github.io/Logging_0360/artfynd/A 38105-2023 artfynd.xlsx", "A 38105-2023")</f>
        <v/>
      </c>
      <c r="T107">
        <f>HYPERLINK("https://klasma.github.io/Logging_0360/kartor/A 38105-2023 karta.png", "A 38105-2023")</f>
        <v/>
      </c>
      <c r="V107">
        <f>HYPERLINK("https://klasma.github.io/Logging_0360/klagomål/A 38105-2023 FSC-klagomål.docx", "A 38105-2023")</f>
        <v/>
      </c>
      <c r="W107">
        <f>HYPERLINK("https://klasma.github.io/Logging_0360/klagomålsmail/A 38105-2023 FSC-klagomål mail.docx", "A 38105-2023")</f>
        <v/>
      </c>
      <c r="X107">
        <f>HYPERLINK("https://klasma.github.io/Logging_0360/tillsyn/A 38105-2023 tillsynsbegäran.docx", "A 38105-2023")</f>
        <v/>
      </c>
      <c r="Y107">
        <f>HYPERLINK("https://klasma.github.io/Logging_0360/tillsynsmail/A 38105-2023 tillsynsbegäran mail.docx", "A 38105-2023")</f>
        <v/>
      </c>
      <c r="Z107">
        <f>HYPERLINK("https://klasma.github.io/Logging_0360/fåglar/A 38105-2023 prioriterade fågelarter.docx", "A 38105-2023")</f>
        <v/>
      </c>
    </row>
    <row r="108" ht="15" customHeight="1">
      <c r="A108" t="inlineStr">
        <is>
          <t>A 38821-2023</t>
        </is>
      </c>
      <c r="B108" s="1" t="n">
        <v>45163</v>
      </c>
      <c r="C108" s="1" t="n">
        <v>45875</v>
      </c>
      <c r="D108" t="inlineStr">
        <is>
          <t>UPPSALA LÄN</t>
        </is>
      </c>
      <c r="E108" t="inlineStr">
        <is>
          <t>TIERP</t>
        </is>
      </c>
      <c r="G108" t="n">
        <v>20.3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HYPERLINK("https://klasma.github.io/Logging_0360/artfynd/A 38821-2023 artfynd.xlsx", "A 38821-2023")</f>
        <v/>
      </c>
      <c r="T108">
        <f>HYPERLINK("https://klasma.github.io/Logging_0360/kartor/A 38821-2023 karta.png", "A 38821-2023")</f>
        <v/>
      </c>
      <c r="V108">
        <f>HYPERLINK("https://klasma.github.io/Logging_0360/klagomål/A 38821-2023 FSC-klagomål.docx", "A 38821-2023")</f>
        <v/>
      </c>
      <c r="W108">
        <f>HYPERLINK("https://klasma.github.io/Logging_0360/klagomålsmail/A 38821-2023 FSC-klagomål mail.docx", "A 38821-2023")</f>
        <v/>
      </c>
      <c r="X108">
        <f>HYPERLINK("https://klasma.github.io/Logging_0360/tillsyn/A 38821-2023 tillsynsbegäran.docx", "A 38821-2023")</f>
        <v/>
      </c>
      <c r="Y108">
        <f>HYPERLINK("https://klasma.github.io/Logging_0360/tillsynsmail/A 38821-2023 tillsynsbegäran mail.docx", "A 38821-2023")</f>
        <v/>
      </c>
    </row>
    <row r="109" ht="15" customHeight="1">
      <c r="A109" t="inlineStr">
        <is>
          <t>A 40878-2023</t>
        </is>
      </c>
      <c r="B109" s="1" t="n">
        <v>45173</v>
      </c>
      <c r="C109" s="1" t="n">
        <v>45875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4.7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HYPERLINK("https://klasma.github.io/Logging_0360/artfynd/A 40878-2023 artfynd.xlsx", "A 40878-2023")</f>
        <v/>
      </c>
      <c r="T109">
        <f>HYPERLINK("https://klasma.github.io/Logging_0360/kartor/A 40878-2023 karta.png", "A 40878-2023")</f>
        <v/>
      </c>
      <c r="V109">
        <f>HYPERLINK("https://klasma.github.io/Logging_0360/klagomål/A 40878-2023 FSC-klagomål.docx", "A 40878-2023")</f>
        <v/>
      </c>
      <c r="W109">
        <f>HYPERLINK("https://klasma.github.io/Logging_0360/klagomålsmail/A 40878-2023 FSC-klagomål mail.docx", "A 40878-2023")</f>
        <v/>
      </c>
      <c r="X109">
        <f>HYPERLINK("https://klasma.github.io/Logging_0360/tillsyn/A 40878-2023 tillsynsbegäran.docx", "A 40878-2023")</f>
        <v/>
      </c>
      <c r="Y109">
        <f>HYPERLINK("https://klasma.github.io/Logging_0360/tillsynsmail/A 40878-2023 tillsynsbegäran mail.docx", "A 40878-2023")</f>
        <v/>
      </c>
    </row>
    <row r="110" ht="15" customHeight="1">
      <c r="A110" t="inlineStr">
        <is>
          <t>A 40940-2023</t>
        </is>
      </c>
      <c r="B110" s="1" t="n">
        <v>45173</v>
      </c>
      <c r="C110" s="1" t="n">
        <v>45875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1.3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40940-2023 artfynd.xlsx", "A 40940-2023")</f>
        <v/>
      </c>
      <c r="T110">
        <f>HYPERLINK("https://klasma.github.io/Logging_0360/kartor/A 40940-2023 karta.png", "A 40940-2023")</f>
        <v/>
      </c>
      <c r="V110">
        <f>HYPERLINK("https://klasma.github.io/Logging_0360/klagomål/A 40940-2023 FSC-klagomål.docx", "A 40940-2023")</f>
        <v/>
      </c>
      <c r="W110">
        <f>HYPERLINK("https://klasma.github.io/Logging_0360/klagomålsmail/A 40940-2023 FSC-klagomål mail.docx", "A 40940-2023")</f>
        <v/>
      </c>
      <c r="X110">
        <f>HYPERLINK("https://klasma.github.io/Logging_0360/tillsyn/A 40940-2023 tillsynsbegäran.docx", "A 40940-2023")</f>
        <v/>
      </c>
      <c r="Y110">
        <f>HYPERLINK("https://klasma.github.io/Logging_0360/tillsynsmail/A 40940-2023 tillsynsbegäran mail.docx", "A 40940-2023")</f>
        <v/>
      </c>
    </row>
    <row r="111" ht="15" customHeight="1">
      <c r="A111" t="inlineStr">
        <is>
          <t>A 43162-2023</t>
        </is>
      </c>
      <c r="B111" s="1" t="n">
        <v>45183</v>
      </c>
      <c r="C111" s="1" t="n">
        <v>45875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15.7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Gulsparv</t>
        </is>
      </c>
      <c r="S111">
        <f>HYPERLINK("https://klasma.github.io/Logging_0360/artfynd/A 43162-2023 artfynd.xlsx", "A 43162-2023")</f>
        <v/>
      </c>
      <c r="T111">
        <f>HYPERLINK("https://klasma.github.io/Logging_0360/kartor/A 43162-2023 karta.png", "A 43162-2023")</f>
        <v/>
      </c>
      <c r="V111">
        <f>HYPERLINK("https://klasma.github.io/Logging_0360/klagomål/A 43162-2023 FSC-klagomål.docx", "A 43162-2023")</f>
        <v/>
      </c>
      <c r="W111">
        <f>HYPERLINK("https://klasma.github.io/Logging_0360/klagomålsmail/A 43162-2023 FSC-klagomål mail.docx", "A 43162-2023")</f>
        <v/>
      </c>
      <c r="X111">
        <f>HYPERLINK("https://klasma.github.io/Logging_0360/tillsyn/A 43162-2023 tillsynsbegäran.docx", "A 43162-2023")</f>
        <v/>
      </c>
      <c r="Y111">
        <f>HYPERLINK("https://klasma.github.io/Logging_0360/tillsynsmail/A 43162-2023 tillsynsbegäran mail.docx", "A 43162-2023")</f>
        <v/>
      </c>
      <c r="Z111">
        <f>HYPERLINK("https://klasma.github.io/Logging_0360/fåglar/A 43162-2023 prioriterade fågelarter.docx", "A 43162-2023")</f>
        <v/>
      </c>
    </row>
    <row r="112" ht="15" customHeight="1">
      <c r="A112" t="inlineStr">
        <is>
          <t>A 49794-2023</t>
        </is>
      </c>
      <c r="B112" s="1" t="n">
        <v>45212</v>
      </c>
      <c r="C112" s="1" t="n">
        <v>45875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HYPERLINK("https://klasma.github.io/Logging_0360/artfynd/A 49794-2023 artfynd.xlsx", "A 49794-2023")</f>
        <v/>
      </c>
      <c r="T112">
        <f>HYPERLINK("https://klasma.github.io/Logging_0360/kartor/A 49794-2023 karta.png", "A 49794-2023")</f>
        <v/>
      </c>
      <c r="V112">
        <f>HYPERLINK("https://klasma.github.io/Logging_0360/klagomål/A 49794-2023 FSC-klagomål.docx", "A 49794-2023")</f>
        <v/>
      </c>
      <c r="W112">
        <f>HYPERLINK("https://klasma.github.io/Logging_0360/klagomålsmail/A 49794-2023 FSC-klagomål mail.docx", "A 49794-2023")</f>
        <v/>
      </c>
      <c r="X112">
        <f>HYPERLINK("https://klasma.github.io/Logging_0360/tillsyn/A 49794-2023 tillsynsbegäran.docx", "A 49794-2023")</f>
        <v/>
      </c>
      <c r="Y112">
        <f>HYPERLINK("https://klasma.github.io/Logging_0360/tillsynsmail/A 49794-2023 tillsynsbegäran mail.docx", "A 49794-2023")</f>
        <v/>
      </c>
    </row>
    <row r="113" ht="15" customHeight="1">
      <c r="A113" t="inlineStr">
        <is>
          <t>A 57638-2023</t>
        </is>
      </c>
      <c r="B113" s="1" t="n">
        <v>45246</v>
      </c>
      <c r="C113" s="1" t="n">
        <v>45875</v>
      </c>
      <c r="D113" t="inlineStr">
        <is>
          <t>UPPSALA LÄN</t>
        </is>
      </c>
      <c r="E113" t="inlineStr">
        <is>
          <t>TIERP</t>
        </is>
      </c>
      <c r="G113" t="n">
        <v>3.7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Skogsklocka</t>
        </is>
      </c>
      <c r="S113">
        <f>HYPERLINK("https://klasma.github.io/Logging_0360/artfynd/A 57638-2023 artfynd.xlsx", "A 57638-2023")</f>
        <v/>
      </c>
      <c r="T113">
        <f>HYPERLINK("https://klasma.github.io/Logging_0360/kartor/A 57638-2023 karta.png", "A 57638-2023")</f>
        <v/>
      </c>
      <c r="V113">
        <f>HYPERLINK("https://klasma.github.io/Logging_0360/klagomål/A 57638-2023 FSC-klagomål.docx", "A 57638-2023")</f>
        <v/>
      </c>
      <c r="W113">
        <f>HYPERLINK("https://klasma.github.io/Logging_0360/klagomålsmail/A 57638-2023 FSC-klagomål mail.docx", "A 57638-2023")</f>
        <v/>
      </c>
      <c r="X113">
        <f>HYPERLINK("https://klasma.github.io/Logging_0360/tillsyn/A 57638-2023 tillsynsbegäran.docx", "A 57638-2023")</f>
        <v/>
      </c>
      <c r="Y113">
        <f>HYPERLINK("https://klasma.github.io/Logging_0360/tillsynsmail/A 57638-2023 tillsynsbegäran mail.docx", "A 57638-2023")</f>
        <v/>
      </c>
    </row>
    <row r="114" ht="15" customHeight="1">
      <c r="A114" t="inlineStr">
        <is>
          <t>A 59454-2023</t>
        </is>
      </c>
      <c r="B114" s="1" t="n">
        <v>45253</v>
      </c>
      <c r="C114" s="1" t="n">
        <v>45875</v>
      </c>
      <c r="D114" t="inlineStr">
        <is>
          <t>UPPSALA LÄN</t>
        </is>
      </c>
      <c r="E114" t="inlineStr">
        <is>
          <t>TIERP</t>
        </is>
      </c>
      <c r="G114" t="n">
        <v>8.800000000000001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Jättesvampmal</t>
        </is>
      </c>
      <c r="S114">
        <f>HYPERLINK("https://klasma.github.io/Logging_0360/artfynd/A 59454-2023 artfynd.xlsx", "A 59454-2023")</f>
        <v/>
      </c>
      <c r="T114">
        <f>HYPERLINK("https://klasma.github.io/Logging_0360/kartor/A 59454-2023 karta.png", "A 59454-2023")</f>
        <v/>
      </c>
      <c r="V114">
        <f>HYPERLINK("https://klasma.github.io/Logging_0360/klagomål/A 59454-2023 FSC-klagomål.docx", "A 59454-2023")</f>
        <v/>
      </c>
      <c r="W114">
        <f>HYPERLINK("https://klasma.github.io/Logging_0360/klagomålsmail/A 59454-2023 FSC-klagomål mail.docx", "A 59454-2023")</f>
        <v/>
      </c>
      <c r="X114">
        <f>HYPERLINK("https://klasma.github.io/Logging_0360/tillsyn/A 59454-2023 tillsynsbegäran.docx", "A 59454-2023")</f>
        <v/>
      </c>
      <c r="Y114">
        <f>HYPERLINK("https://klasma.github.io/Logging_0360/tillsynsmail/A 59454-2023 tillsynsbegäran mail.docx", "A 59454-2023")</f>
        <v/>
      </c>
    </row>
    <row r="115" ht="15" customHeight="1">
      <c r="A115" t="inlineStr">
        <is>
          <t>A 2298-2024</t>
        </is>
      </c>
      <c r="B115" s="1" t="n">
        <v>45310</v>
      </c>
      <c r="C115" s="1" t="n">
        <v>45875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Fyrflikig jordstjärna</t>
        </is>
      </c>
      <c r="S115">
        <f>HYPERLINK("https://klasma.github.io/Logging_0360/artfynd/A 2298-2024 artfynd.xlsx", "A 2298-2024")</f>
        <v/>
      </c>
      <c r="T115">
        <f>HYPERLINK("https://klasma.github.io/Logging_0360/kartor/A 2298-2024 karta.png", "A 2298-2024")</f>
        <v/>
      </c>
      <c r="V115">
        <f>HYPERLINK("https://klasma.github.io/Logging_0360/klagomål/A 2298-2024 FSC-klagomål.docx", "A 2298-2024")</f>
        <v/>
      </c>
      <c r="W115">
        <f>HYPERLINK("https://klasma.github.io/Logging_0360/klagomålsmail/A 2298-2024 FSC-klagomål mail.docx", "A 2298-2024")</f>
        <v/>
      </c>
      <c r="X115">
        <f>HYPERLINK("https://klasma.github.io/Logging_0360/tillsyn/A 2298-2024 tillsynsbegäran.docx", "A 2298-2024")</f>
        <v/>
      </c>
      <c r="Y115">
        <f>HYPERLINK("https://klasma.github.io/Logging_0360/tillsynsmail/A 2298-2024 tillsynsbegäran mail.docx", "A 2298-2024")</f>
        <v/>
      </c>
    </row>
    <row r="116" ht="15" customHeight="1">
      <c r="A116" t="inlineStr">
        <is>
          <t>A 2332-2024</t>
        </is>
      </c>
      <c r="B116" s="1" t="n">
        <v>45310</v>
      </c>
      <c r="C116" s="1" t="n">
        <v>45875</v>
      </c>
      <c r="D116" t="inlineStr">
        <is>
          <t>UPPSALA LÄN</t>
        </is>
      </c>
      <c r="E116" t="inlineStr">
        <is>
          <t>TIERP</t>
        </is>
      </c>
      <c r="G116" t="n">
        <v>3.7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HYPERLINK("https://klasma.github.io/Logging_0360/artfynd/A 2332-2024 artfynd.xlsx", "A 2332-2024")</f>
        <v/>
      </c>
      <c r="T116">
        <f>HYPERLINK("https://klasma.github.io/Logging_0360/kartor/A 2332-2024 karta.png", "A 2332-2024")</f>
        <v/>
      </c>
      <c r="V116">
        <f>HYPERLINK("https://klasma.github.io/Logging_0360/klagomål/A 2332-2024 FSC-klagomål.docx", "A 2332-2024")</f>
        <v/>
      </c>
      <c r="W116">
        <f>HYPERLINK("https://klasma.github.io/Logging_0360/klagomålsmail/A 2332-2024 FSC-klagomål mail.docx", "A 2332-2024")</f>
        <v/>
      </c>
      <c r="X116">
        <f>HYPERLINK("https://klasma.github.io/Logging_0360/tillsyn/A 2332-2024 tillsynsbegäran.docx", "A 2332-2024")</f>
        <v/>
      </c>
      <c r="Y116">
        <f>HYPERLINK("https://klasma.github.io/Logging_0360/tillsynsmail/A 2332-2024 tillsynsbegäran mail.docx", "A 2332-2024")</f>
        <v/>
      </c>
      <c r="Z116">
        <f>HYPERLINK("https://klasma.github.io/Logging_0360/fåglar/A 2332-2024 prioriterade fågelarter.docx", "A 2332-2024")</f>
        <v/>
      </c>
    </row>
    <row r="117" ht="15" customHeight="1">
      <c r="A117" t="inlineStr">
        <is>
          <t>A 5700-2024</t>
        </is>
      </c>
      <c r="B117" s="1" t="n">
        <v>45335</v>
      </c>
      <c r="C117" s="1" t="n">
        <v>45875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HYPERLINK("https://klasma.github.io/Logging_0360/artfynd/A 5700-2024 artfynd.xlsx", "A 5700-2024")</f>
        <v/>
      </c>
      <c r="T117">
        <f>HYPERLINK("https://klasma.github.io/Logging_0360/kartor/A 5700-2024 karta.png", "A 5700-2024")</f>
        <v/>
      </c>
      <c r="V117">
        <f>HYPERLINK("https://klasma.github.io/Logging_0360/klagomål/A 5700-2024 FSC-klagomål.docx", "A 5700-2024")</f>
        <v/>
      </c>
      <c r="W117">
        <f>HYPERLINK("https://klasma.github.io/Logging_0360/klagomålsmail/A 5700-2024 FSC-klagomål mail.docx", "A 5700-2024")</f>
        <v/>
      </c>
      <c r="X117">
        <f>HYPERLINK("https://klasma.github.io/Logging_0360/tillsyn/A 5700-2024 tillsynsbegäran.docx", "A 5700-2024")</f>
        <v/>
      </c>
      <c r="Y117">
        <f>HYPERLINK("https://klasma.github.io/Logging_0360/tillsynsmail/A 5700-2024 tillsynsbegäran mail.docx", "A 5700-2024")</f>
        <v/>
      </c>
    </row>
    <row r="118" ht="15" customHeight="1">
      <c r="A118" t="inlineStr">
        <is>
          <t>A 24221-2024</t>
        </is>
      </c>
      <c r="B118" s="1" t="n">
        <v>45457</v>
      </c>
      <c r="C118" s="1" t="n">
        <v>45875</v>
      </c>
      <c r="D118" t="inlineStr">
        <is>
          <t>UPPSALA LÄN</t>
        </is>
      </c>
      <c r="E118" t="inlineStr">
        <is>
          <t>TIERP</t>
        </is>
      </c>
      <c r="G118" t="n">
        <v>7.9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Skogsknipprot</t>
        </is>
      </c>
      <c r="S118">
        <f>HYPERLINK("https://klasma.github.io/Logging_0360/artfynd/A 24221-2024 artfynd.xlsx", "A 24221-2024")</f>
        <v/>
      </c>
      <c r="T118">
        <f>HYPERLINK("https://klasma.github.io/Logging_0360/kartor/A 24221-2024 karta.png", "A 24221-2024")</f>
        <v/>
      </c>
      <c r="V118">
        <f>HYPERLINK("https://klasma.github.io/Logging_0360/klagomål/A 24221-2024 FSC-klagomål.docx", "A 24221-2024")</f>
        <v/>
      </c>
      <c r="W118">
        <f>HYPERLINK("https://klasma.github.io/Logging_0360/klagomålsmail/A 24221-2024 FSC-klagomål mail.docx", "A 24221-2024")</f>
        <v/>
      </c>
      <c r="X118">
        <f>HYPERLINK("https://klasma.github.io/Logging_0360/tillsyn/A 24221-2024 tillsynsbegäran.docx", "A 24221-2024")</f>
        <v/>
      </c>
      <c r="Y118">
        <f>HYPERLINK("https://klasma.github.io/Logging_0360/tillsynsmail/A 24221-2024 tillsynsbegäran mail.docx", "A 24221-2024")</f>
        <v/>
      </c>
    </row>
    <row r="119" ht="15" customHeight="1">
      <c r="A119" t="inlineStr">
        <is>
          <t>A 30122-2024</t>
        </is>
      </c>
      <c r="B119" s="1" t="n">
        <v>45489</v>
      </c>
      <c r="C119" s="1" t="n">
        <v>45875</v>
      </c>
      <c r="D119" t="inlineStr">
        <is>
          <t>UPPSALA LÄN</t>
        </is>
      </c>
      <c r="E119" t="inlineStr">
        <is>
          <t>TIERP</t>
        </is>
      </c>
      <c r="G119" t="n">
        <v>3.4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Nästrot</t>
        </is>
      </c>
      <c r="S119">
        <f>HYPERLINK("https://klasma.github.io/Logging_0360/artfynd/A 30122-2024 artfynd.xlsx", "A 30122-2024")</f>
        <v/>
      </c>
      <c r="T119">
        <f>HYPERLINK("https://klasma.github.io/Logging_0360/kartor/A 30122-2024 karta.png", "A 30122-2024")</f>
        <v/>
      </c>
      <c r="V119">
        <f>HYPERLINK("https://klasma.github.io/Logging_0360/klagomål/A 30122-2024 FSC-klagomål.docx", "A 30122-2024")</f>
        <v/>
      </c>
      <c r="W119">
        <f>HYPERLINK("https://klasma.github.io/Logging_0360/klagomålsmail/A 30122-2024 FSC-klagomål mail.docx", "A 30122-2024")</f>
        <v/>
      </c>
      <c r="X119">
        <f>HYPERLINK("https://klasma.github.io/Logging_0360/tillsyn/A 30122-2024 tillsynsbegäran.docx", "A 30122-2024")</f>
        <v/>
      </c>
      <c r="Y119">
        <f>HYPERLINK("https://klasma.github.io/Logging_0360/tillsynsmail/A 30122-2024 tillsynsbegäran mail.docx", "A 30122-2024")</f>
        <v/>
      </c>
    </row>
    <row r="120" ht="15" customHeight="1">
      <c r="A120" t="inlineStr">
        <is>
          <t>A 30510-2024</t>
        </is>
      </c>
      <c r="B120" s="1" t="n">
        <v>45492</v>
      </c>
      <c r="C120" s="1" t="n">
        <v>45875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Gulsparv</t>
        </is>
      </c>
      <c r="S120">
        <f>HYPERLINK("https://klasma.github.io/Logging_0360/artfynd/A 30510-2024 artfynd.xlsx", "A 30510-2024")</f>
        <v/>
      </c>
      <c r="T120">
        <f>HYPERLINK("https://klasma.github.io/Logging_0360/kartor/A 30510-2024 karta.png", "A 30510-2024")</f>
        <v/>
      </c>
      <c r="V120">
        <f>HYPERLINK("https://klasma.github.io/Logging_0360/klagomål/A 30510-2024 FSC-klagomål.docx", "A 30510-2024")</f>
        <v/>
      </c>
      <c r="W120">
        <f>HYPERLINK("https://klasma.github.io/Logging_0360/klagomålsmail/A 30510-2024 FSC-klagomål mail.docx", "A 30510-2024")</f>
        <v/>
      </c>
      <c r="X120">
        <f>HYPERLINK("https://klasma.github.io/Logging_0360/tillsyn/A 30510-2024 tillsynsbegäran.docx", "A 30510-2024")</f>
        <v/>
      </c>
      <c r="Y120">
        <f>HYPERLINK("https://klasma.github.io/Logging_0360/tillsynsmail/A 30510-2024 tillsynsbegäran mail.docx", "A 30510-2024")</f>
        <v/>
      </c>
      <c r="Z120">
        <f>HYPERLINK("https://klasma.github.io/Logging_0360/fåglar/A 30510-2024 prioriterade fågelarter.docx", "A 30510-2024")</f>
        <v/>
      </c>
    </row>
    <row r="121" ht="15" customHeight="1">
      <c r="A121" t="inlineStr">
        <is>
          <t>A 34464-2024</t>
        </is>
      </c>
      <c r="B121" s="1" t="n">
        <v>45525</v>
      </c>
      <c r="C121" s="1" t="n">
        <v>45875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0.9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Svart trolldruva</t>
        </is>
      </c>
      <c r="S121">
        <f>HYPERLINK("https://klasma.github.io/Logging_0360/artfynd/A 34464-2024 artfynd.xlsx", "A 34464-2024")</f>
        <v/>
      </c>
      <c r="T121">
        <f>HYPERLINK("https://klasma.github.io/Logging_0360/kartor/A 34464-2024 karta.png", "A 34464-2024")</f>
        <v/>
      </c>
      <c r="V121">
        <f>HYPERLINK("https://klasma.github.io/Logging_0360/klagomål/A 34464-2024 FSC-klagomål.docx", "A 34464-2024")</f>
        <v/>
      </c>
      <c r="W121">
        <f>HYPERLINK("https://klasma.github.io/Logging_0360/klagomålsmail/A 34464-2024 FSC-klagomål mail.docx", "A 34464-2024")</f>
        <v/>
      </c>
      <c r="X121">
        <f>HYPERLINK("https://klasma.github.io/Logging_0360/tillsyn/A 34464-2024 tillsynsbegäran.docx", "A 34464-2024")</f>
        <v/>
      </c>
      <c r="Y121">
        <f>HYPERLINK("https://klasma.github.io/Logging_0360/tillsynsmail/A 34464-2024 tillsynsbegäran mail.docx", "A 34464-2024")</f>
        <v/>
      </c>
    </row>
    <row r="122" ht="15" customHeight="1">
      <c r="A122" t="inlineStr">
        <is>
          <t>A 36785-2024</t>
        </is>
      </c>
      <c r="B122" s="1" t="n">
        <v>45538</v>
      </c>
      <c r="C122" s="1" t="n">
        <v>45875</v>
      </c>
      <c r="D122" t="inlineStr">
        <is>
          <t>UPPSALA LÄN</t>
        </is>
      </c>
      <c r="E122" t="inlineStr">
        <is>
          <t>TIERP</t>
        </is>
      </c>
      <c r="G122" t="n">
        <v>4.4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HYPERLINK("https://klasma.github.io/Logging_0360/artfynd/A 36785-2024 artfynd.xlsx", "A 36785-2024")</f>
        <v/>
      </c>
      <c r="T122">
        <f>HYPERLINK("https://klasma.github.io/Logging_0360/kartor/A 36785-2024 karta.png", "A 36785-2024")</f>
        <v/>
      </c>
      <c r="V122">
        <f>HYPERLINK("https://klasma.github.io/Logging_0360/klagomål/A 36785-2024 FSC-klagomål.docx", "A 36785-2024")</f>
        <v/>
      </c>
      <c r="W122">
        <f>HYPERLINK("https://klasma.github.io/Logging_0360/klagomålsmail/A 36785-2024 FSC-klagomål mail.docx", "A 36785-2024")</f>
        <v/>
      </c>
      <c r="X122">
        <f>HYPERLINK("https://klasma.github.io/Logging_0360/tillsyn/A 36785-2024 tillsynsbegäran.docx", "A 36785-2024")</f>
        <v/>
      </c>
      <c r="Y122">
        <f>HYPERLINK("https://klasma.github.io/Logging_0360/tillsynsmail/A 36785-2024 tillsynsbegäran mail.docx", "A 36785-2024")</f>
        <v/>
      </c>
    </row>
    <row r="123" ht="15" customHeight="1">
      <c r="A123" t="inlineStr">
        <is>
          <t>A 40720-2024</t>
        </is>
      </c>
      <c r="B123" s="1" t="n">
        <v>45558</v>
      </c>
      <c r="C123" s="1" t="n">
        <v>45875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Gulsparv</t>
        </is>
      </c>
      <c r="S123">
        <f>HYPERLINK("https://klasma.github.io/Logging_0360/artfynd/A 40720-2024 artfynd.xlsx", "A 40720-2024")</f>
        <v/>
      </c>
      <c r="T123">
        <f>HYPERLINK("https://klasma.github.io/Logging_0360/kartor/A 40720-2024 karta.png", "A 40720-2024")</f>
        <v/>
      </c>
      <c r="V123">
        <f>HYPERLINK("https://klasma.github.io/Logging_0360/klagomål/A 40720-2024 FSC-klagomål.docx", "A 40720-2024")</f>
        <v/>
      </c>
      <c r="W123">
        <f>HYPERLINK("https://klasma.github.io/Logging_0360/klagomålsmail/A 40720-2024 FSC-klagomål mail.docx", "A 40720-2024")</f>
        <v/>
      </c>
      <c r="X123">
        <f>HYPERLINK("https://klasma.github.io/Logging_0360/tillsyn/A 40720-2024 tillsynsbegäran.docx", "A 40720-2024")</f>
        <v/>
      </c>
      <c r="Y123">
        <f>HYPERLINK("https://klasma.github.io/Logging_0360/tillsynsmail/A 40720-2024 tillsynsbegäran mail.docx", "A 40720-2024")</f>
        <v/>
      </c>
      <c r="Z123">
        <f>HYPERLINK("https://klasma.github.io/Logging_0360/fåglar/A 40720-2024 prioriterade fågelarter.docx", "A 40720-2024")</f>
        <v/>
      </c>
    </row>
    <row r="124" ht="15" customHeight="1">
      <c r="A124" t="inlineStr">
        <is>
          <t>A 46527-2024</t>
        </is>
      </c>
      <c r="B124" s="1" t="n">
        <v>45582</v>
      </c>
      <c r="C124" s="1" t="n">
        <v>45875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Rödgul trumpetsvamp</t>
        </is>
      </c>
      <c r="S124">
        <f>HYPERLINK("https://klasma.github.io/Logging_0360/artfynd/A 46527-2024 artfynd.xlsx", "A 46527-2024")</f>
        <v/>
      </c>
      <c r="T124">
        <f>HYPERLINK("https://klasma.github.io/Logging_0360/kartor/A 46527-2024 karta.png", "A 46527-2024")</f>
        <v/>
      </c>
      <c r="V124">
        <f>HYPERLINK("https://klasma.github.io/Logging_0360/klagomål/A 46527-2024 FSC-klagomål.docx", "A 46527-2024")</f>
        <v/>
      </c>
      <c r="W124">
        <f>HYPERLINK("https://klasma.github.io/Logging_0360/klagomålsmail/A 46527-2024 FSC-klagomål mail.docx", "A 46527-2024")</f>
        <v/>
      </c>
      <c r="X124">
        <f>HYPERLINK("https://klasma.github.io/Logging_0360/tillsyn/A 46527-2024 tillsynsbegäran.docx", "A 46527-2024")</f>
        <v/>
      </c>
      <c r="Y124">
        <f>HYPERLINK("https://klasma.github.io/Logging_0360/tillsynsmail/A 46527-2024 tillsynsbegäran mail.docx", "A 46527-2024")</f>
        <v/>
      </c>
    </row>
    <row r="125" ht="15" customHeight="1">
      <c r="A125" t="inlineStr">
        <is>
          <t>A 49692-2024</t>
        </is>
      </c>
      <c r="B125" s="1" t="n">
        <v>45596</v>
      </c>
      <c r="C125" s="1" t="n">
        <v>45875</v>
      </c>
      <c r="D125" t="inlineStr">
        <is>
          <t>UPPSALA LÄN</t>
        </is>
      </c>
      <c r="E125" t="inlineStr">
        <is>
          <t>TIERP</t>
        </is>
      </c>
      <c r="G125" t="n">
        <v>3.7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HYPERLINK("https://klasma.github.io/Logging_0360/artfynd/A 49692-2024 artfynd.xlsx", "A 49692-2024")</f>
        <v/>
      </c>
      <c r="T125">
        <f>HYPERLINK("https://klasma.github.io/Logging_0360/kartor/A 49692-2024 karta.png", "A 49692-2024")</f>
        <v/>
      </c>
      <c r="V125">
        <f>HYPERLINK("https://klasma.github.io/Logging_0360/klagomål/A 49692-2024 FSC-klagomål.docx", "A 49692-2024")</f>
        <v/>
      </c>
      <c r="W125">
        <f>HYPERLINK("https://klasma.github.io/Logging_0360/klagomålsmail/A 49692-2024 FSC-klagomål mail.docx", "A 49692-2024")</f>
        <v/>
      </c>
      <c r="X125">
        <f>HYPERLINK("https://klasma.github.io/Logging_0360/tillsyn/A 49692-2024 tillsynsbegäran.docx", "A 49692-2024")</f>
        <v/>
      </c>
      <c r="Y125">
        <f>HYPERLINK("https://klasma.github.io/Logging_0360/tillsynsmail/A 49692-2024 tillsynsbegäran mail.docx", "A 49692-2024")</f>
        <v/>
      </c>
    </row>
    <row r="126" ht="15" customHeight="1">
      <c r="A126" t="inlineStr">
        <is>
          <t>A 55331-2024</t>
        </is>
      </c>
      <c r="B126" s="1" t="n">
        <v>45621</v>
      </c>
      <c r="C126" s="1" t="n">
        <v>45875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7.3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HYPERLINK("https://klasma.github.io/Logging_0360/artfynd/A 55331-2024 artfynd.xlsx", "A 55331-2024")</f>
        <v/>
      </c>
      <c r="T126">
        <f>HYPERLINK("https://klasma.github.io/Logging_0360/kartor/A 55331-2024 karta.png", "A 55331-2024")</f>
        <v/>
      </c>
      <c r="V126">
        <f>HYPERLINK("https://klasma.github.io/Logging_0360/klagomål/A 55331-2024 FSC-klagomål.docx", "A 55331-2024")</f>
        <v/>
      </c>
      <c r="W126">
        <f>HYPERLINK("https://klasma.github.io/Logging_0360/klagomålsmail/A 55331-2024 FSC-klagomål mail.docx", "A 55331-2024")</f>
        <v/>
      </c>
      <c r="X126">
        <f>HYPERLINK("https://klasma.github.io/Logging_0360/tillsyn/A 55331-2024 tillsynsbegäran.docx", "A 55331-2024")</f>
        <v/>
      </c>
      <c r="Y126">
        <f>HYPERLINK("https://klasma.github.io/Logging_0360/tillsynsmail/A 55331-2024 tillsynsbegäran mail.docx", "A 55331-2024")</f>
        <v/>
      </c>
      <c r="Z126">
        <f>HYPERLINK("https://klasma.github.io/Logging_0360/fåglar/A 55331-2024 prioriterade fågelarter.docx", "A 55331-2024")</f>
        <v/>
      </c>
    </row>
    <row r="127" ht="15" customHeight="1">
      <c r="A127" t="inlineStr">
        <is>
          <t>A 57398-2024</t>
        </is>
      </c>
      <c r="B127" s="1" t="n">
        <v>45629</v>
      </c>
      <c r="C127" s="1" t="n">
        <v>45875</v>
      </c>
      <c r="D127" t="inlineStr">
        <is>
          <t>UPPSALA LÄN</t>
        </is>
      </c>
      <c r="E127" t="inlineStr">
        <is>
          <t>TIERP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Ängsskäreplattmal</t>
        </is>
      </c>
      <c r="S127">
        <f>HYPERLINK("https://klasma.github.io/Logging_0360/artfynd/A 57398-2024 artfynd.xlsx", "A 57398-2024")</f>
        <v/>
      </c>
      <c r="T127">
        <f>HYPERLINK("https://klasma.github.io/Logging_0360/kartor/A 57398-2024 karta.png", "A 57398-2024")</f>
        <v/>
      </c>
      <c r="V127">
        <f>HYPERLINK("https://klasma.github.io/Logging_0360/klagomål/A 57398-2024 FSC-klagomål.docx", "A 57398-2024")</f>
        <v/>
      </c>
      <c r="W127">
        <f>HYPERLINK("https://klasma.github.io/Logging_0360/klagomålsmail/A 57398-2024 FSC-klagomål mail.docx", "A 57398-2024")</f>
        <v/>
      </c>
      <c r="X127">
        <f>HYPERLINK("https://klasma.github.io/Logging_0360/tillsyn/A 57398-2024 tillsynsbegäran.docx", "A 57398-2024")</f>
        <v/>
      </c>
      <c r="Y127">
        <f>HYPERLINK("https://klasma.github.io/Logging_0360/tillsynsmail/A 57398-2024 tillsynsbegäran mail.docx", "A 57398-2024")</f>
        <v/>
      </c>
    </row>
    <row r="128" ht="15" customHeight="1">
      <c r="A128" t="inlineStr">
        <is>
          <t>A 58107-2024</t>
        </is>
      </c>
      <c r="B128" s="1" t="n">
        <v>45632</v>
      </c>
      <c r="C128" s="1" t="n">
        <v>45875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Skogsknipprot</t>
        </is>
      </c>
      <c r="S128">
        <f>HYPERLINK("https://klasma.github.io/Logging_0360/artfynd/A 58107-2024 artfynd.xlsx", "A 58107-2024")</f>
        <v/>
      </c>
      <c r="T128">
        <f>HYPERLINK("https://klasma.github.io/Logging_0360/kartor/A 58107-2024 karta.png", "A 58107-2024")</f>
        <v/>
      </c>
      <c r="V128">
        <f>HYPERLINK("https://klasma.github.io/Logging_0360/klagomål/A 58107-2024 FSC-klagomål.docx", "A 58107-2024")</f>
        <v/>
      </c>
      <c r="W128">
        <f>HYPERLINK("https://klasma.github.io/Logging_0360/klagomålsmail/A 58107-2024 FSC-klagomål mail.docx", "A 58107-2024")</f>
        <v/>
      </c>
      <c r="X128">
        <f>HYPERLINK("https://klasma.github.io/Logging_0360/tillsyn/A 58107-2024 tillsynsbegäran.docx", "A 58107-2024")</f>
        <v/>
      </c>
      <c r="Y128">
        <f>HYPERLINK("https://klasma.github.io/Logging_0360/tillsynsmail/A 58107-2024 tillsynsbegäran mail.docx", "A 58107-2024")</f>
        <v/>
      </c>
    </row>
    <row r="129" ht="15" customHeight="1">
      <c r="A129" t="inlineStr">
        <is>
          <t>A 59117-2024</t>
        </is>
      </c>
      <c r="B129" s="1" t="n">
        <v>45637</v>
      </c>
      <c r="C129" s="1" t="n">
        <v>45875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14.9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HYPERLINK("https://klasma.github.io/Logging_0360/artfynd/A 59117-2024 artfynd.xlsx", "A 59117-2024")</f>
        <v/>
      </c>
      <c r="T129">
        <f>HYPERLINK("https://klasma.github.io/Logging_0360/kartor/A 59117-2024 karta.png", "A 59117-2024")</f>
        <v/>
      </c>
      <c r="V129">
        <f>HYPERLINK("https://klasma.github.io/Logging_0360/klagomål/A 59117-2024 FSC-klagomål.docx", "A 59117-2024")</f>
        <v/>
      </c>
      <c r="W129">
        <f>HYPERLINK("https://klasma.github.io/Logging_0360/klagomålsmail/A 59117-2024 FSC-klagomål mail.docx", "A 59117-2024")</f>
        <v/>
      </c>
      <c r="X129">
        <f>HYPERLINK("https://klasma.github.io/Logging_0360/tillsyn/A 59117-2024 tillsynsbegäran.docx", "A 59117-2024")</f>
        <v/>
      </c>
      <c r="Y129">
        <f>HYPERLINK("https://klasma.github.io/Logging_0360/tillsynsmail/A 59117-2024 tillsynsbegäran mail.docx", "A 59117-2024")</f>
        <v/>
      </c>
    </row>
    <row r="130" ht="15" customHeight="1">
      <c r="A130" t="inlineStr">
        <is>
          <t>A 2731-2025</t>
        </is>
      </c>
      <c r="B130" s="1" t="n">
        <v>45677</v>
      </c>
      <c r="C130" s="1" t="n">
        <v>45875</v>
      </c>
      <c r="D130" t="inlineStr">
        <is>
          <t>UPPSALA LÄN</t>
        </is>
      </c>
      <c r="E130" t="inlineStr">
        <is>
          <t>TIERP</t>
        </is>
      </c>
      <c r="G130" t="n">
        <v>5.8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Rödvingetrast</t>
        </is>
      </c>
      <c r="S130">
        <f>HYPERLINK("https://klasma.github.io/Logging_0360/artfynd/A 2731-2025 artfynd.xlsx", "A 2731-2025")</f>
        <v/>
      </c>
      <c r="T130">
        <f>HYPERLINK("https://klasma.github.io/Logging_0360/kartor/A 2731-2025 karta.png", "A 2731-2025")</f>
        <v/>
      </c>
      <c r="V130">
        <f>HYPERLINK("https://klasma.github.io/Logging_0360/klagomål/A 2731-2025 FSC-klagomål.docx", "A 2731-2025")</f>
        <v/>
      </c>
      <c r="W130">
        <f>HYPERLINK("https://klasma.github.io/Logging_0360/klagomålsmail/A 2731-2025 FSC-klagomål mail.docx", "A 2731-2025")</f>
        <v/>
      </c>
      <c r="X130">
        <f>HYPERLINK("https://klasma.github.io/Logging_0360/tillsyn/A 2731-2025 tillsynsbegäran.docx", "A 2731-2025")</f>
        <v/>
      </c>
      <c r="Y130">
        <f>HYPERLINK("https://klasma.github.io/Logging_0360/tillsynsmail/A 2731-2025 tillsynsbegäran mail.docx", "A 2731-2025")</f>
        <v/>
      </c>
      <c r="Z130">
        <f>HYPERLINK("https://klasma.github.io/Logging_0360/fåglar/A 2731-2025 prioriterade fågelarter.docx", "A 2731-2025")</f>
        <v/>
      </c>
    </row>
    <row r="131" ht="15" customHeight="1">
      <c r="A131" t="inlineStr">
        <is>
          <t>A 3853-2025</t>
        </is>
      </c>
      <c r="B131" s="1" t="n">
        <v>45683</v>
      </c>
      <c r="C131" s="1" t="n">
        <v>45875</v>
      </c>
      <c r="D131" t="inlineStr">
        <is>
          <t>UPPSALA LÄN</t>
        </is>
      </c>
      <c r="E131" t="inlineStr">
        <is>
          <t>TIERP</t>
        </is>
      </c>
      <c r="G131" t="n">
        <v>1.4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Tvåblad</t>
        </is>
      </c>
      <c r="S131">
        <f>HYPERLINK("https://klasma.github.io/Logging_0360/artfynd/A 3853-2025 artfynd.xlsx", "A 3853-2025")</f>
        <v/>
      </c>
      <c r="T131">
        <f>HYPERLINK("https://klasma.github.io/Logging_0360/kartor/A 3853-2025 karta.png", "A 3853-2025")</f>
        <v/>
      </c>
      <c r="V131">
        <f>HYPERLINK("https://klasma.github.io/Logging_0360/klagomål/A 3853-2025 FSC-klagomål.docx", "A 3853-2025")</f>
        <v/>
      </c>
      <c r="W131">
        <f>HYPERLINK("https://klasma.github.io/Logging_0360/klagomålsmail/A 3853-2025 FSC-klagomål mail.docx", "A 3853-2025")</f>
        <v/>
      </c>
      <c r="X131">
        <f>HYPERLINK("https://klasma.github.io/Logging_0360/tillsyn/A 3853-2025 tillsynsbegäran.docx", "A 3853-2025")</f>
        <v/>
      </c>
      <c r="Y131">
        <f>HYPERLINK("https://klasma.github.io/Logging_0360/tillsynsmail/A 3853-2025 tillsynsbegäran mail.docx", "A 3853-2025")</f>
        <v/>
      </c>
    </row>
    <row r="132" ht="15" customHeight="1">
      <c r="A132" t="inlineStr">
        <is>
          <t>A 4473-2025</t>
        </is>
      </c>
      <c r="B132" s="1" t="n">
        <v>45686</v>
      </c>
      <c r="C132" s="1" t="n">
        <v>45875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7.8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HYPERLINK("https://klasma.github.io/Logging_0360/artfynd/A 4473-2025 artfynd.xlsx", "A 4473-2025")</f>
        <v/>
      </c>
      <c r="T132">
        <f>HYPERLINK("https://klasma.github.io/Logging_0360/kartor/A 4473-2025 karta.png", "A 4473-2025")</f>
        <v/>
      </c>
      <c r="V132">
        <f>HYPERLINK("https://klasma.github.io/Logging_0360/klagomål/A 4473-2025 FSC-klagomål.docx", "A 4473-2025")</f>
        <v/>
      </c>
      <c r="W132">
        <f>HYPERLINK("https://klasma.github.io/Logging_0360/klagomålsmail/A 4473-2025 FSC-klagomål mail.docx", "A 4473-2025")</f>
        <v/>
      </c>
      <c r="X132">
        <f>HYPERLINK("https://klasma.github.io/Logging_0360/tillsyn/A 4473-2025 tillsynsbegäran.docx", "A 4473-2025")</f>
        <v/>
      </c>
      <c r="Y132">
        <f>HYPERLINK("https://klasma.github.io/Logging_0360/tillsynsmail/A 4473-2025 tillsynsbegäran mail.docx", "A 4473-2025")</f>
        <v/>
      </c>
    </row>
    <row r="133" ht="15" customHeight="1">
      <c r="A133" t="inlineStr">
        <is>
          <t>A 6829-2025</t>
        </is>
      </c>
      <c r="B133" s="1" t="n">
        <v>45700</v>
      </c>
      <c r="C133" s="1" t="n">
        <v>45875</v>
      </c>
      <c r="D133" t="inlineStr">
        <is>
          <t>UPPSALA LÄN</t>
        </is>
      </c>
      <c r="E133" t="inlineStr">
        <is>
          <t>TIERP</t>
        </is>
      </c>
      <c r="G133" t="n">
        <v>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HYPERLINK("https://klasma.github.io/Logging_0360/artfynd/A 6829-2025 artfynd.xlsx", "A 6829-2025")</f>
        <v/>
      </c>
      <c r="T133">
        <f>HYPERLINK("https://klasma.github.io/Logging_0360/kartor/A 6829-2025 karta.png", "A 6829-2025")</f>
        <v/>
      </c>
      <c r="V133">
        <f>HYPERLINK("https://klasma.github.io/Logging_0360/klagomål/A 6829-2025 FSC-klagomål.docx", "A 6829-2025")</f>
        <v/>
      </c>
      <c r="W133">
        <f>HYPERLINK("https://klasma.github.io/Logging_0360/klagomålsmail/A 6829-2025 FSC-klagomål mail.docx", "A 6829-2025")</f>
        <v/>
      </c>
      <c r="X133">
        <f>HYPERLINK("https://klasma.github.io/Logging_0360/tillsyn/A 6829-2025 tillsynsbegäran.docx", "A 6829-2025")</f>
        <v/>
      </c>
      <c r="Y133">
        <f>HYPERLINK("https://klasma.github.io/Logging_0360/tillsynsmail/A 6829-2025 tillsynsbegäran mail.docx", "A 6829-2025")</f>
        <v/>
      </c>
    </row>
    <row r="134" ht="15" customHeight="1">
      <c r="A134" t="inlineStr">
        <is>
          <t>A 7983-2025</t>
        </is>
      </c>
      <c r="B134" s="1" t="n">
        <v>45707</v>
      </c>
      <c r="C134" s="1" t="n">
        <v>45875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HYPERLINK("https://klasma.github.io/Logging_0360/artfynd/A 7983-2025 artfynd.xlsx", "A 7983-2025")</f>
        <v/>
      </c>
      <c r="T134">
        <f>HYPERLINK("https://klasma.github.io/Logging_0360/kartor/A 7983-2025 karta.png", "A 7983-2025")</f>
        <v/>
      </c>
      <c r="U134">
        <f>HYPERLINK("https://klasma.github.io/Logging_0360/knärot/A 7983-2025 karta knärot.png", "A 7983-2025")</f>
        <v/>
      </c>
      <c r="V134">
        <f>HYPERLINK("https://klasma.github.io/Logging_0360/klagomål/A 7983-2025 FSC-klagomål.docx", "A 7983-2025")</f>
        <v/>
      </c>
      <c r="W134">
        <f>HYPERLINK("https://klasma.github.io/Logging_0360/klagomålsmail/A 7983-2025 FSC-klagomål mail.docx", "A 7983-2025")</f>
        <v/>
      </c>
      <c r="X134">
        <f>HYPERLINK("https://klasma.github.io/Logging_0360/tillsyn/A 7983-2025 tillsynsbegäran.docx", "A 7983-2025")</f>
        <v/>
      </c>
      <c r="Y134">
        <f>HYPERLINK("https://klasma.github.io/Logging_0360/tillsynsmail/A 7983-2025 tillsynsbegäran mail.docx", "A 7983-2025")</f>
        <v/>
      </c>
    </row>
    <row r="135" ht="15" customHeight="1">
      <c r="A135" t="inlineStr">
        <is>
          <t>A 10853-2025</t>
        </is>
      </c>
      <c r="B135" s="1" t="n">
        <v>45722</v>
      </c>
      <c r="C135" s="1" t="n">
        <v>45875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2.2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10853-2025 artfynd.xlsx", "A 10853-2025")</f>
        <v/>
      </c>
      <c r="T135">
        <f>HYPERLINK("https://klasma.github.io/Logging_030360/kartor/A 10853-2025 karta.png", "A 10853-2025")</f>
        <v/>
      </c>
      <c r="V135">
        <f>HYPERLINK("https://klasma.github.io/Logging_030360/klagomål/A 10853-2025 FSC-klagomål.docx", "A 10853-2025")</f>
        <v/>
      </c>
      <c r="W135">
        <f>HYPERLINK("https://klasma.github.io/Logging_030360/klagomålsmail/A 10853-2025 FSC-klagomål mail.docx", "A 10853-2025")</f>
        <v/>
      </c>
      <c r="X135">
        <f>HYPERLINK("https://klasma.github.io/Logging_030360/tillsyn/A 10853-2025 tillsynsbegäran.docx", "A 10853-2025")</f>
        <v/>
      </c>
      <c r="Y135">
        <f>HYPERLINK("https://klasma.github.io/Logging_030360/tillsynsmail/A 10853-2025 tillsynsbegäran mail.docx", "A 10853-2025")</f>
        <v/>
      </c>
    </row>
    <row r="136" ht="15" customHeight="1">
      <c r="A136" t="inlineStr">
        <is>
          <t>A 10844-2025</t>
        </is>
      </c>
      <c r="B136" s="1" t="n">
        <v>45722</v>
      </c>
      <c r="C136" s="1" t="n">
        <v>45875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4.3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HYPERLINK("https://klasma.github.io/Logging_030360/artfynd/A 10844-2025 artfynd.xlsx", "A 10844-2025")</f>
        <v/>
      </c>
      <c r="T136">
        <f>HYPERLINK("https://klasma.github.io/Logging_030360/kartor/A 10844-2025 karta.png", "A 10844-2025")</f>
        <v/>
      </c>
      <c r="V136">
        <f>HYPERLINK("https://klasma.github.io/Logging_030360/klagomål/A 10844-2025 FSC-klagomål.docx", "A 10844-2025")</f>
        <v/>
      </c>
      <c r="W136">
        <f>HYPERLINK("https://klasma.github.io/Logging_030360/klagomålsmail/A 10844-2025 FSC-klagomål mail.docx", "A 10844-2025")</f>
        <v/>
      </c>
      <c r="X136">
        <f>HYPERLINK("https://klasma.github.io/Logging_030360/tillsyn/A 10844-2025 tillsynsbegäran.docx", "A 10844-2025")</f>
        <v/>
      </c>
      <c r="Y136">
        <f>HYPERLINK("https://klasma.github.io/Logging_030360/tillsynsmail/A 10844-2025 tillsynsbegäran mail.docx", "A 10844-2025")</f>
        <v/>
      </c>
    </row>
    <row r="137" ht="15" customHeight="1">
      <c r="A137" t="inlineStr">
        <is>
          <t>A 10848-2025</t>
        </is>
      </c>
      <c r="B137" s="1" t="n">
        <v>45722</v>
      </c>
      <c r="C137" s="1" t="n">
        <v>45875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öst AB</t>
        </is>
      </c>
      <c r="G137" t="n">
        <v>1.9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10848-2025 artfynd.xlsx", "A 10848-2025")</f>
        <v/>
      </c>
      <c r="T137">
        <f>HYPERLINK("https://klasma.github.io/Logging_030360/kartor/A 10848-2025 karta.png", "A 10848-2025")</f>
        <v/>
      </c>
      <c r="V137">
        <f>HYPERLINK("https://klasma.github.io/Logging_030360/klagomål/A 10848-2025 FSC-klagomål.docx", "A 10848-2025")</f>
        <v/>
      </c>
      <c r="W137">
        <f>HYPERLINK("https://klasma.github.io/Logging_030360/klagomålsmail/A 10848-2025 FSC-klagomål mail.docx", "A 10848-2025")</f>
        <v/>
      </c>
      <c r="X137">
        <f>HYPERLINK("https://klasma.github.io/Logging_030360/tillsyn/A 10848-2025 tillsynsbegäran.docx", "A 10848-2025")</f>
        <v/>
      </c>
      <c r="Y137">
        <f>HYPERLINK("https://klasma.github.io/Logging_030360/tillsynsmail/A 10848-2025 tillsynsbegäran mail.docx", "A 10848-2025")</f>
        <v/>
      </c>
      <c r="Z137">
        <f>HYPERLINK("https://klasma.github.io/Logging_030360/fåglar/A 10848-2025 prioriterade fågelarter.docx", "A 10848-2025")</f>
        <v/>
      </c>
    </row>
    <row r="138" ht="15" customHeight="1">
      <c r="A138" t="inlineStr">
        <is>
          <t>A 13205-2025</t>
        </is>
      </c>
      <c r="B138" s="1" t="n">
        <v>45735</v>
      </c>
      <c r="C138" s="1" t="n">
        <v>45875</v>
      </c>
      <c r="D138" t="inlineStr">
        <is>
          <t>UPPSALA LÄN</t>
        </is>
      </c>
      <c r="E138" t="inlineStr">
        <is>
          <t>TIERP</t>
        </is>
      </c>
      <c r="G138" t="n">
        <v>8.6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Fjällig taggsvamp s.str.</t>
        </is>
      </c>
      <c r="S138">
        <f>HYPERLINK("https://klasma.github.io/Logging_030360/artfynd/A 13205-2025 artfynd.xlsx", "A 13205-2025")</f>
        <v/>
      </c>
      <c r="T138">
        <f>HYPERLINK("https://klasma.github.io/Logging_030360/kartor/A 13205-2025 karta.png", "A 13205-2025")</f>
        <v/>
      </c>
      <c r="V138">
        <f>HYPERLINK("https://klasma.github.io/Logging_030360/klagomål/A 13205-2025 FSC-klagomål.docx", "A 13205-2025")</f>
        <v/>
      </c>
      <c r="W138">
        <f>HYPERLINK("https://klasma.github.io/Logging_030360/klagomålsmail/A 13205-2025 FSC-klagomål mail.docx", "A 13205-2025")</f>
        <v/>
      </c>
      <c r="X138">
        <f>HYPERLINK("https://klasma.github.io/Logging_030360/tillsyn/A 13205-2025 tillsynsbegäran.docx", "A 13205-2025")</f>
        <v/>
      </c>
      <c r="Y138">
        <f>HYPERLINK("https://klasma.github.io/Logging_030360/tillsynsmail/A 13205-2025 tillsynsbegäran mail.docx", "A 13205-2025")</f>
        <v/>
      </c>
    </row>
    <row r="139" ht="15" customHeight="1">
      <c r="A139" t="inlineStr">
        <is>
          <t>A 14515-2025</t>
        </is>
      </c>
      <c r="B139" s="1" t="n">
        <v>45741</v>
      </c>
      <c r="C139" s="1" t="n">
        <v>45875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7.7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HYPERLINK("https://klasma.github.io/Logging_030360/artfynd/A 14515-2025 artfynd.xlsx", "A 14515-2025")</f>
        <v/>
      </c>
      <c r="T139">
        <f>HYPERLINK("https://klasma.github.io/Logging_030360/kartor/A 14515-2025 karta.png", "A 14515-2025")</f>
        <v/>
      </c>
      <c r="V139">
        <f>HYPERLINK("https://klasma.github.io/Logging_030360/klagomål/A 14515-2025 FSC-klagomål.docx", "A 14515-2025")</f>
        <v/>
      </c>
      <c r="W139">
        <f>HYPERLINK("https://klasma.github.io/Logging_030360/klagomålsmail/A 14515-2025 FSC-klagomål mail.docx", "A 14515-2025")</f>
        <v/>
      </c>
      <c r="X139">
        <f>HYPERLINK("https://klasma.github.io/Logging_030360/tillsyn/A 14515-2025 tillsynsbegäran.docx", "A 14515-2025")</f>
        <v/>
      </c>
      <c r="Y139">
        <f>HYPERLINK("https://klasma.github.io/Logging_030360/tillsynsmail/A 14515-2025 tillsynsbegäran mail.docx", "A 14515-2025")</f>
        <v/>
      </c>
      <c r="Z139">
        <f>HYPERLINK("https://klasma.github.io/Logging_030360/fåglar/A 14515-2025 prioriterade fågelarter.docx", "A 14515-2025")</f>
        <v/>
      </c>
    </row>
    <row r="140" ht="15" customHeight="1">
      <c r="A140" t="inlineStr">
        <is>
          <t>A 15680-2025</t>
        </is>
      </c>
      <c r="B140" s="1" t="n">
        <v>45748</v>
      </c>
      <c r="C140" s="1" t="n">
        <v>45875</v>
      </c>
      <c r="D140" t="inlineStr">
        <is>
          <t>UPPSALA LÄN</t>
        </is>
      </c>
      <c r="E140" t="inlineStr">
        <is>
          <t>TIERP</t>
        </is>
      </c>
      <c r="F140" t="inlineStr">
        <is>
          <t>Kyrkan</t>
        </is>
      </c>
      <c r="G140" t="n">
        <v>13.5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HYPERLINK("https://klasma.github.io/Logging_030360/artfynd/A 15680-2025 artfynd.xlsx", "A 15680-2025")</f>
        <v/>
      </c>
      <c r="T140">
        <f>HYPERLINK("https://klasma.github.io/Logging_030360/kartor/A 15680-2025 karta.png", "A 15680-2025")</f>
        <v/>
      </c>
      <c r="V140">
        <f>HYPERLINK("https://klasma.github.io/Logging_030360/klagomål/A 15680-2025 FSC-klagomål.docx", "A 15680-2025")</f>
        <v/>
      </c>
      <c r="W140">
        <f>HYPERLINK("https://klasma.github.io/Logging_030360/klagomålsmail/A 15680-2025 FSC-klagomål mail.docx", "A 15680-2025")</f>
        <v/>
      </c>
      <c r="X140">
        <f>HYPERLINK("https://klasma.github.io/Logging_030360/tillsyn/A 15680-2025 tillsynsbegäran.docx", "A 15680-2025")</f>
        <v/>
      </c>
      <c r="Y140">
        <f>HYPERLINK("https://klasma.github.io/Logging_030360/tillsynsmail/A 15680-2025 tillsynsbegäran mail.docx", "A 15680-2025")</f>
        <v/>
      </c>
    </row>
    <row r="141" ht="15" customHeight="1">
      <c r="A141" t="inlineStr">
        <is>
          <t>A 16733-2025</t>
        </is>
      </c>
      <c r="B141" s="1" t="n">
        <v>45754</v>
      </c>
      <c r="C141" s="1" t="n">
        <v>45875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4.5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Rödbrun blekspik</t>
        </is>
      </c>
      <c r="S141">
        <f>HYPERLINK("https://klasma.github.io/Logging_030360/artfynd/A 16733-2025 artfynd.xlsx", "A 16733-2025")</f>
        <v/>
      </c>
      <c r="T141">
        <f>HYPERLINK("https://klasma.github.io/Logging_030360/kartor/A 16733-2025 karta.png", "A 16733-2025")</f>
        <v/>
      </c>
      <c r="V141">
        <f>HYPERLINK("https://klasma.github.io/Logging_030360/klagomål/A 16733-2025 FSC-klagomål.docx", "A 16733-2025")</f>
        <v/>
      </c>
      <c r="W141">
        <f>HYPERLINK("https://klasma.github.io/Logging_030360/klagomålsmail/A 16733-2025 FSC-klagomål mail.docx", "A 16733-2025")</f>
        <v/>
      </c>
      <c r="X141">
        <f>HYPERLINK("https://klasma.github.io/Logging_030360/tillsyn/A 16733-2025 tillsynsbegäran.docx", "A 16733-2025")</f>
        <v/>
      </c>
      <c r="Y141">
        <f>HYPERLINK("https://klasma.github.io/Logging_030360/tillsynsmail/A 16733-2025 tillsynsbegäran mail.docx", "A 16733-2025")</f>
        <v/>
      </c>
    </row>
    <row r="142" ht="15" customHeight="1">
      <c r="A142" t="inlineStr">
        <is>
          <t>A 18619-2025</t>
        </is>
      </c>
      <c r="B142" s="1" t="n">
        <v>45763</v>
      </c>
      <c r="C142" s="1" t="n">
        <v>45875</v>
      </c>
      <c r="D142" t="inlineStr">
        <is>
          <t>UPPSALA LÄN</t>
        </is>
      </c>
      <c r="E142" t="inlineStr">
        <is>
          <t>TIERP</t>
        </is>
      </c>
      <c r="G142" t="n">
        <v>4.6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Nästrot</t>
        </is>
      </c>
      <c r="S142">
        <f>HYPERLINK("https://klasma.github.io/Logging_030360/artfynd/A 18619-2025 artfynd.xlsx", "A 18619-2025")</f>
        <v/>
      </c>
      <c r="T142">
        <f>HYPERLINK("https://klasma.github.io/Logging_030360/kartor/A 18619-2025 karta.png", "A 18619-2025")</f>
        <v/>
      </c>
      <c r="V142">
        <f>HYPERLINK("https://klasma.github.io/Logging_030360/klagomål/A 18619-2025 FSC-klagomål.docx", "A 18619-2025")</f>
        <v/>
      </c>
      <c r="W142">
        <f>HYPERLINK("https://klasma.github.io/Logging_030360/klagomålsmail/A 18619-2025 FSC-klagomål mail.docx", "A 18619-2025")</f>
        <v/>
      </c>
      <c r="X142">
        <f>HYPERLINK("https://klasma.github.io/Logging_030360/tillsyn/A 18619-2025 tillsynsbegäran.docx", "A 18619-2025")</f>
        <v/>
      </c>
      <c r="Y142">
        <f>HYPERLINK("https://klasma.github.io/Logging_030360/tillsynsmail/A 18619-2025 tillsynsbegäran mail.docx", "A 18619-2025")</f>
        <v/>
      </c>
    </row>
    <row r="143" ht="15" customHeight="1">
      <c r="A143" t="inlineStr">
        <is>
          <t>A 19661-2025</t>
        </is>
      </c>
      <c r="B143" s="1" t="n">
        <v>45770</v>
      </c>
      <c r="C143" s="1" t="n">
        <v>45875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4.2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HYPERLINK("https://klasma.github.io/Logging_030360/artfynd/A 19661-2025 artfynd.xlsx", "A 19661-2025")</f>
        <v/>
      </c>
      <c r="T143">
        <f>HYPERLINK("https://klasma.github.io/Logging_030360/kartor/A 19661-2025 karta.png", "A 19661-2025")</f>
        <v/>
      </c>
      <c r="V143">
        <f>HYPERLINK("https://klasma.github.io/Logging_030360/klagomål/A 19661-2025 FSC-klagomål.docx", "A 19661-2025")</f>
        <v/>
      </c>
      <c r="W143">
        <f>HYPERLINK("https://klasma.github.io/Logging_030360/klagomålsmail/A 19661-2025 FSC-klagomål mail.docx", "A 19661-2025")</f>
        <v/>
      </c>
      <c r="X143">
        <f>HYPERLINK("https://klasma.github.io/Logging_030360/tillsyn/A 19661-2025 tillsynsbegäran.docx", "A 19661-2025")</f>
        <v/>
      </c>
      <c r="Y143">
        <f>HYPERLINK("https://klasma.github.io/Logging_030360/tillsynsmail/A 19661-2025 tillsynsbegäran mail.docx", "A 19661-2025")</f>
        <v/>
      </c>
    </row>
    <row r="144" ht="15" customHeight="1">
      <c r="A144" t="inlineStr">
        <is>
          <t>A 22601-2025</t>
        </is>
      </c>
      <c r="B144" s="1" t="n">
        <v>45789</v>
      </c>
      <c r="C144" s="1" t="n">
        <v>45875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Ask</t>
        </is>
      </c>
      <c r="S144">
        <f>HYPERLINK("https://klasma.github.io/Logging_030360/artfynd/A 22601-2025 artfynd.xlsx", "A 22601-2025")</f>
        <v/>
      </c>
      <c r="T144">
        <f>HYPERLINK("https://klasma.github.io/Logging_030360/kartor/A 22601-2025 karta.png", "A 22601-2025")</f>
        <v/>
      </c>
      <c r="V144">
        <f>HYPERLINK("https://klasma.github.io/Logging_030360/klagomål/A 22601-2025 FSC-klagomål.docx", "A 22601-2025")</f>
        <v/>
      </c>
      <c r="W144">
        <f>HYPERLINK("https://klasma.github.io/Logging_030360/klagomålsmail/A 22601-2025 FSC-klagomål mail.docx", "A 22601-2025")</f>
        <v/>
      </c>
      <c r="X144">
        <f>HYPERLINK("https://klasma.github.io/Logging_030360/tillsyn/A 22601-2025 tillsynsbegäran.docx", "A 22601-2025")</f>
        <v/>
      </c>
      <c r="Y144">
        <f>HYPERLINK("https://klasma.github.io/Logging_030360/tillsynsmail/A 22601-2025 tillsynsbegäran mail.docx", "A 22601-2025")</f>
        <v/>
      </c>
    </row>
    <row r="145" ht="15" customHeight="1">
      <c r="A145" t="inlineStr">
        <is>
          <t>A 22777-2025</t>
        </is>
      </c>
      <c r="B145" s="1" t="n">
        <v>45789</v>
      </c>
      <c r="C145" s="1" t="n">
        <v>45875</v>
      </c>
      <c r="D145" t="inlineStr">
        <is>
          <t>UPPSALA LÄN</t>
        </is>
      </c>
      <c r="E145" t="inlineStr">
        <is>
          <t>TIERP</t>
        </is>
      </c>
      <c r="G145" t="n">
        <v>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Persiljespindling</t>
        </is>
      </c>
      <c r="S145">
        <f>HYPERLINK("https://klasma.github.io/Logging_030360/artfynd/A 22777-2025 artfynd.xlsx", "A 22777-2025")</f>
        <v/>
      </c>
      <c r="T145">
        <f>HYPERLINK("https://klasma.github.io/Logging_030360/kartor/A 22777-2025 karta.png", "A 22777-2025")</f>
        <v/>
      </c>
      <c r="V145">
        <f>HYPERLINK("https://klasma.github.io/Logging_030360/klagomål/A 22777-2025 FSC-klagomål.docx", "A 22777-2025")</f>
        <v/>
      </c>
      <c r="W145">
        <f>HYPERLINK("https://klasma.github.io/Logging_030360/klagomålsmail/A 22777-2025 FSC-klagomål mail.docx", "A 22777-2025")</f>
        <v/>
      </c>
      <c r="X145">
        <f>HYPERLINK("https://klasma.github.io/Logging_030360/tillsyn/A 22777-2025 tillsynsbegäran.docx", "A 22777-2025")</f>
        <v/>
      </c>
      <c r="Y145">
        <f>HYPERLINK("https://klasma.github.io/Logging_030360/tillsynsmail/A 22777-2025 tillsynsbegäran mail.docx", "A 22777-2025")</f>
        <v/>
      </c>
    </row>
    <row r="146" ht="15" customHeight="1">
      <c r="A146" t="inlineStr">
        <is>
          <t>A 18466-2019</t>
        </is>
      </c>
      <c r="B146" s="1" t="n">
        <v>43559</v>
      </c>
      <c r="C146" s="1" t="n">
        <v>45875</v>
      </c>
      <c r="D146" t="inlineStr">
        <is>
          <t>UPPSALA LÄN</t>
        </is>
      </c>
      <c r="E146" t="inlineStr">
        <is>
          <t>TIERP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19791-2019</t>
        </is>
      </c>
      <c r="B147" s="1" t="n">
        <v>43567</v>
      </c>
      <c r="C147" s="1" t="n">
        <v>45875</v>
      </c>
      <c r="D147" t="inlineStr">
        <is>
          <t>UPPSALA LÄN</t>
        </is>
      </c>
      <c r="E147" t="inlineStr">
        <is>
          <t>TIERP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25498-2019</t>
        </is>
      </c>
      <c r="B148" s="1" t="n">
        <v>43606</v>
      </c>
      <c r="C148" s="1" t="n">
        <v>45875</v>
      </c>
      <c r="D148" t="inlineStr">
        <is>
          <t>UPPSALA LÄN</t>
        </is>
      </c>
      <c r="E148" t="inlineStr">
        <is>
          <t>TIERP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25502-2019</t>
        </is>
      </c>
      <c r="B149" s="1" t="n">
        <v>43606</v>
      </c>
      <c r="C149" s="1" t="n">
        <v>45875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26366-2019</t>
        </is>
      </c>
      <c r="B150" s="1" t="n">
        <v>43612</v>
      </c>
      <c r="C150" s="1" t="n">
        <v>45875</v>
      </c>
      <c r="D150" t="inlineStr">
        <is>
          <t>UPPSALA LÄN</t>
        </is>
      </c>
      <c r="E150" t="inlineStr">
        <is>
          <t>TIERP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26371-2019</t>
        </is>
      </c>
      <c r="B151" s="1" t="n">
        <v>43612</v>
      </c>
      <c r="C151" s="1" t="n">
        <v>45875</v>
      </c>
      <c r="D151" t="inlineStr">
        <is>
          <t>UPPSALA LÄN</t>
        </is>
      </c>
      <c r="E151" t="inlineStr">
        <is>
          <t>TIERP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29792-2019</t>
        </is>
      </c>
      <c r="B152" s="1" t="n">
        <v>43633</v>
      </c>
      <c r="C152" s="1" t="n">
        <v>45875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31319-2019</t>
        </is>
      </c>
      <c r="B153" s="1" t="n">
        <v>43641</v>
      </c>
      <c r="C153" s="1" t="n">
        <v>45875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31884-2019</t>
        </is>
      </c>
      <c r="B154" s="1" t="n">
        <v>43642</v>
      </c>
      <c r="C154" s="1" t="n">
        <v>45875</v>
      </c>
      <c r="D154" t="inlineStr">
        <is>
          <t>UPPSALA LÄN</t>
        </is>
      </c>
      <c r="E154" t="inlineStr">
        <is>
          <t>TIERP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33670-2019</t>
        </is>
      </c>
      <c r="B155" s="1" t="n">
        <v>43651</v>
      </c>
      <c r="C155" s="1" t="n">
        <v>45875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34386-2019</t>
        </is>
      </c>
      <c r="B156" s="1" t="n">
        <v>43656</v>
      </c>
      <c r="C156" s="1" t="n">
        <v>45875</v>
      </c>
      <c r="D156" t="inlineStr">
        <is>
          <t>UPPSALA LÄN</t>
        </is>
      </c>
      <c r="E156" t="inlineStr">
        <is>
          <t>TIERP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34392-2019</t>
        </is>
      </c>
      <c r="B157" s="1" t="n">
        <v>43656</v>
      </c>
      <c r="C157" s="1" t="n">
        <v>45875</v>
      </c>
      <c r="D157" t="inlineStr">
        <is>
          <t>UPPSALA LÄN</t>
        </is>
      </c>
      <c r="E157" t="inlineStr">
        <is>
          <t>TIERP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36019-2019</t>
        </is>
      </c>
      <c r="B158" s="1" t="n">
        <v>43668</v>
      </c>
      <c r="C158" s="1" t="n">
        <v>45875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37114-2019</t>
        </is>
      </c>
      <c r="B159" s="1" t="n">
        <v>43676</v>
      </c>
      <c r="C159" s="1" t="n">
        <v>45875</v>
      </c>
      <c r="D159" t="inlineStr">
        <is>
          <t>UPPSALA LÄN</t>
        </is>
      </c>
      <c r="E159" t="inlineStr">
        <is>
          <t>TIERP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39554-2019</t>
        </is>
      </c>
      <c r="B160" s="1" t="n">
        <v>43686</v>
      </c>
      <c r="C160" s="1" t="n">
        <v>45875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39911-2019</t>
        </is>
      </c>
      <c r="B161" s="1" t="n">
        <v>43692</v>
      </c>
      <c r="C161" s="1" t="n">
        <v>45875</v>
      </c>
      <c r="D161" t="inlineStr">
        <is>
          <t>UPPSALA LÄN</t>
        </is>
      </c>
      <c r="E161" t="inlineStr">
        <is>
          <t>TIERP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39914-2019</t>
        </is>
      </c>
      <c r="B162" s="1" t="n">
        <v>43692</v>
      </c>
      <c r="C162" s="1" t="n">
        <v>45875</v>
      </c>
      <c r="D162" t="inlineStr">
        <is>
          <t>UPPSALA LÄN</t>
        </is>
      </c>
      <c r="E162" t="inlineStr">
        <is>
          <t>TIERP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43535-2019</t>
        </is>
      </c>
      <c r="B163" s="1" t="n">
        <v>43706</v>
      </c>
      <c r="C163" s="1" t="n">
        <v>45875</v>
      </c>
      <c r="D163" t="inlineStr">
        <is>
          <t>UPPSALA LÄN</t>
        </is>
      </c>
      <c r="E163" t="inlineStr">
        <is>
          <t>TIERP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43625-2019</t>
        </is>
      </c>
      <c r="B164" s="1" t="n">
        <v>43707</v>
      </c>
      <c r="C164" s="1" t="n">
        <v>45875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44569-2019</t>
        </is>
      </c>
      <c r="B165" s="1" t="n">
        <v>43711</v>
      </c>
      <c r="C165" s="1" t="n">
        <v>45875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49877-2019</t>
        </is>
      </c>
      <c r="B166" s="1" t="n">
        <v>43733</v>
      </c>
      <c r="C166" s="1" t="n">
        <v>45875</v>
      </c>
      <c r="D166" t="inlineStr">
        <is>
          <t>UPPSALA LÄN</t>
        </is>
      </c>
      <c r="E166" t="inlineStr">
        <is>
          <t>TIERP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49900-2019</t>
        </is>
      </c>
      <c r="B167" s="1" t="n">
        <v>43733</v>
      </c>
      <c r="C167" s="1" t="n">
        <v>45875</v>
      </c>
      <c r="D167" t="inlineStr">
        <is>
          <t>UPPSALA LÄN</t>
        </is>
      </c>
      <c r="E167" t="inlineStr">
        <is>
          <t>TIERP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50156-2019</t>
        </is>
      </c>
      <c r="B168" s="1" t="n">
        <v>43734</v>
      </c>
      <c r="C168" s="1" t="n">
        <v>45875</v>
      </c>
      <c r="D168" t="inlineStr">
        <is>
          <t>UPPSALA LÄN</t>
        </is>
      </c>
      <c r="E168" t="inlineStr">
        <is>
          <t>TIERP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50858-2019</t>
        </is>
      </c>
      <c r="B169" s="1" t="n">
        <v>43738</v>
      </c>
      <c r="C169" s="1" t="n">
        <v>45875</v>
      </c>
      <c r="D169" t="inlineStr">
        <is>
          <t>UPPSALA LÄN</t>
        </is>
      </c>
      <c r="E169" t="inlineStr">
        <is>
          <t>TIERP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51488-2019</t>
        </is>
      </c>
      <c r="B170" s="1" t="n">
        <v>43740</v>
      </c>
      <c r="C170" s="1" t="n">
        <v>45875</v>
      </c>
      <c r="D170" t="inlineStr">
        <is>
          <t>UPPSALA LÄN</t>
        </is>
      </c>
      <c r="E170" t="inlineStr">
        <is>
          <t>TIERP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51796-2019</t>
        </is>
      </c>
      <c r="B171" s="1" t="n">
        <v>43741</v>
      </c>
      <c r="C171" s="1" t="n">
        <v>45875</v>
      </c>
      <c r="D171" t="inlineStr">
        <is>
          <t>UPPSALA LÄN</t>
        </is>
      </c>
      <c r="E171" t="inlineStr">
        <is>
          <t>TIERP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52831-2019</t>
        </is>
      </c>
      <c r="B172" s="1" t="n">
        <v>43746</v>
      </c>
      <c r="C172" s="1" t="n">
        <v>45875</v>
      </c>
      <c r="D172" t="inlineStr">
        <is>
          <t>UPPSALA LÄN</t>
        </is>
      </c>
      <c r="E172" t="inlineStr">
        <is>
          <t>TIERP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52955-2019</t>
        </is>
      </c>
      <c r="B173" s="1" t="n">
        <v>43747</v>
      </c>
      <c r="C173" s="1" t="n">
        <v>45875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56380-2019</t>
        </is>
      </c>
      <c r="B174" s="1" t="n">
        <v>43756</v>
      </c>
      <c r="C174" s="1" t="n">
        <v>45875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55944-2019</t>
        </is>
      </c>
      <c r="B175" s="1" t="n">
        <v>43761</v>
      </c>
      <c r="C175" s="1" t="n">
        <v>45875</v>
      </c>
      <c r="D175" t="inlineStr">
        <is>
          <t>UPPSALA LÄN</t>
        </is>
      </c>
      <c r="E175" t="inlineStr">
        <is>
          <t>TIERP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59227-2019</t>
        </is>
      </c>
      <c r="B176" s="1" t="n">
        <v>43770</v>
      </c>
      <c r="C176" s="1" t="n">
        <v>45875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58276-2019</t>
        </is>
      </c>
      <c r="B177" s="1" t="n">
        <v>43770</v>
      </c>
      <c r="C177" s="1" t="n">
        <v>45875</v>
      </c>
      <c r="D177" t="inlineStr">
        <is>
          <t>UPPSALA LÄN</t>
        </is>
      </c>
      <c r="E177" t="inlineStr">
        <is>
          <t>TIERP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59058-2019</t>
        </is>
      </c>
      <c r="B178" s="1" t="n">
        <v>43774</v>
      </c>
      <c r="C178" s="1" t="n">
        <v>45875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60230-2019</t>
        </is>
      </c>
      <c r="B179" s="1" t="n">
        <v>43780</v>
      </c>
      <c r="C179" s="1" t="n">
        <v>45875</v>
      </c>
      <c r="D179" t="inlineStr">
        <is>
          <t>UPPSALA LÄN</t>
        </is>
      </c>
      <c r="E179" t="inlineStr">
        <is>
          <t>TIERP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60222-2019</t>
        </is>
      </c>
      <c r="B180" s="1" t="n">
        <v>43780</v>
      </c>
      <c r="C180" s="1" t="n">
        <v>45875</v>
      </c>
      <c r="D180" t="inlineStr">
        <is>
          <t>UPPSALA LÄN</t>
        </is>
      </c>
      <c r="E180" t="inlineStr">
        <is>
          <t>TIERP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61322-2019</t>
        </is>
      </c>
      <c r="B181" s="1" t="n">
        <v>43780</v>
      </c>
      <c r="C181" s="1" t="n">
        <v>45875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63769-2019</t>
        </is>
      </c>
      <c r="B182" s="1" t="n">
        <v>43795</v>
      </c>
      <c r="C182" s="1" t="n">
        <v>45875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63872-2019</t>
        </is>
      </c>
      <c r="B183" s="1" t="n">
        <v>43796</v>
      </c>
      <c r="C183" s="1" t="n">
        <v>45875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64252-2019</t>
        </is>
      </c>
      <c r="B184" s="1" t="n">
        <v>43797</v>
      </c>
      <c r="C184" s="1" t="n">
        <v>45875</v>
      </c>
      <c r="D184" t="inlineStr">
        <is>
          <t>UPPSALA LÄN</t>
        </is>
      </c>
      <c r="E184" t="inlineStr">
        <is>
          <t>TIERP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64271-2019</t>
        </is>
      </c>
      <c r="B185" s="1" t="n">
        <v>43797</v>
      </c>
      <c r="C185" s="1" t="n">
        <v>45875</v>
      </c>
      <c r="D185" t="inlineStr">
        <is>
          <t>UPPSALA LÄN</t>
        </is>
      </c>
      <c r="E185" t="inlineStr">
        <is>
          <t>TIERP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64986-2019</t>
        </is>
      </c>
      <c r="B186" s="1" t="n">
        <v>43801</v>
      </c>
      <c r="C186" s="1" t="n">
        <v>45875</v>
      </c>
      <c r="D186" t="inlineStr">
        <is>
          <t>UPPSALA LÄN</t>
        </is>
      </c>
      <c r="E186" t="inlineStr">
        <is>
          <t>TIERP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64983-2019</t>
        </is>
      </c>
      <c r="B187" s="1" t="n">
        <v>43801</v>
      </c>
      <c r="C187" s="1" t="n">
        <v>45875</v>
      </c>
      <c r="D187" t="inlineStr">
        <is>
          <t>UPPSALA LÄN</t>
        </is>
      </c>
      <c r="E187" t="inlineStr">
        <is>
          <t>TIERP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65087-2019</t>
        </is>
      </c>
      <c r="B188" s="1" t="n">
        <v>43802</v>
      </c>
      <c r="C188" s="1" t="n">
        <v>45875</v>
      </c>
      <c r="D188" t="inlineStr">
        <is>
          <t>UPPSALA LÄN</t>
        </is>
      </c>
      <c r="E188" t="inlineStr">
        <is>
          <t>TIERP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66641-2019</t>
        </is>
      </c>
      <c r="B189" s="1" t="n">
        <v>43809</v>
      </c>
      <c r="C189" s="1" t="n">
        <v>45875</v>
      </c>
      <c r="D189" t="inlineStr">
        <is>
          <t>UPPSALA LÄN</t>
        </is>
      </c>
      <c r="E189" t="inlineStr">
        <is>
          <t>TIERP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66640-2019</t>
        </is>
      </c>
      <c r="B190" s="1" t="n">
        <v>43809</v>
      </c>
      <c r="C190" s="1" t="n">
        <v>45875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67253-2019</t>
        </is>
      </c>
      <c r="B191" s="1" t="n">
        <v>43812</v>
      </c>
      <c r="C191" s="1" t="n">
        <v>45875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69141-2019</t>
        </is>
      </c>
      <c r="B192" s="1" t="n">
        <v>43829</v>
      </c>
      <c r="C192" s="1" t="n">
        <v>45875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962-2020</t>
        </is>
      </c>
      <c r="B193" s="1" t="n">
        <v>43839</v>
      </c>
      <c r="C193" s="1" t="n">
        <v>45875</v>
      </c>
      <c r="D193" t="inlineStr">
        <is>
          <t>UPPSALA LÄN</t>
        </is>
      </c>
      <c r="E193" t="inlineStr">
        <is>
          <t>TIERP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1432-2020</t>
        </is>
      </c>
      <c r="B194" s="1" t="n">
        <v>43843</v>
      </c>
      <c r="C194" s="1" t="n">
        <v>45875</v>
      </c>
      <c r="D194" t="inlineStr">
        <is>
          <t>UPPSALA LÄN</t>
        </is>
      </c>
      <c r="E194" t="inlineStr">
        <is>
          <t>TIERP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3522-2020</t>
        </is>
      </c>
      <c r="B195" s="1" t="n">
        <v>43853</v>
      </c>
      <c r="C195" s="1" t="n">
        <v>45875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3734-2020</t>
        </is>
      </c>
      <c r="B196" s="1" t="n">
        <v>43853</v>
      </c>
      <c r="C196" s="1" t="n">
        <v>45875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4899-2020</t>
        </is>
      </c>
      <c r="B197" s="1" t="n">
        <v>43859</v>
      </c>
      <c r="C197" s="1" t="n">
        <v>45875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5048-2020</t>
        </is>
      </c>
      <c r="B198" s="1" t="n">
        <v>43859</v>
      </c>
      <c r="C198" s="1" t="n">
        <v>45875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8214-2020</t>
        </is>
      </c>
      <c r="B199" s="1" t="n">
        <v>43874</v>
      </c>
      <c r="C199" s="1" t="n">
        <v>45875</v>
      </c>
      <c r="D199" t="inlineStr">
        <is>
          <t>UPPSALA LÄN</t>
        </is>
      </c>
      <c r="E199" t="inlineStr">
        <is>
          <t>TIERP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8703-2020</t>
        </is>
      </c>
      <c r="B200" s="1" t="n">
        <v>43875</v>
      </c>
      <c r="C200" s="1" t="n">
        <v>45875</v>
      </c>
      <c r="D200" t="inlineStr">
        <is>
          <t>UPPSALA LÄN</t>
        </is>
      </c>
      <c r="E200" t="inlineStr">
        <is>
          <t>TIERP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8757-2020</t>
        </is>
      </c>
      <c r="B201" s="1" t="n">
        <v>43878</v>
      </c>
      <c r="C201" s="1" t="n">
        <v>45875</v>
      </c>
      <c r="D201" t="inlineStr">
        <is>
          <t>UPPSALA LÄN</t>
        </is>
      </c>
      <c r="E201" t="inlineStr">
        <is>
          <t>TIERP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9334-2020</t>
        </is>
      </c>
      <c r="B202" s="1" t="n">
        <v>43880</v>
      </c>
      <c r="C202" s="1" t="n">
        <v>45875</v>
      </c>
      <c r="D202" t="inlineStr">
        <is>
          <t>UPPSALA LÄN</t>
        </is>
      </c>
      <c r="E202" t="inlineStr">
        <is>
          <t>TIERP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10039-2020</t>
        </is>
      </c>
      <c r="B203" s="1" t="n">
        <v>43882</v>
      </c>
      <c r="C203" s="1" t="n">
        <v>45875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11433-2020</t>
        </is>
      </c>
      <c r="B204" s="1" t="n">
        <v>43893</v>
      </c>
      <c r="C204" s="1" t="n">
        <v>45875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12427-2020</t>
        </is>
      </c>
      <c r="B205" s="1" t="n">
        <v>43896</v>
      </c>
      <c r="C205" s="1" t="n">
        <v>45875</v>
      </c>
      <c r="D205" t="inlineStr">
        <is>
          <t>UPPSALA LÄN</t>
        </is>
      </c>
      <c r="E205" t="inlineStr">
        <is>
          <t>TIERP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12912-2020</t>
        </is>
      </c>
      <c r="B206" s="1" t="n">
        <v>43900</v>
      </c>
      <c r="C206" s="1" t="n">
        <v>45875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14627-2020</t>
        </is>
      </c>
      <c r="B207" s="1" t="n">
        <v>43901</v>
      </c>
      <c r="C207" s="1" t="n">
        <v>45875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14017-2020</t>
        </is>
      </c>
      <c r="B208" s="1" t="n">
        <v>43906</v>
      </c>
      <c r="C208" s="1" t="n">
        <v>45875</v>
      </c>
      <c r="D208" t="inlineStr">
        <is>
          <t>UPPSALA LÄN</t>
        </is>
      </c>
      <c r="E208" t="inlineStr">
        <is>
          <t>TIERP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15326-2020</t>
        </is>
      </c>
      <c r="B209" s="1" t="n">
        <v>43913</v>
      </c>
      <c r="C209" s="1" t="n">
        <v>45875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15233-2020</t>
        </is>
      </c>
      <c r="B210" s="1" t="n">
        <v>43913</v>
      </c>
      <c r="C210" s="1" t="n">
        <v>45875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18774-2020</t>
        </is>
      </c>
      <c r="B211" s="1" t="n">
        <v>43930</v>
      </c>
      <c r="C211" s="1" t="n">
        <v>45875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19136-2020</t>
        </is>
      </c>
      <c r="B212" s="1" t="n">
        <v>43936</v>
      </c>
      <c r="C212" s="1" t="n">
        <v>45875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19332-2020</t>
        </is>
      </c>
      <c r="B213" s="1" t="n">
        <v>43938</v>
      </c>
      <c r="C213" s="1" t="n">
        <v>45875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21730-2020</t>
        </is>
      </c>
      <c r="B214" s="1" t="n">
        <v>43957</v>
      </c>
      <c r="C214" s="1" t="n">
        <v>45875</v>
      </c>
      <c r="D214" t="inlineStr">
        <is>
          <t>UPPSALA LÄN</t>
        </is>
      </c>
      <c r="E214" t="inlineStr">
        <is>
          <t>TIERP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21814-2020</t>
        </is>
      </c>
      <c r="B215" s="1" t="n">
        <v>43958</v>
      </c>
      <c r="C215" s="1" t="n">
        <v>45875</v>
      </c>
      <c r="D215" t="inlineStr">
        <is>
          <t>UPPSALA LÄN</t>
        </is>
      </c>
      <c r="E215" t="inlineStr">
        <is>
          <t>TIERP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22763-2020</t>
        </is>
      </c>
      <c r="B216" s="1" t="n">
        <v>43963</v>
      </c>
      <c r="C216" s="1" t="n">
        <v>45875</v>
      </c>
      <c r="D216" t="inlineStr">
        <is>
          <t>UPPSALA LÄN</t>
        </is>
      </c>
      <c r="E216" t="inlineStr">
        <is>
          <t>TIERP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22802-2020</t>
        </is>
      </c>
      <c r="B217" s="1" t="n">
        <v>43964</v>
      </c>
      <c r="C217" s="1" t="n">
        <v>45875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22961-2020</t>
        </is>
      </c>
      <c r="B218" s="1" t="n">
        <v>43965</v>
      </c>
      <c r="C218" s="1" t="n">
        <v>45875</v>
      </c>
      <c r="D218" t="inlineStr">
        <is>
          <t>UPPSALA LÄN</t>
        </is>
      </c>
      <c r="E218" t="inlineStr">
        <is>
          <t>TIERP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25641-2020</t>
        </is>
      </c>
      <c r="B219" s="1" t="n">
        <v>43983</v>
      </c>
      <c r="C219" s="1" t="n">
        <v>45875</v>
      </c>
      <c r="D219" t="inlineStr">
        <is>
          <t>UPPSALA LÄN</t>
        </is>
      </c>
      <c r="E219" t="inlineStr">
        <is>
          <t>TIERP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26090-2020</t>
        </is>
      </c>
      <c r="B220" s="1" t="n">
        <v>43985</v>
      </c>
      <c r="C220" s="1" t="n">
        <v>45875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26101-2020</t>
        </is>
      </c>
      <c r="B221" s="1" t="n">
        <v>43985</v>
      </c>
      <c r="C221" s="1" t="n">
        <v>45875</v>
      </c>
      <c r="D221" t="inlineStr">
        <is>
          <t>UPPSALA LÄN</t>
        </is>
      </c>
      <c r="E221" t="inlineStr">
        <is>
          <t>TIERP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26095-2020</t>
        </is>
      </c>
      <c r="B222" s="1" t="n">
        <v>43985</v>
      </c>
      <c r="C222" s="1" t="n">
        <v>45875</v>
      </c>
      <c r="D222" t="inlineStr">
        <is>
          <t>UPPSALA LÄN</t>
        </is>
      </c>
      <c r="E222" t="inlineStr">
        <is>
          <t>TIERP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27462-2020</t>
        </is>
      </c>
      <c r="B223" s="1" t="n">
        <v>43993</v>
      </c>
      <c r="C223" s="1" t="n">
        <v>45875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29989-2020</t>
        </is>
      </c>
      <c r="B224" s="1" t="n">
        <v>44006</v>
      </c>
      <c r="C224" s="1" t="n">
        <v>45875</v>
      </c>
      <c r="D224" t="inlineStr">
        <is>
          <t>UPPSALA LÄN</t>
        </is>
      </c>
      <c r="E224" t="inlineStr">
        <is>
          <t>TIERP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30245-2020</t>
        </is>
      </c>
      <c r="B225" s="1" t="n">
        <v>44007</v>
      </c>
      <c r="C225" s="1" t="n">
        <v>45875</v>
      </c>
      <c r="D225" t="inlineStr">
        <is>
          <t>UPPSALA LÄN</t>
        </is>
      </c>
      <c r="E225" t="inlineStr">
        <is>
          <t>TIERP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30544-2020</t>
        </is>
      </c>
      <c r="B226" s="1" t="n">
        <v>44008</v>
      </c>
      <c r="C226" s="1" t="n">
        <v>45875</v>
      </c>
      <c r="D226" t="inlineStr">
        <is>
          <t>UPPSALA LÄN</t>
        </is>
      </c>
      <c r="E226" t="inlineStr">
        <is>
          <t>TIERP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31685-2020</t>
        </is>
      </c>
      <c r="B227" s="1" t="n">
        <v>44013</v>
      </c>
      <c r="C227" s="1" t="n">
        <v>45875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33076-2020</t>
        </is>
      </c>
      <c r="B228" s="1" t="n">
        <v>44021</v>
      </c>
      <c r="C228" s="1" t="n">
        <v>45875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33378-2020</t>
        </is>
      </c>
      <c r="B229" s="1" t="n">
        <v>44022</v>
      </c>
      <c r="C229" s="1" t="n">
        <v>45875</v>
      </c>
      <c r="D229" t="inlineStr">
        <is>
          <t>UPPSALA LÄN</t>
        </is>
      </c>
      <c r="E229" t="inlineStr">
        <is>
          <t>TIERP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33873-2020</t>
        </is>
      </c>
      <c r="B230" s="1" t="n">
        <v>44025</v>
      </c>
      <c r="C230" s="1" t="n">
        <v>45875</v>
      </c>
      <c r="D230" t="inlineStr">
        <is>
          <t>UPPSALA LÄN</t>
        </is>
      </c>
      <c r="E230" t="inlineStr">
        <is>
          <t>TIERP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34494-2020</t>
        </is>
      </c>
      <c r="B231" s="1" t="n">
        <v>44029</v>
      </c>
      <c r="C231" s="1" t="n">
        <v>45875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35573-2020</t>
        </is>
      </c>
      <c r="B232" s="1" t="n">
        <v>44043</v>
      </c>
      <c r="C232" s="1" t="n">
        <v>45875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30.2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36412-2020</t>
        </is>
      </c>
      <c r="B233" s="1" t="n">
        <v>44049</v>
      </c>
      <c r="C233" s="1" t="n">
        <v>45875</v>
      </c>
      <c r="D233" t="inlineStr">
        <is>
          <t>UPPSALA LÄN</t>
        </is>
      </c>
      <c r="E233" t="inlineStr">
        <is>
          <t>TIERP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37596-2020</t>
        </is>
      </c>
      <c r="B234" s="1" t="n">
        <v>44056</v>
      </c>
      <c r="C234" s="1" t="n">
        <v>45875</v>
      </c>
      <c r="D234" t="inlineStr">
        <is>
          <t>UPPSALA LÄN</t>
        </is>
      </c>
      <c r="E234" t="inlineStr">
        <is>
          <t>TIERP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37680-2020</t>
        </is>
      </c>
      <c r="B235" s="1" t="n">
        <v>44056</v>
      </c>
      <c r="C235" s="1" t="n">
        <v>45875</v>
      </c>
      <c r="D235" t="inlineStr">
        <is>
          <t>UPPSALA LÄN</t>
        </is>
      </c>
      <c r="E235" t="inlineStr">
        <is>
          <t>TIERP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37691-2020</t>
        </is>
      </c>
      <c r="B236" s="1" t="n">
        <v>44056</v>
      </c>
      <c r="C236" s="1" t="n">
        <v>45875</v>
      </c>
      <c r="D236" t="inlineStr">
        <is>
          <t>UPPSALA LÄN</t>
        </is>
      </c>
      <c r="E236" t="inlineStr">
        <is>
          <t>TIERP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45513-2020</t>
        </is>
      </c>
      <c r="B237" s="1" t="n">
        <v>44085</v>
      </c>
      <c r="C237" s="1" t="n">
        <v>45875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45938-2020</t>
        </is>
      </c>
      <c r="B238" s="1" t="n">
        <v>44088</v>
      </c>
      <c r="C238" s="1" t="n">
        <v>45875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47234-2020</t>
        </is>
      </c>
      <c r="B239" s="1" t="n">
        <v>44097</v>
      </c>
      <c r="C239" s="1" t="n">
        <v>45875</v>
      </c>
      <c r="D239" t="inlineStr">
        <is>
          <t>UPPSALA LÄN</t>
        </is>
      </c>
      <c r="E239" t="inlineStr">
        <is>
          <t>TIERP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49718-2020</t>
        </is>
      </c>
      <c r="B240" s="1" t="n">
        <v>44106</v>
      </c>
      <c r="C240" s="1" t="n">
        <v>45875</v>
      </c>
      <c r="D240" t="inlineStr">
        <is>
          <t>UPPSALA LÄN</t>
        </is>
      </c>
      <c r="E240" t="inlineStr">
        <is>
          <t>TIERP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50677-2020</t>
        </is>
      </c>
      <c r="B241" s="1" t="n">
        <v>44111</v>
      </c>
      <c r="C241" s="1" t="n">
        <v>45875</v>
      </c>
      <c r="D241" t="inlineStr">
        <is>
          <t>UPPSALA LÄN</t>
        </is>
      </c>
      <c r="E241" t="inlineStr">
        <is>
          <t>TIERP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50735-2020</t>
        </is>
      </c>
      <c r="B242" s="1" t="n">
        <v>44111</v>
      </c>
      <c r="C242" s="1" t="n">
        <v>45875</v>
      </c>
      <c r="D242" t="inlineStr">
        <is>
          <t>UPPSALA LÄN</t>
        </is>
      </c>
      <c r="E242" t="inlineStr">
        <is>
          <t>TIERP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51808-2020</t>
        </is>
      </c>
      <c r="B243" s="1" t="n">
        <v>44116</v>
      </c>
      <c r="C243" s="1" t="n">
        <v>45875</v>
      </c>
      <c r="D243" t="inlineStr">
        <is>
          <t>UPPSALA LÄN</t>
        </is>
      </c>
      <c r="E243" t="inlineStr">
        <is>
          <t>TIERP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53489-2020</t>
        </is>
      </c>
      <c r="B244" s="1" t="n">
        <v>44123</v>
      </c>
      <c r="C244" s="1" t="n">
        <v>45875</v>
      </c>
      <c r="D244" t="inlineStr">
        <is>
          <t>UPPSALA LÄN</t>
        </is>
      </c>
      <c r="E244" t="inlineStr">
        <is>
          <t>TIERP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58242-2020</t>
        </is>
      </c>
      <c r="B245" s="1" t="n">
        <v>44144</v>
      </c>
      <c r="C245" s="1" t="n">
        <v>45875</v>
      </c>
      <c r="D245" t="inlineStr">
        <is>
          <t>UPPSALA LÄN</t>
        </is>
      </c>
      <c r="E245" t="inlineStr">
        <is>
          <t>TIERP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59625-2020</t>
        </is>
      </c>
      <c r="B246" s="1" t="n">
        <v>44150</v>
      </c>
      <c r="C246" s="1" t="n">
        <v>45875</v>
      </c>
      <c r="D246" t="inlineStr">
        <is>
          <t>UPPSALA LÄN</t>
        </is>
      </c>
      <c r="E246" t="inlineStr">
        <is>
          <t>TIERP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59865-2020</t>
        </is>
      </c>
      <c r="B247" s="1" t="n">
        <v>44151</v>
      </c>
      <c r="C247" s="1" t="n">
        <v>45875</v>
      </c>
      <c r="D247" t="inlineStr">
        <is>
          <t>UPPSALA LÄN</t>
        </is>
      </c>
      <c r="E247" t="inlineStr">
        <is>
          <t>TIERP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60769-2020</t>
        </is>
      </c>
      <c r="B248" s="1" t="n">
        <v>44154</v>
      </c>
      <c r="C248" s="1" t="n">
        <v>45875</v>
      </c>
      <c r="D248" t="inlineStr">
        <is>
          <t>UPPSALA LÄN</t>
        </is>
      </c>
      <c r="E248" t="inlineStr">
        <is>
          <t>TIERP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61013-2020</t>
        </is>
      </c>
      <c r="B249" s="1" t="n">
        <v>44154</v>
      </c>
      <c r="C249" s="1" t="n">
        <v>45875</v>
      </c>
      <c r="D249" t="inlineStr">
        <is>
          <t>UPPSALA LÄN</t>
        </is>
      </c>
      <c r="E249" t="inlineStr">
        <is>
          <t>TIERP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61034-2020</t>
        </is>
      </c>
      <c r="B250" s="1" t="n">
        <v>44154</v>
      </c>
      <c r="C250" s="1" t="n">
        <v>45875</v>
      </c>
      <c r="D250" t="inlineStr">
        <is>
          <t>UPPSALA LÄN</t>
        </is>
      </c>
      <c r="E250" t="inlineStr">
        <is>
          <t>TIERP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63260-2020</t>
        </is>
      </c>
      <c r="B251" s="1" t="n">
        <v>44164</v>
      </c>
      <c r="C251" s="1" t="n">
        <v>45875</v>
      </c>
      <c r="D251" t="inlineStr">
        <is>
          <t>UPPSALA LÄN</t>
        </is>
      </c>
      <c r="E251" t="inlineStr">
        <is>
          <t>TIERP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63504-2020</t>
        </is>
      </c>
      <c r="B252" s="1" t="n">
        <v>44165</v>
      </c>
      <c r="C252" s="1" t="n">
        <v>45875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50.3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63912-2020</t>
        </is>
      </c>
      <c r="B253" s="1" t="n">
        <v>44166</v>
      </c>
      <c r="C253" s="1" t="n">
        <v>45875</v>
      </c>
      <c r="D253" t="inlineStr">
        <is>
          <t>UPPSALA LÄN</t>
        </is>
      </c>
      <c r="E253" t="inlineStr">
        <is>
          <t>TIERP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65225-2020</t>
        </is>
      </c>
      <c r="B254" s="1" t="n">
        <v>44172</v>
      </c>
      <c r="C254" s="1" t="n">
        <v>45875</v>
      </c>
      <c r="D254" t="inlineStr">
        <is>
          <t>UPPSALA LÄN</t>
        </is>
      </c>
      <c r="E254" t="inlineStr">
        <is>
          <t>TIERP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65226-2020</t>
        </is>
      </c>
      <c r="B255" s="1" t="n">
        <v>44172</v>
      </c>
      <c r="C255" s="1" t="n">
        <v>45875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249-2021</t>
        </is>
      </c>
      <c r="B256" s="1" t="n">
        <v>44200</v>
      </c>
      <c r="C256" s="1" t="n">
        <v>45875</v>
      </c>
      <c r="D256" t="inlineStr">
        <is>
          <t>UPPSALA LÄN</t>
        </is>
      </c>
      <c r="E256" t="inlineStr">
        <is>
          <t>TIERP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1233-2021</t>
        </is>
      </c>
      <c r="B257" s="1" t="n">
        <v>44208</v>
      </c>
      <c r="C257" s="1" t="n">
        <v>45875</v>
      </c>
      <c r="D257" t="inlineStr">
        <is>
          <t>UPPSALA LÄN</t>
        </is>
      </c>
      <c r="E257" t="inlineStr">
        <is>
          <t>TIERP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1227-2021</t>
        </is>
      </c>
      <c r="B258" s="1" t="n">
        <v>44208</v>
      </c>
      <c r="C258" s="1" t="n">
        <v>45875</v>
      </c>
      <c r="D258" t="inlineStr">
        <is>
          <t>UPPSALA LÄN</t>
        </is>
      </c>
      <c r="E258" t="inlineStr">
        <is>
          <t>TIERP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2157-2021</t>
        </is>
      </c>
      <c r="B259" s="1" t="n">
        <v>44211</v>
      </c>
      <c r="C259" s="1" t="n">
        <v>45875</v>
      </c>
      <c r="D259" t="inlineStr">
        <is>
          <t>UPPSALA LÄN</t>
        </is>
      </c>
      <c r="E259" t="inlineStr">
        <is>
          <t>TIERP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2559-2021</t>
        </is>
      </c>
      <c r="B260" s="1" t="n">
        <v>44214</v>
      </c>
      <c r="C260" s="1" t="n">
        <v>45875</v>
      </c>
      <c r="D260" t="inlineStr">
        <is>
          <t>UPPSALA LÄN</t>
        </is>
      </c>
      <c r="E260" t="inlineStr">
        <is>
          <t>TIERP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2810-2021</t>
        </is>
      </c>
      <c r="B261" s="1" t="n">
        <v>44215</v>
      </c>
      <c r="C261" s="1" t="n">
        <v>45875</v>
      </c>
      <c r="D261" t="inlineStr">
        <is>
          <t>UPPSALA LÄN</t>
        </is>
      </c>
      <c r="E261" t="inlineStr">
        <is>
          <t>TIERP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3443-2021</t>
        </is>
      </c>
      <c r="B262" s="1" t="n">
        <v>44218</v>
      </c>
      <c r="C262" s="1" t="n">
        <v>45875</v>
      </c>
      <c r="D262" t="inlineStr">
        <is>
          <t>UPPSALA LÄN</t>
        </is>
      </c>
      <c r="E262" t="inlineStr">
        <is>
          <t>TIERP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5857-2021</t>
        </is>
      </c>
      <c r="B263" s="1" t="n">
        <v>44231</v>
      </c>
      <c r="C263" s="1" t="n">
        <v>45875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7036-2021</t>
        </is>
      </c>
      <c r="B264" s="1" t="n">
        <v>44237</v>
      </c>
      <c r="C264" s="1" t="n">
        <v>45875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11937-2021</t>
        </is>
      </c>
      <c r="B265" s="1" t="n">
        <v>44266</v>
      </c>
      <c r="C265" s="1" t="n">
        <v>45875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11932-2021</t>
        </is>
      </c>
      <c r="B266" s="1" t="n">
        <v>44266</v>
      </c>
      <c r="C266" s="1" t="n">
        <v>45875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12591-2021</t>
        </is>
      </c>
      <c r="B267" s="1" t="n">
        <v>44270</v>
      </c>
      <c r="C267" s="1" t="n">
        <v>45875</v>
      </c>
      <c r="D267" t="inlineStr">
        <is>
          <t>UPPSALA LÄN</t>
        </is>
      </c>
      <c r="E267" t="inlineStr">
        <is>
          <t>TIERP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13157-2021</t>
        </is>
      </c>
      <c r="B268" s="1" t="n">
        <v>44272</v>
      </c>
      <c r="C268" s="1" t="n">
        <v>45875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14934-2021</t>
        </is>
      </c>
      <c r="B269" s="1" t="n">
        <v>44281</v>
      </c>
      <c r="C269" s="1" t="n">
        <v>45875</v>
      </c>
      <c r="D269" t="inlineStr">
        <is>
          <t>UPPSALA LÄN</t>
        </is>
      </c>
      <c r="E269" t="inlineStr">
        <is>
          <t>TIERP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15587-2021</t>
        </is>
      </c>
      <c r="B270" s="1" t="n">
        <v>44285</v>
      </c>
      <c r="C270" s="1" t="n">
        <v>45875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15677-2021</t>
        </is>
      </c>
      <c r="B271" s="1" t="n">
        <v>44286</v>
      </c>
      <c r="C271" s="1" t="n">
        <v>45875</v>
      </c>
      <c r="D271" t="inlineStr">
        <is>
          <t>UPPSALA LÄN</t>
        </is>
      </c>
      <c r="E271" t="inlineStr">
        <is>
          <t>TIERP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15728-2021</t>
        </is>
      </c>
      <c r="B272" s="1" t="n">
        <v>44286</v>
      </c>
      <c r="C272" s="1" t="n">
        <v>45875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16106-2021</t>
        </is>
      </c>
      <c r="B273" s="1" t="n">
        <v>44290</v>
      </c>
      <c r="C273" s="1" t="n">
        <v>45875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16124-2021</t>
        </is>
      </c>
      <c r="B274" s="1" t="n">
        <v>44291</v>
      </c>
      <c r="C274" s="1" t="n">
        <v>45875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18996-2021</t>
        </is>
      </c>
      <c r="B275" s="1" t="n">
        <v>44308</v>
      </c>
      <c r="C275" s="1" t="n">
        <v>45875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21967-2021</t>
        </is>
      </c>
      <c r="B276" s="1" t="n">
        <v>44323</v>
      </c>
      <c r="C276" s="1" t="n">
        <v>45875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23380-2021</t>
        </is>
      </c>
      <c r="B277" s="1" t="n">
        <v>44333</v>
      </c>
      <c r="C277" s="1" t="n">
        <v>45875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23828-2021</t>
        </is>
      </c>
      <c r="B278" s="1" t="n">
        <v>44335</v>
      </c>
      <c r="C278" s="1" t="n">
        <v>45875</v>
      </c>
      <c r="D278" t="inlineStr">
        <is>
          <t>UPPSALA LÄN</t>
        </is>
      </c>
      <c r="E278" t="inlineStr">
        <is>
          <t>TIERP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23835-2021</t>
        </is>
      </c>
      <c r="B279" s="1" t="n">
        <v>44335</v>
      </c>
      <c r="C279" s="1" t="n">
        <v>45875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24278-2021</t>
        </is>
      </c>
      <c r="B280" s="1" t="n">
        <v>44337</v>
      </c>
      <c r="C280" s="1" t="n">
        <v>45875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24276-2021</t>
        </is>
      </c>
      <c r="B281" s="1" t="n">
        <v>44337</v>
      </c>
      <c r="C281" s="1" t="n">
        <v>45875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24431-2021</t>
        </is>
      </c>
      <c r="B282" s="1" t="n">
        <v>44337</v>
      </c>
      <c r="C282" s="1" t="n">
        <v>45875</v>
      </c>
      <c r="D282" t="inlineStr">
        <is>
          <t>UPPSALA LÄN</t>
        </is>
      </c>
      <c r="E282" t="inlineStr">
        <is>
          <t>TIERP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26301-2021</t>
        </is>
      </c>
      <c r="B283" s="1" t="n">
        <v>44347</v>
      </c>
      <c r="C283" s="1" t="n">
        <v>45875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28834-2021</t>
        </is>
      </c>
      <c r="B284" s="1" t="n">
        <v>44357</v>
      </c>
      <c r="C284" s="1" t="n">
        <v>45875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29082-2021</t>
        </is>
      </c>
      <c r="B285" s="1" t="n">
        <v>44358</v>
      </c>
      <c r="C285" s="1" t="n">
        <v>45875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29089-2021</t>
        </is>
      </c>
      <c r="B286" s="1" t="n">
        <v>44358</v>
      </c>
      <c r="C286" s="1" t="n">
        <v>45875</v>
      </c>
      <c r="D286" t="inlineStr">
        <is>
          <t>UPPSALA LÄN</t>
        </is>
      </c>
      <c r="E286" t="inlineStr">
        <is>
          <t>TIERP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30742-2021</t>
        </is>
      </c>
      <c r="B287" s="1" t="n">
        <v>44365</v>
      </c>
      <c r="C287" s="1" t="n">
        <v>45875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31099-2021</t>
        </is>
      </c>
      <c r="B288" s="1" t="n">
        <v>44368</v>
      </c>
      <c r="C288" s="1" t="n">
        <v>45875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12.6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32207-2021</t>
        </is>
      </c>
      <c r="B289" s="1" t="n">
        <v>44371</v>
      </c>
      <c r="C289" s="1" t="n">
        <v>45875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32995-2021</t>
        </is>
      </c>
      <c r="B290" s="1" t="n">
        <v>44376</v>
      </c>
      <c r="C290" s="1" t="n">
        <v>45875</v>
      </c>
      <c r="D290" t="inlineStr">
        <is>
          <t>UPPSALA LÄN</t>
        </is>
      </c>
      <c r="E290" t="inlineStr">
        <is>
          <t>TIERP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34648-2021</t>
        </is>
      </c>
      <c r="B291" s="1" t="n">
        <v>44382</v>
      </c>
      <c r="C291" s="1" t="n">
        <v>45875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36069-2021</t>
        </is>
      </c>
      <c r="B292" s="1" t="n">
        <v>44389</v>
      </c>
      <c r="C292" s="1" t="n">
        <v>45875</v>
      </c>
      <c r="D292" t="inlineStr">
        <is>
          <t>UPPSALA LÄN</t>
        </is>
      </c>
      <c r="E292" t="inlineStr">
        <is>
          <t>TIERP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36150-2021</t>
        </is>
      </c>
      <c r="B293" s="1" t="n">
        <v>44389</v>
      </c>
      <c r="C293" s="1" t="n">
        <v>45875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39838-2021</t>
        </is>
      </c>
      <c r="B294" s="1" t="n">
        <v>44417</v>
      </c>
      <c r="C294" s="1" t="n">
        <v>45875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40011-2021</t>
        </is>
      </c>
      <c r="B295" s="1" t="n">
        <v>44418</v>
      </c>
      <c r="C295" s="1" t="n">
        <v>45875</v>
      </c>
      <c r="D295" t="inlineStr">
        <is>
          <t>UPPSALA LÄN</t>
        </is>
      </c>
      <c r="E295" t="inlineStr">
        <is>
          <t>TIERP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40804-2021</t>
        </is>
      </c>
      <c r="B296" s="1" t="n">
        <v>44421</v>
      </c>
      <c r="C296" s="1" t="n">
        <v>45875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40793-2021</t>
        </is>
      </c>
      <c r="B297" s="1" t="n">
        <v>44421</v>
      </c>
      <c r="C297" s="1" t="n">
        <v>45875</v>
      </c>
      <c r="D297" t="inlineStr">
        <is>
          <t>UPPSALA LÄN</t>
        </is>
      </c>
      <c r="E297" t="inlineStr">
        <is>
          <t>TIERP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42262-2021</t>
        </is>
      </c>
      <c r="B298" s="1" t="n">
        <v>44427</v>
      </c>
      <c r="C298" s="1" t="n">
        <v>45875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43020-2021</t>
        </is>
      </c>
      <c r="B299" s="1" t="n">
        <v>44431</v>
      </c>
      <c r="C299" s="1" t="n">
        <v>45875</v>
      </c>
      <c r="D299" t="inlineStr">
        <is>
          <t>UPPSALA LÄN</t>
        </is>
      </c>
      <c r="E299" t="inlineStr">
        <is>
          <t>TIERP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44009-2021</t>
        </is>
      </c>
      <c r="B300" s="1" t="n">
        <v>44434</v>
      </c>
      <c r="C300" s="1" t="n">
        <v>45875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44690-2021</t>
        </is>
      </c>
      <c r="B301" s="1" t="n">
        <v>44438</v>
      </c>
      <c r="C301" s="1" t="n">
        <v>45875</v>
      </c>
      <c r="D301" t="inlineStr">
        <is>
          <t>UPPSALA LÄN</t>
        </is>
      </c>
      <c r="E301" t="inlineStr">
        <is>
          <t>TIERP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45146-2021</t>
        </is>
      </c>
      <c r="B302" s="1" t="n">
        <v>44439</v>
      </c>
      <c r="C302" s="1" t="n">
        <v>45875</v>
      </c>
      <c r="D302" t="inlineStr">
        <is>
          <t>UPPSALA LÄN</t>
        </is>
      </c>
      <c r="E302" t="inlineStr">
        <is>
          <t>TIERP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45217-2021</t>
        </is>
      </c>
      <c r="B303" s="1" t="n">
        <v>44439</v>
      </c>
      <c r="C303" s="1" t="n">
        <v>45875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45225-2021</t>
        </is>
      </c>
      <c r="B304" s="1" t="n">
        <v>44439</v>
      </c>
      <c r="C304" s="1" t="n">
        <v>45875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45579-2021</t>
        </is>
      </c>
      <c r="B305" s="1" t="n">
        <v>44440</v>
      </c>
      <c r="C305" s="1" t="n">
        <v>45875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45993-2021</t>
        </is>
      </c>
      <c r="B306" s="1" t="n">
        <v>44441</v>
      </c>
      <c r="C306" s="1" t="n">
        <v>45875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46976-2021</t>
        </is>
      </c>
      <c r="B307" s="1" t="n">
        <v>44446</v>
      </c>
      <c r="C307" s="1" t="n">
        <v>45875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48455-2021</t>
        </is>
      </c>
      <c r="B308" s="1" t="n">
        <v>44452</v>
      </c>
      <c r="C308" s="1" t="n">
        <v>45875</v>
      </c>
      <c r="D308" t="inlineStr">
        <is>
          <t>UPPSALA LÄN</t>
        </is>
      </c>
      <c r="E308" t="inlineStr">
        <is>
          <t>TIERP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48536-2021</t>
        </is>
      </c>
      <c r="B309" s="1" t="n">
        <v>44452</v>
      </c>
      <c r="C309" s="1" t="n">
        <v>45875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48485-2021</t>
        </is>
      </c>
      <c r="B310" s="1" t="n">
        <v>44452</v>
      </c>
      <c r="C310" s="1" t="n">
        <v>45875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48880-2021</t>
        </is>
      </c>
      <c r="B311" s="1" t="n">
        <v>44452</v>
      </c>
      <c r="C311" s="1" t="n">
        <v>45875</v>
      </c>
      <c r="D311" t="inlineStr">
        <is>
          <t>UPPSALA LÄN</t>
        </is>
      </c>
      <c r="E311" t="inlineStr">
        <is>
          <t>TIERP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48970-2021</t>
        </is>
      </c>
      <c r="B312" s="1" t="n">
        <v>44453</v>
      </c>
      <c r="C312" s="1" t="n">
        <v>45875</v>
      </c>
      <c r="D312" t="inlineStr">
        <is>
          <t>UPPSALA LÄN</t>
        </is>
      </c>
      <c r="E312" t="inlineStr">
        <is>
          <t>TIERP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48982-2021</t>
        </is>
      </c>
      <c r="B313" s="1" t="n">
        <v>44453</v>
      </c>
      <c r="C313" s="1" t="n">
        <v>45875</v>
      </c>
      <c r="D313" t="inlineStr">
        <is>
          <t>UPPSALA LÄN</t>
        </is>
      </c>
      <c r="E313" t="inlineStr">
        <is>
          <t>TIERP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49053-2021</t>
        </is>
      </c>
      <c r="B314" s="1" t="n">
        <v>44453</v>
      </c>
      <c r="C314" s="1" t="n">
        <v>45875</v>
      </c>
      <c r="D314" t="inlineStr">
        <is>
          <t>UPPSALA LÄN</t>
        </is>
      </c>
      <c r="E314" t="inlineStr">
        <is>
          <t>TIERP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49061-2021</t>
        </is>
      </c>
      <c r="B315" s="1" t="n">
        <v>44453</v>
      </c>
      <c r="C315" s="1" t="n">
        <v>45875</v>
      </c>
      <c r="D315" t="inlineStr">
        <is>
          <t>UPPSALA LÄN</t>
        </is>
      </c>
      <c r="E315" t="inlineStr">
        <is>
          <t>TIERP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52025-2021</t>
        </is>
      </c>
      <c r="B316" s="1" t="n">
        <v>44463</v>
      </c>
      <c r="C316" s="1" t="n">
        <v>45875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53666-2021</t>
        </is>
      </c>
      <c r="B317" s="1" t="n">
        <v>44469</v>
      </c>
      <c r="C317" s="1" t="n">
        <v>45875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53766-2021</t>
        </is>
      </c>
      <c r="B318" s="1" t="n">
        <v>44469</v>
      </c>
      <c r="C318" s="1" t="n">
        <v>45875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53751-2021</t>
        </is>
      </c>
      <c r="B319" s="1" t="n">
        <v>44469</v>
      </c>
      <c r="C319" s="1" t="n">
        <v>45875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55026-2021</t>
        </is>
      </c>
      <c r="B320" s="1" t="n">
        <v>44474</v>
      </c>
      <c r="C320" s="1" t="n">
        <v>45875</v>
      </c>
      <c r="D320" t="inlineStr">
        <is>
          <t>UPPSALA LÄN</t>
        </is>
      </c>
      <c r="E320" t="inlineStr">
        <is>
          <t>TIERP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56498-2021</t>
        </is>
      </c>
      <c r="B321" s="1" t="n">
        <v>44480</v>
      </c>
      <c r="C321" s="1" t="n">
        <v>45875</v>
      </c>
      <c r="D321" t="inlineStr">
        <is>
          <t>UPPSALA LÄN</t>
        </is>
      </c>
      <c r="E321" t="inlineStr">
        <is>
          <t>TIERP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56509-2021</t>
        </is>
      </c>
      <c r="B322" s="1" t="n">
        <v>44480</v>
      </c>
      <c r="C322" s="1" t="n">
        <v>45875</v>
      </c>
      <c r="D322" t="inlineStr">
        <is>
          <t>UPPSALA LÄN</t>
        </is>
      </c>
      <c r="E322" t="inlineStr">
        <is>
          <t>TIERP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56740-2021</t>
        </is>
      </c>
      <c r="B323" s="1" t="n">
        <v>44481</v>
      </c>
      <c r="C323" s="1" t="n">
        <v>45875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57028-2021</t>
        </is>
      </c>
      <c r="B324" s="1" t="n">
        <v>44482</v>
      </c>
      <c r="C324" s="1" t="n">
        <v>45875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59378-2021</t>
        </is>
      </c>
      <c r="B325" s="1" t="n">
        <v>44491</v>
      </c>
      <c r="C325" s="1" t="n">
        <v>45875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59350-2021</t>
        </is>
      </c>
      <c r="B326" s="1" t="n">
        <v>44491</v>
      </c>
      <c r="C326" s="1" t="n">
        <v>45875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60441-2021</t>
        </is>
      </c>
      <c r="B327" s="1" t="n">
        <v>44496</v>
      </c>
      <c r="C327" s="1" t="n">
        <v>45875</v>
      </c>
      <c r="D327" t="inlineStr">
        <is>
          <t>UPPSALA LÄN</t>
        </is>
      </c>
      <c r="E327" t="inlineStr">
        <is>
          <t>TIERP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60429-2021</t>
        </is>
      </c>
      <c r="B328" s="1" t="n">
        <v>44496</v>
      </c>
      <c r="C328" s="1" t="n">
        <v>45875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60908-2021</t>
        </is>
      </c>
      <c r="B329" s="1" t="n">
        <v>44497</v>
      </c>
      <c r="C329" s="1" t="n">
        <v>45875</v>
      </c>
      <c r="D329" t="inlineStr">
        <is>
          <t>UPPSALA LÄN</t>
        </is>
      </c>
      <c r="E329" t="inlineStr">
        <is>
          <t>TIERP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62897-2021</t>
        </is>
      </c>
      <c r="B330" s="1" t="n">
        <v>44504</v>
      </c>
      <c r="C330" s="1" t="n">
        <v>45875</v>
      </c>
      <c r="D330" t="inlineStr">
        <is>
          <t>UPPSALA LÄN</t>
        </is>
      </c>
      <c r="E330" t="inlineStr">
        <is>
          <t>TIERP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65255-2021</t>
        </is>
      </c>
      <c r="B331" s="1" t="n">
        <v>44515</v>
      </c>
      <c r="C331" s="1" t="n">
        <v>45875</v>
      </c>
      <c r="D331" t="inlineStr">
        <is>
          <t>UPPSALA LÄN</t>
        </is>
      </c>
      <c r="E331" t="inlineStr">
        <is>
          <t>TIERP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65491-2021</t>
        </is>
      </c>
      <c r="B332" s="1" t="n">
        <v>44516</v>
      </c>
      <c r="C332" s="1" t="n">
        <v>45875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66241-2021</t>
        </is>
      </c>
      <c r="B333" s="1" t="n">
        <v>44518</v>
      </c>
      <c r="C333" s="1" t="n">
        <v>45875</v>
      </c>
      <c r="D333" t="inlineStr">
        <is>
          <t>UPPSALA LÄN</t>
        </is>
      </c>
      <c r="E333" t="inlineStr">
        <is>
          <t>TIERP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68410-2021</t>
        </is>
      </c>
      <c r="B334" s="1" t="n">
        <v>44529</v>
      </c>
      <c r="C334" s="1" t="n">
        <v>45875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öst AB</t>
        </is>
      </c>
      <c r="G334" t="n">
        <v>35.5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69841-2021</t>
        </is>
      </c>
      <c r="B335" s="1" t="n">
        <v>44532</v>
      </c>
      <c r="C335" s="1" t="n">
        <v>45875</v>
      </c>
      <c r="D335" t="inlineStr">
        <is>
          <t>UPPSALA LÄN</t>
        </is>
      </c>
      <c r="E335" t="inlineStr">
        <is>
          <t>TIERP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71774-2021</t>
        </is>
      </c>
      <c r="B336" s="1" t="n">
        <v>44543</v>
      </c>
      <c r="C336" s="1" t="n">
        <v>45875</v>
      </c>
      <c r="D336" t="inlineStr">
        <is>
          <t>UPPSALA LÄN</t>
        </is>
      </c>
      <c r="E336" t="inlineStr">
        <is>
          <t>TIERP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72914-2021</t>
        </is>
      </c>
      <c r="B337" s="1" t="n">
        <v>44547</v>
      </c>
      <c r="C337" s="1" t="n">
        <v>45875</v>
      </c>
      <c r="D337" t="inlineStr">
        <is>
          <t>UPPSALA LÄN</t>
        </is>
      </c>
      <c r="E337" t="inlineStr">
        <is>
          <t>TIERP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72975-2021</t>
        </is>
      </c>
      <c r="B338" s="1" t="n">
        <v>44548</v>
      </c>
      <c r="C338" s="1" t="n">
        <v>45875</v>
      </c>
      <c r="D338" t="inlineStr">
        <is>
          <t>UPPSALA LÄN</t>
        </is>
      </c>
      <c r="E338" t="inlineStr">
        <is>
          <t>TIERP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74473-2021</t>
        </is>
      </c>
      <c r="B339" s="1" t="n">
        <v>44560</v>
      </c>
      <c r="C339" s="1" t="n">
        <v>45875</v>
      </c>
      <c r="D339" t="inlineStr">
        <is>
          <t>UPPSALA LÄN</t>
        </is>
      </c>
      <c r="E339" t="inlineStr">
        <is>
          <t>TIERP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871-2022</t>
        </is>
      </c>
      <c r="B340" s="1" t="n">
        <v>44571</v>
      </c>
      <c r="C340" s="1" t="n">
        <v>45875</v>
      </c>
      <c r="D340" t="inlineStr">
        <is>
          <t>UPPSALA LÄN</t>
        </is>
      </c>
      <c r="E340" t="inlineStr">
        <is>
          <t>TIERP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2248-2022</t>
        </is>
      </c>
      <c r="B341" s="1" t="n">
        <v>44578</v>
      </c>
      <c r="C341" s="1" t="n">
        <v>45875</v>
      </c>
      <c r="D341" t="inlineStr">
        <is>
          <t>UPPSALA LÄN</t>
        </is>
      </c>
      <c r="E341" t="inlineStr">
        <is>
          <t>TIERP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45875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45875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45875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45875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45875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45875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45875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45875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45875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45875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45875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45875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45875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45875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45875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45875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45875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45875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45875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45875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45875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45875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45875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45875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45875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45875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45875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45875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45875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45875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45875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45875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45875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45875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45875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45875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45875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45875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45875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45875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45875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45875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45875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45875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45875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45875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45875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45875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45875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45875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45875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45875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45875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45875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45875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45875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45875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45875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45875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45875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45875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45875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45875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45875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45875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45875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45875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45875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45875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45875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45875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45875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45875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45875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45875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45875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45875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45875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45875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45875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45875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45875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45875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45875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45875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45875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45875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45875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45875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45875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45875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45875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45875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45875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45875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45875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45875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45875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45875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45875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45875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45875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45875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45875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45875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45875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45875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45875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45875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45875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45875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45875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45875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45875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45875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45875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45875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45875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45875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45875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45875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45875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45875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45875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45875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45875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45875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45875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45875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45875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45875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45875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45875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45875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45875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45875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45875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45875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45875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45875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45875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45875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45875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45875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45875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45875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45875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45875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45875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45875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45875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45875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45875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45875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45875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45875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45875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45875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45875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45875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45875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45875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45875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45875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45875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45875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45875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45875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45875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45875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45875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45875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45875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45875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45875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45875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45875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45875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45875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45875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45875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45875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45875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45875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45875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45875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45875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45875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45875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45875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45875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45875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45875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45875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45875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45875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45875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45875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45875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45875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45875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45875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45875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45875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45875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45875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45875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45875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45875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45875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45875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45875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45875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45875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45875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45875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45875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45875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45875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45875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45875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45875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45875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45875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45875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45875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45875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45875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45875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45875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45875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45875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45875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45875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45875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45875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45875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45875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45875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45875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45875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45875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45875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45875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45875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45875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45875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45875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45875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45875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45875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45875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45875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45875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45875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45875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45875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45875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45875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45875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45875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45875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45875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45875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45875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45875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45875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45875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45875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45875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45875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45875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45875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45875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45875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45875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45875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45875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45875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45875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45875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45875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45875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45875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45875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45875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45875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45875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45875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45875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45875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45875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45875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45875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45875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45875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45875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45875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45875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45875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45875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45875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45875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45875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45875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45875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45875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45875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45875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45875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45875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45875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45875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45875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45875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45875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45875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45875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45875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45875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45875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45875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45875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45875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45875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45875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45875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45875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45875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45875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45875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45875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45875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45875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45875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45875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45875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45875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45875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45875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45875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45875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45875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45875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45875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45875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45875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45875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45875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45875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45875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45875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45875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45875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45875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45875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45875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45875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45875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45875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45875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45875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45875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45875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45875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45875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45875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45875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45875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45875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45875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45875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45875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45875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45875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45875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45875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45875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45875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45875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45875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45875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45875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45875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45875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45875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45875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45875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45875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45875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45875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45875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45875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45875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45875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45875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45875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45875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45875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45875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45875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45875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45875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45875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45875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45875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45875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45875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45875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45875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45875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45875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45875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45875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45875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45875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45875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45875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45875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45875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45875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45875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45875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45875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45875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45875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45875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45875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45875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45875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45875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45875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45875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45875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45875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45875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45875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45875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45875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45875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45875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45875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45875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45875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45875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45875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45875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45875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45875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45875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45875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45875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45875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45875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45875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45875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45875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45875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45875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45875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45875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45875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45875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45875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45875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45875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45875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45875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45875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45875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45875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45875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45875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45875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45875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45875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45875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45875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45875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45875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45875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45875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45875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45875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45875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45875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45875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45875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45875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45875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45875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45875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45875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45875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45875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45875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45875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45875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45875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45875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45875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45875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45875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45875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45875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45875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45875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45875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45875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45875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45875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45875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45875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45875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45875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45875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45875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45875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45875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45875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45875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45875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45875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45875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45875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45875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45875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45875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45875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45875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45875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45875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45875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45875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45875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45875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45875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45875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45875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45875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45875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45875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45875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45875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45875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45875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45875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45875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45875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45875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45875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45875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45875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45875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45875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45875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45875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45875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45875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45875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45875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45875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45875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45875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45875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45875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45875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45875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45875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45875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45875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45875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45875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45875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45875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45875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45875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45875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45875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45875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45875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45875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45875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45875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45875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45875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45875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45875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45875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45875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45875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45875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45875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45875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45875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45875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45875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45875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45875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45875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45875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45875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45875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45875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45875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45875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45875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45875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45875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45875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45875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45875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45875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45875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45875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45875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45875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45875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45875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45875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45875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45875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45875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45875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45875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45875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45875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45875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45875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45875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45875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45875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45875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45875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45875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45875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45875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45875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45875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45875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45875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45875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45875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45875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45875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45875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45875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45875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45875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45875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45875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45875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45875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45875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45875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45875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45875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45875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45875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45875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45875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45875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45875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45875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45875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45875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45875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45875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45875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45875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45875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45875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45875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45875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45875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45875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45875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45875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45875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45875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45875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45875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45875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45875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45875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45875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45875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45875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45875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45875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45875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45875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45875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45875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45875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45875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45875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45875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45875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45875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45875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45875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45875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45875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45875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45875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45875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45875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45875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45875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45875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45875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45875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45875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45875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45875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45875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45875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45875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45875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45875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45875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45875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45875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45875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45875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45875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45875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45875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45875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45875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45875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45875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45875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45875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45875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45875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45875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45875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45875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45875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45875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45875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45875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45875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45875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45875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45875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45875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45875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45875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45875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45875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45875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45875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45875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45875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45875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45875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45875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45875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45875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45875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45875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45875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45875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45875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45875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45875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45875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45875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45875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45875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45875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45875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45875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45875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45875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45875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45875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45875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45875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45875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45875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45875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45875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45875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45875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45875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45875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45875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45875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45875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45875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45875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45875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45875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45875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45875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45875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45875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45875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45875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45875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45875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45875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45875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45875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45875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45875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45875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45875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45875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45875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45875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45875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45875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45875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45875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45875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45875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45875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45875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45875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45875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45875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45875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45875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45875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45875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45875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45875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45875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45875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45875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45875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45875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45875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45875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45875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45875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45875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45875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45875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45875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45875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45875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45875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45875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45875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45875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45875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45875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45875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45875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45875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45875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45875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45875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45875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45875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45875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45875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45875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45875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45875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45875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45875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45875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45875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45875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45875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45875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45875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45875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45875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45875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45875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45875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45875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45875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45875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45875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45875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45875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45875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45875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45875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45875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45875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45875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45875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45875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45875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45875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45875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45875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45875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45875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45875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45875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45875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45875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45875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45875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45875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45875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45875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45875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45875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45875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45875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45875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45875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45875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45875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45875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45875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45875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45875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45875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45875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45875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45875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45875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45875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45875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45875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45875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45875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45875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45875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45875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45875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45875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45875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45875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45875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45875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45875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45875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45875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45875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45875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45875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45875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45875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45875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45875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45875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45875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45875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45875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45875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45875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45875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45875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45875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45875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45875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45875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45875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31199-2025</t>
        </is>
      </c>
      <c r="B1304" s="1" t="n">
        <v>45832</v>
      </c>
      <c r="C1304" s="1" t="n">
        <v>45875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31149-2025</t>
        </is>
      </c>
      <c r="B1305" s="1" t="n">
        <v>45832</v>
      </c>
      <c r="C1305" s="1" t="n">
        <v>45875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31083-2025</t>
        </is>
      </c>
      <c r="B1306" s="1" t="n">
        <v>45832</v>
      </c>
      <c r="C1306" s="1" t="n">
        <v>45875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45875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45875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31614-2025</t>
        </is>
      </c>
      <c r="B1309" s="1" t="n">
        <v>45833</v>
      </c>
      <c r="C1309" s="1" t="n">
        <v>45875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väst AB</t>
        </is>
      </c>
      <c r="G1309" t="n">
        <v>17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31616-2025</t>
        </is>
      </c>
      <c r="B1310" s="1" t="n">
        <v>45833</v>
      </c>
      <c r="C1310" s="1" t="n">
        <v>45875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väst AB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31421-2025</t>
        </is>
      </c>
      <c r="B1311" s="1" t="n">
        <v>45833</v>
      </c>
      <c r="C1311" s="1" t="n">
        <v>45875</v>
      </c>
      <c r="D1311" t="inlineStr">
        <is>
          <t>UPPSALA LÄN</t>
        </is>
      </c>
      <c r="E1311" t="inlineStr">
        <is>
          <t>TIERP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31523-2025</t>
        </is>
      </c>
      <c r="B1312" s="1" t="n">
        <v>45833</v>
      </c>
      <c r="C1312" s="1" t="n">
        <v>45875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öst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31549-2025</t>
        </is>
      </c>
      <c r="B1313" s="1" t="n">
        <v>45833</v>
      </c>
      <c r="C1313" s="1" t="n">
        <v>45875</v>
      </c>
      <c r="D1313" t="inlineStr">
        <is>
          <t>UPPSALA LÄN</t>
        </is>
      </c>
      <c r="E1313" t="inlineStr">
        <is>
          <t>TIERP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31556-2025</t>
        </is>
      </c>
      <c r="B1314" s="1" t="n">
        <v>45833</v>
      </c>
      <c r="C1314" s="1" t="n">
        <v>45875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31383-2025</t>
        </is>
      </c>
      <c r="B1315" s="1" t="n">
        <v>45833</v>
      </c>
      <c r="C1315" s="1" t="n">
        <v>45875</v>
      </c>
      <c r="D1315" t="inlineStr">
        <is>
          <t>UPPSALA LÄN</t>
        </is>
      </c>
      <c r="E1315" t="inlineStr">
        <is>
          <t>TIERP</t>
        </is>
      </c>
      <c r="F1315" t="inlineStr">
        <is>
          <t>Övriga Aktiebolag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31525-2025</t>
        </is>
      </c>
      <c r="B1316" s="1" t="n">
        <v>45833</v>
      </c>
      <c r="C1316" s="1" t="n">
        <v>45875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öst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45875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32227-2025</t>
        </is>
      </c>
      <c r="B1318" s="1" t="n">
        <v>45835</v>
      </c>
      <c r="C1318" s="1" t="n">
        <v>45875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13.1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32296-2025</t>
        </is>
      </c>
      <c r="B1319" s="1" t="n">
        <v>45835</v>
      </c>
      <c r="C1319" s="1" t="n">
        <v>45875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32184-2025</t>
        </is>
      </c>
      <c r="B1320" s="1" t="n">
        <v>45835</v>
      </c>
      <c r="C1320" s="1" t="n">
        <v>45875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32194-2025</t>
        </is>
      </c>
      <c r="B1321" s="1" t="n">
        <v>45835</v>
      </c>
      <c r="C1321" s="1" t="n">
        <v>45875</v>
      </c>
      <c r="D1321" t="inlineStr">
        <is>
          <t>UPPSALA LÄN</t>
        </is>
      </c>
      <c r="E1321" t="inlineStr">
        <is>
          <t>TIERP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32209-2025</t>
        </is>
      </c>
      <c r="B1322" s="1" t="n">
        <v>45835</v>
      </c>
      <c r="C1322" s="1" t="n">
        <v>45875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31949-2025</t>
        </is>
      </c>
      <c r="B1323" s="1" t="n">
        <v>45835</v>
      </c>
      <c r="C1323" s="1" t="n">
        <v>45875</v>
      </c>
      <c r="D1323" t="inlineStr">
        <is>
          <t>UPPSALA LÄN</t>
        </is>
      </c>
      <c r="E1323" t="inlineStr">
        <is>
          <t>TIERP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45875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33180-2025</t>
        </is>
      </c>
      <c r="B1325" s="1" t="n">
        <v>45840</v>
      </c>
      <c r="C1325" s="1" t="n">
        <v>45875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33510-2025</t>
        </is>
      </c>
      <c r="B1326" s="1" t="n">
        <v>45841</v>
      </c>
      <c r="C1326" s="1" t="n">
        <v>45875</v>
      </c>
      <c r="D1326" t="inlineStr">
        <is>
          <t>UPPSALA LÄN</t>
        </is>
      </c>
      <c r="E1326" t="inlineStr">
        <is>
          <t>TIERP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33570-2025</t>
        </is>
      </c>
      <c r="B1327" s="1" t="n">
        <v>45841</v>
      </c>
      <c r="C1327" s="1" t="n">
        <v>45875</v>
      </c>
      <c r="D1327" t="inlineStr">
        <is>
          <t>UPPSALA LÄN</t>
        </is>
      </c>
      <c r="E1327" t="inlineStr">
        <is>
          <t>TIERP</t>
        </is>
      </c>
      <c r="F1327" t="inlineStr">
        <is>
          <t>Övriga Aktiebolag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33946-2025</t>
        </is>
      </c>
      <c r="B1328" s="1" t="n">
        <v>45842</v>
      </c>
      <c r="C1328" s="1" t="n">
        <v>45875</v>
      </c>
      <c r="D1328" t="inlineStr">
        <is>
          <t>UPPSALA LÄN</t>
        </is>
      </c>
      <c r="E1328" t="inlineStr">
        <is>
          <t>TIERP</t>
        </is>
      </c>
      <c r="F1328" t="inlineStr">
        <is>
          <t>Bergvik skog öst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33954-2025</t>
        </is>
      </c>
      <c r="B1329" s="1" t="n">
        <v>45842</v>
      </c>
      <c r="C1329" s="1" t="n">
        <v>45875</v>
      </c>
      <c r="D1329" t="inlineStr">
        <is>
          <t>UPPSALA LÄN</t>
        </is>
      </c>
      <c r="E1329" t="inlineStr">
        <is>
          <t>TIERP</t>
        </is>
      </c>
      <c r="F1329" t="inlineStr">
        <is>
          <t>Bergvik skog öst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33953-2025</t>
        </is>
      </c>
      <c r="B1330" s="1" t="n">
        <v>45842</v>
      </c>
      <c r="C1330" s="1" t="n">
        <v>45875</v>
      </c>
      <c r="D1330" t="inlineStr">
        <is>
          <t>UPPSALA LÄN</t>
        </is>
      </c>
      <c r="E1330" t="inlineStr">
        <is>
          <t>TIERP</t>
        </is>
      </c>
      <c r="F1330" t="inlineStr">
        <is>
          <t>Bergvik skog öst AB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34044-2025</t>
        </is>
      </c>
      <c r="B1331" s="1" t="n">
        <v>45845</v>
      </c>
      <c r="C1331" s="1" t="n">
        <v>45875</v>
      </c>
      <c r="D1331" t="inlineStr">
        <is>
          <t>UPPSALA LÄN</t>
        </is>
      </c>
      <c r="E1331" t="inlineStr">
        <is>
          <t>TIERP</t>
        </is>
      </c>
      <c r="F1331" t="inlineStr">
        <is>
          <t>Övriga Aktiebolag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34112-2025</t>
        </is>
      </c>
      <c r="B1332" s="1" t="n">
        <v>45845</v>
      </c>
      <c r="C1332" s="1" t="n">
        <v>45875</v>
      </c>
      <c r="D1332" t="inlineStr">
        <is>
          <t>UPPSALA LÄN</t>
        </is>
      </c>
      <c r="E1332" t="inlineStr">
        <is>
          <t>TIERP</t>
        </is>
      </c>
      <c r="F1332" t="inlineStr">
        <is>
          <t>Bergvik skog väst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34014-2025</t>
        </is>
      </c>
      <c r="B1333" s="1" t="n">
        <v>45845</v>
      </c>
      <c r="C1333" s="1" t="n">
        <v>45875</v>
      </c>
      <c r="D1333" t="inlineStr">
        <is>
          <t>UPPSALA LÄN</t>
        </is>
      </c>
      <c r="E1333" t="inlineStr">
        <is>
          <t>TIERP</t>
        </is>
      </c>
      <c r="F1333" t="inlineStr">
        <is>
          <t>Bergvik skog öst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34035-2025</t>
        </is>
      </c>
      <c r="B1334" s="1" t="n">
        <v>45845</v>
      </c>
      <c r="C1334" s="1" t="n">
        <v>45875</v>
      </c>
      <c r="D1334" t="inlineStr">
        <is>
          <t>UPPSALA LÄN</t>
        </is>
      </c>
      <c r="E1334" t="inlineStr">
        <is>
          <t>TIERP</t>
        </is>
      </c>
      <c r="F1334" t="inlineStr">
        <is>
          <t>Övriga Aktiebolag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34114-2025</t>
        </is>
      </c>
      <c r="B1335" s="1" t="n">
        <v>45845</v>
      </c>
      <c r="C1335" s="1" t="n">
        <v>45875</v>
      </c>
      <c r="D1335" t="inlineStr">
        <is>
          <t>UPPSALA LÄN</t>
        </is>
      </c>
      <c r="E1335" t="inlineStr">
        <is>
          <t>TIERP</t>
        </is>
      </c>
      <c r="F1335" t="inlineStr">
        <is>
          <t>Bergvik skog väst AB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34455-2025</t>
        </is>
      </c>
      <c r="B1336" s="1" t="n">
        <v>45847</v>
      </c>
      <c r="C1336" s="1" t="n">
        <v>45875</v>
      </c>
      <c r="D1336" t="inlineStr">
        <is>
          <t>UPPSALA LÄN</t>
        </is>
      </c>
      <c r="E1336" t="inlineStr">
        <is>
          <t>TIERP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34730-2025</t>
        </is>
      </c>
      <c r="B1337" s="1" t="n">
        <v>45848</v>
      </c>
      <c r="C1337" s="1" t="n">
        <v>45875</v>
      </c>
      <c r="D1337" t="inlineStr">
        <is>
          <t>UPPSALA LÄN</t>
        </is>
      </c>
      <c r="E1337" t="inlineStr">
        <is>
          <t>TIERP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34922-2025</t>
        </is>
      </c>
      <c r="B1338" s="1" t="n">
        <v>45849</v>
      </c>
      <c r="C1338" s="1" t="n">
        <v>45875</v>
      </c>
      <c r="D1338" t="inlineStr">
        <is>
          <t>UPPSALA LÄN</t>
        </is>
      </c>
      <c r="E1338" t="inlineStr">
        <is>
          <t>TIERP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35013-2025</t>
        </is>
      </c>
      <c r="B1339" s="1" t="n">
        <v>45851</v>
      </c>
      <c r="C1339" s="1" t="n">
        <v>45875</v>
      </c>
      <c r="D1339" t="inlineStr">
        <is>
          <t>UPPSALA LÄN</t>
        </is>
      </c>
      <c r="E1339" t="inlineStr">
        <is>
          <t>TIERP</t>
        </is>
      </c>
      <c r="F1339" t="inlineStr">
        <is>
          <t>Bergvik skog väst AB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35011-2025</t>
        </is>
      </c>
      <c r="B1340" s="1" t="n">
        <v>45851</v>
      </c>
      <c r="C1340" s="1" t="n">
        <v>45875</v>
      </c>
      <c r="D1340" t="inlineStr">
        <is>
          <t>UPPSALA LÄN</t>
        </is>
      </c>
      <c r="E1340" t="inlineStr">
        <is>
          <t>TIERP</t>
        </is>
      </c>
      <c r="F1340" t="inlineStr">
        <is>
          <t>Bergvik skog väst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35012-2025</t>
        </is>
      </c>
      <c r="B1341" s="1" t="n">
        <v>45851</v>
      </c>
      <c r="C1341" s="1" t="n">
        <v>45875</v>
      </c>
      <c r="D1341" t="inlineStr">
        <is>
          <t>UPPSALA LÄN</t>
        </is>
      </c>
      <c r="E1341" t="inlineStr">
        <is>
          <t>TIERP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35112-2025</t>
        </is>
      </c>
      <c r="B1342" s="1" t="n">
        <v>45852</v>
      </c>
      <c r="C1342" s="1" t="n">
        <v>45875</v>
      </c>
      <c r="D1342" t="inlineStr">
        <is>
          <t>UPPSALA LÄN</t>
        </is>
      </c>
      <c r="E1342" t="inlineStr">
        <is>
          <t>TIERP</t>
        </is>
      </c>
      <c r="F1342" t="inlineStr">
        <is>
          <t>Bergvik skog väst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35105-2025</t>
        </is>
      </c>
      <c r="B1343" s="1" t="n">
        <v>45852</v>
      </c>
      <c r="C1343" s="1" t="n">
        <v>45875</v>
      </c>
      <c r="D1343" t="inlineStr">
        <is>
          <t>UPPSALA LÄN</t>
        </is>
      </c>
      <c r="E1343" t="inlineStr">
        <is>
          <t>TIERP</t>
        </is>
      </c>
      <c r="F1343" t="inlineStr">
        <is>
          <t>Bergvik skog väst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35108-2025</t>
        </is>
      </c>
      <c r="B1344" s="1" t="n">
        <v>45852</v>
      </c>
      <c r="C1344" s="1" t="n">
        <v>45875</v>
      </c>
      <c r="D1344" t="inlineStr">
        <is>
          <t>UPPSALA LÄN</t>
        </is>
      </c>
      <c r="E1344" t="inlineStr">
        <is>
          <t>TIERP</t>
        </is>
      </c>
      <c r="F1344" t="inlineStr">
        <is>
          <t>Bergvik skog väst AB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35118-2025</t>
        </is>
      </c>
      <c r="B1345" s="1" t="n">
        <v>45852</v>
      </c>
      <c r="C1345" s="1" t="n">
        <v>45875</v>
      </c>
      <c r="D1345" t="inlineStr">
        <is>
          <t>UPPSALA LÄN</t>
        </is>
      </c>
      <c r="E1345" t="inlineStr">
        <is>
          <t>TIERP</t>
        </is>
      </c>
      <c r="F1345" t="inlineStr">
        <is>
          <t>Bergvik skog väst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35119-2025</t>
        </is>
      </c>
      <c r="B1346" s="1" t="n">
        <v>45852</v>
      </c>
      <c r="C1346" s="1" t="n">
        <v>45875</v>
      </c>
      <c r="D1346" t="inlineStr">
        <is>
          <t>UPPSALA LÄN</t>
        </is>
      </c>
      <c r="E1346" t="inlineStr">
        <is>
          <t>TIERP</t>
        </is>
      </c>
      <c r="F1346" t="inlineStr">
        <is>
          <t>Bergvik skog väst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35122-2025</t>
        </is>
      </c>
      <c r="B1347" s="1" t="n">
        <v>45852</v>
      </c>
      <c r="C1347" s="1" t="n">
        <v>45875</v>
      </c>
      <c r="D1347" t="inlineStr">
        <is>
          <t>UPPSALA LÄN</t>
        </is>
      </c>
      <c r="E1347" t="inlineStr">
        <is>
          <t>TIERP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35195-2025</t>
        </is>
      </c>
      <c r="B1348" s="1" t="n">
        <v>45853</v>
      </c>
      <c r="C1348" s="1" t="n">
        <v>45875</v>
      </c>
      <c r="D1348" t="inlineStr">
        <is>
          <t>UPPSALA LÄN</t>
        </is>
      </c>
      <c r="E1348" t="inlineStr">
        <is>
          <t>TIERP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35188-2025</t>
        </is>
      </c>
      <c r="B1349" s="1" t="n">
        <v>45853</v>
      </c>
      <c r="C1349" s="1" t="n">
        <v>45875</v>
      </c>
      <c r="D1349" t="inlineStr">
        <is>
          <t>UPPSALA LÄN</t>
        </is>
      </c>
      <c r="E1349" t="inlineStr">
        <is>
          <t>TIERP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35196-2025</t>
        </is>
      </c>
      <c r="B1350" s="1" t="n">
        <v>45853</v>
      </c>
      <c r="C1350" s="1" t="n">
        <v>45875</v>
      </c>
      <c r="D1350" t="inlineStr">
        <is>
          <t>UPPSALA LÄN</t>
        </is>
      </c>
      <c r="E1350" t="inlineStr">
        <is>
          <t>TIERP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35911-2025</t>
        </is>
      </c>
      <c r="B1351" s="1" t="n">
        <v>45862</v>
      </c>
      <c r="C1351" s="1" t="n">
        <v>45875</v>
      </c>
      <c r="D1351" t="inlineStr">
        <is>
          <t>UPPSALA LÄN</t>
        </is>
      </c>
      <c r="E1351" t="inlineStr">
        <is>
          <t>TIERP</t>
        </is>
      </c>
      <c r="F1351" t="inlineStr">
        <is>
          <t>Bergvik skog öst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35913-2025</t>
        </is>
      </c>
      <c r="B1352" s="1" t="n">
        <v>45862</v>
      </c>
      <c r="C1352" s="1" t="n">
        <v>45875</v>
      </c>
      <c r="D1352" t="inlineStr">
        <is>
          <t>UPPSALA LÄN</t>
        </is>
      </c>
      <c r="E1352" t="inlineStr">
        <is>
          <t>TIERP</t>
        </is>
      </c>
      <c r="F1352" t="inlineStr">
        <is>
          <t>Bergvik skog öst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35921-2025</t>
        </is>
      </c>
      <c r="B1353" s="1" t="n">
        <v>45862</v>
      </c>
      <c r="C1353" s="1" t="n">
        <v>45875</v>
      </c>
      <c r="D1353" t="inlineStr">
        <is>
          <t>UPPSALA LÄN</t>
        </is>
      </c>
      <c r="E1353" t="inlineStr">
        <is>
          <t>TIERP</t>
        </is>
      </c>
      <c r="F1353" t="inlineStr">
        <is>
          <t>Bergvik skog öst AB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36027-2025</t>
        </is>
      </c>
      <c r="B1354" s="1" t="n">
        <v>45864</v>
      </c>
      <c r="C1354" s="1" t="n">
        <v>45875</v>
      </c>
      <c r="D1354" t="inlineStr">
        <is>
          <t>UPPSALA LÄN</t>
        </is>
      </c>
      <c r="E1354" t="inlineStr">
        <is>
          <t>TIERP</t>
        </is>
      </c>
      <c r="F1354" t="inlineStr">
        <is>
          <t>Bergvik skog väst AB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36029-2025</t>
        </is>
      </c>
      <c r="B1355" s="1" t="n">
        <v>45865</v>
      </c>
      <c r="C1355" s="1" t="n">
        <v>45875</v>
      </c>
      <c r="D1355" t="inlineStr">
        <is>
          <t>UPPSALA LÄN</t>
        </is>
      </c>
      <c r="E1355" t="inlineStr">
        <is>
          <t>TIERP</t>
        </is>
      </c>
      <c r="F1355" t="inlineStr">
        <is>
          <t>Bergvik skog väst AB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36030-2025</t>
        </is>
      </c>
      <c r="B1356" s="1" t="n">
        <v>45865</v>
      </c>
      <c r="C1356" s="1" t="n">
        <v>45875</v>
      </c>
      <c r="D1356" t="inlineStr">
        <is>
          <t>UPPSALA LÄN</t>
        </is>
      </c>
      <c r="E1356" t="inlineStr">
        <is>
          <t>TIERP</t>
        </is>
      </c>
      <c r="F1356" t="inlineStr">
        <is>
          <t>Bergvik skog väst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36195-2025</t>
        </is>
      </c>
      <c r="B1357" s="1" t="n">
        <v>45867</v>
      </c>
      <c r="C1357" s="1" t="n">
        <v>45875</v>
      </c>
      <c r="D1357" t="inlineStr">
        <is>
          <t>UPPSALA LÄN</t>
        </is>
      </c>
      <c r="E1357" t="inlineStr">
        <is>
          <t>TIERP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36189-2025</t>
        </is>
      </c>
      <c r="B1358" s="1" t="n">
        <v>45867</v>
      </c>
      <c r="C1358" s="1" t="n">
        <v>45875</v>
      </c>
      <c r="D1358" t="inlineStr">
        <is>
          <t>UPPSALA LÄN</t>
        </is>
      </c>
      <c r="E1358" t="inlineStr">
        <is>
          <t>TIERP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36419-2025</t>
        </is>
      </c>
      <c r="B1359" s="1" t="n">
        <v>45868</v>
      </c>
      <c r="C1359" s="1" t="n">
        <v>45875</v>
      </c>
      <c r="D1359" t="inlineStr">
        <is>
          <t>UPPSALA LÄN</t>
        </is>
      </c>
      <c r="E1359" t="inlineStr">
        <is>
          <t>TIERP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36421-2025</t>
        </is>
      </c>
      <c r="B1360" s="1" t="n">
        <v>45868</v>
      </c>
      <c r="C1360" s="1" t="n">
        <v>45875</v>
      </c>
      <c r="D1360" t="inlineStr">
        <is>
          <t>UPPSALA LÄN</t>
        </is>
      </c>
      <c r="E1360" t="inlineStr">
        <is>
          <t>TIERP</t>
        </is>
      </c>
      <c r="F1360" t="inlineStr">
        <is>
          <t>Bergvik skog väst AB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36423-2025</t>
        </is>
      </c>
      <c r="B1361" s="1" t="n">
        <v>45868</v>
      </c>
      <c r="C1361" s="1" t="n">
        <v>45875</v>
      </c>
      <c r="D1361" t="inlineStr">
        <is>
          <t>UPPSALA LÄN</t>
        </is>
      </c>
      <c r="E1361" t="inlineStr">
        <is>
          <t>TIERP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36307-2025</t>
        </is>
      </c>
      <c r="B1362" s="1" t="n">
        <v>45868</v>
      </c>
      <c r="C1362" s="1" t="n">
        <v>45875</v>
      </c>
      <c r="D1362" t="inlineStr">
        <is>
          <t>UPPSALA LÄN</t>
        </is>
      </c>
      <c r="E1362" t="inlineStr">
        <is>
          <t>TIERP</t>
        </is>
      </c>
      <c r="F1362" t="inlineStr">
        <is>
          <t>Bergvik skog öst AB</t>
        </is>
      </c>
      <c r="G1362" t="n">
        <v>9.1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36422-2025</t>
        </is>
      </c>
      <c r="B1363" s="1" t="n">
        <v>45868</v>
      </c>
      <c r="C1363" s="1" t="n">
        <v>45875</v>
      </c>
      <c r="D1363" t="inlineStr">
        <is>
          <t>UPPSALA LÄN</t>
        </is>
      </c>
      <c r="E1363" t="inlineStr">
        <is>
          <t>TIERP</t>
        </is>
      </c>
      <c r="F1363" t="inlineStr">
        <is>
          <t>Bergvik skog väst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36420-2025</t>
        </is>
      </c>
      <c r="B1364" s="1" t="n">
        <v>45868</v>
      </c>
      <c r="C1364" s="1" t="n">
        <v>45875</v>
      </c>
      <c r="D1364" t="inlineStr">
        <is>
          <t>UPPSALA LÄN</t>
        </is>
      </c>
      <c r="E1364" t="inlineStr">
        <is>
          <t>TIERP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2025-08-06T20:03:27Z</dcterms:created>
  <dcterms:modified xmlns:dcterms="http://purl.org/dc/terms/" xmlns:xsi="http://www.w3.org/2001/XMLSchema-instance" xsi:type="dcterms:W3CDTF">2025-08-06T20:03:28Z</dcterms:modified>
</cp:coreProperties>
</file>