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45646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45646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45646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45646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45646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45646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45646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45646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45646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45646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45646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45646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45646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45646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45646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45646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45646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45646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45646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45646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45646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45646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45646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45646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45646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45646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45646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45646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45646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45646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45646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45646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45646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45646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45646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45646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45646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45646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45646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53324-2021</t>
        </is>
      </c>
      <c r="B41" s="1" t="n">
        <v>44468</v>
      </c>
      <c r="C41" s="1" t="n">
        <v>45646</v>
      </c>
      <c r="D41" t="inlineStr">
        <is>
          <t>UPPSALA LÄN</t>
        </is>
      </c>
      <c r="E41" t="inlineStr">
        <is>
          <t>TIERP</t>
        </is>
      </c>
      <c r="G41" t="n">
        <v>0.8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Stor aspticka</t>
        </is>
      </c>
      <c r="S41">
        <f>HYPERLINK("https://klasma.github.io/Logging_0360/artfynd/A 53324-2021 artfynd.xlsx", "A 53324-2021")</f>
        <v/>
      </c>
      <c r="T41">
        <f>HYPERLINK("https://klasma.github.io/Logging_0360/kartor/A 53324-2021 karta.png", "A 53324-2021")</f>
        <v/>
      </c>
      <c r="V41">
        <f>HYPERLINK("https://klasma.github.io/Logging_0360/klagomål/A 53324-2021 FSC-klagomål.docx", "A 53324-2021")</f>
        <v/>
      </c>
      <c r="W41">
        <f>HYPERLINK("https://klasma.github.io/Logging_0360/klagomålsmail/A 53324-2021 FSC-klagomål mail.docx", "A 53324-2021")</f>
        <v/>
      </c>
      <c r="X41">
        <f>HYPERLINK("https://klasma.github.io/Logging_0360/tillsyn/A 53324-2021 tillsynsbegäran.docx", "A 53324-2021")</f>
        <v/>
      </c>
      <c r="Y41">
        <f>HYPERLINK("https://klasma.github.io/Logging_0360/tillsynsmail/A 53324-2021 tillsynsbegäran mail.docx", "A 53324-2021")</f>
        <v/>
      </c>
    </row>
    <row r="42" ht="15" customHeight="1">
      <c r="A42" t="inlineStr">
        <is>
          <t>A 12186-2022</t>
        </is>
      </c>
      <c r="B42" s="1" t="n">
        <v>44636</v>
      </c>
      <c r="C42" s="1" t="n">
        <v>45646</v>
      </c>
      <c r="D42" t="inlineStr">
        <is>
          <t>UPPSALA LÄN</t>
        </is>
      </c>
      <c r="E42" t="inlineStr">
        <is>
          <t>TIERP</t>
        </is>
      </c>
      <c r="G42" t="n">
        <v>8.1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Flattoppad klubbsvamp
Äggspindling</t>
        </is>
      </c>
      <c r="S42">
        <f>HYPERLINK("https://klasma.github.io/Logging_0360/artfynd/A 12186-2022 artfynd.xlsx", "A 12186-2022")</f>
        <v/>
      </c>
      <c r="T42">
        <f>HYPERLINK("https://klasma.github.io/Logging_0360/kartor/A 12186-2022 karta.png", "A 12186-2022")</f>
        <v/>
      </c>
      <c r="V42">
        <f>HYPERLINK("https://klasma.github.io/Logging_0360/klagomål/A 12186-2022 FSC-klagomål.docx", "A 12186-2022")</f>
        <v/>
      </c>
      <c r="W42">
        <f>HYPERLINK("https://klasma.github.io/Logging_0360/klagomålsmail/A 12186-2022 FSC-klagomål mail.docx", "A 12186-2022")</f>
        <v/>
      </c>
      <c r="X42">
        <f>HYPERLINK("https://klasma.github.io/Logging_0360/tillsyn/A 12186-2022 tillsynsbegäran.docx", "A 12186-2022")</f>
        <v/>
      </c>
      <c r="Y42">
        <f>HYPERLINK("https://klasma.github.io/Logging_0360/tillsynsmail/A 12186-2022 tillsynsbegäran mail.docx", "A 12186-2022")</f>
        <v/>
      </c>
    </row>
    <row r="43" ht="15" customHeight="1">
      <c r="A43" t="inlineStr">
        <is>
          <t>A 14093-2022</t>
        </is>
      </c>
      <c r="B43" s="1" t="n">
        <v>44651</v>
      </c>
      <c r="C43" s="1" t="n">
        <v>45646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3.9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Björksplintborre
Jättesvampmal</t>
        </is>
      </c>
      <c r="S43">
        <f>HYPERLINK("https://klasma.github.io/Logging_0360/artfynd/A 14093-2022 artfynd.xlsx", "A 14093-2022")</f>
        <v/>
      </c>
      <c r="T43">
        <f>HYPERLINK("https://klasma.github.io/Logging_0360/kartor/A 14093-2022 karta.png", "A 14093-2022")</f>
        <v/>
      </c>
      <c r="V43">
        <f>HYPERLINK("https://klasma.github.io/Logging_0360/klagomål/A 14093-2022 FSC-klagomål.docx", "A 14093-2022")</f>
        <v/>
      </c>
      <c r="W43">
        <f>HYPERLINK("https://klasma.github.io/Logging_0360/klagomålsmail/A 14093-2022 FSC-klagomål mail.docx", "A 14093-2022")</f>
        <v/>
      </c>
      <c r="X43">
        <f>HYPERLINK("https://klasma.github.io/Logging_0360/tillsyn/A 14093-2022 tillsynsbegäran.docx", "A 14093-2022")</f>
        <v/>
      </c>
      <c r="Y43">
        <f>HYPERLINK("https://klasma.github.io/Logging_0360/tillsynsmail/A 14093-2022 tillsynsbegäran mail.docx", "A 14093-2022")</f>
        <v/>
      </c>
    </row>
    <row r="44" ht="15" customHeight="1">
      <c r="A44" t="inlineStr">
        <is>
          <t>A 45851-2022</t>
        </is>
      </c>
      <c r="B44" s="1" t="n">
        <v>44846</v>
      </c>
      <c r="C44" s="1" t="n">
        <v>45646</v>
      </c>
      <c r="D44" t="inlineStr">
        <is>
          <t>UPPSALA LÄN</t>
        </is>
      </c>
      <c r="E44" t="inlineStr">
        <is>
          <t>TIERP</t>
        </is>
      </c>
      <c r="G44" t="n">
        <v>2.6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Olivspindling
Rödgul trumpetsvamp</t>
        </is>
      </c>
      <c r="S44">
        <f>HYPERLINK("https://klasma.github.io/Logging_0360/artfynd/A 45851-2022 artfynd.xlsx", "A 45851-2022")</f>
        <v/>
      </c>
      <c r="T44">
        <f>HYPERLINK("https://klasma.github.io/Logging_0360/kartor/A 45851-2022 karta.png", "A 45851-2022")</f>
        <v/>
      </c>
      <c r="V44">
        <f>HYPERLINK("https://klasma.github.io/Logging_0360/klagomål/A 45851-2022 FSC-klagomål.docx", "A 45851-2022")</f>
        <v/>
      </c>
      <c r="W44">
        <f>HYPERLINK("https://klasma.github.io/Logging_0360/klagomålsmail/A 45851-2022 FSC-klagomål mail.docx", "A 45851-2022")</f>
        <v/>
      </c>
      <c r="X44">
        <f>HYPERLINK("https://klasma.github.io/Logging_0360/tillsyn/A 45851-2022 tillsynsbegäran.docx", "A 45851-2022")</f>
        <v/>
      </c>
      <c r="Y44">
        <f>HYPERLINK("https://klasma.github.io/Logging_0360/tillsynsmail/A 45851-2022 tillsynsbegäran mail.docx", "A 45851-2022")</f>
        <v/>
      </c>
    </row>
    <row r="45" ht="15" customHeight="1">
      <c r="A45" t="inlineStr">
        <is>
          <t>A 56531-2022</t>
        </is>
      </c>
      <c r="B45" s="1" t="n">
        <v>44887</v>
      </c>
      <c r="C45" s="1" t="n">
        <v>45646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14.2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56531-2022 artfynd.xlsx", "A 56531-2022")</f>
        <v/>
      </c>
      <c r="T45">
        <f>HYPERLINK("https://klasma.github.io/Logging_0360/kartor/A 56531-2022 karta.png", "A 56531-2022")</f>
        <v/>
      </c>
      <c r="V45">
        <f>HYPERLINK("https://klasma.github.io/Logging_0360/klagomål/A 56531-2022 FSC-klagomål.docx", "A 56531-2022")</f>
        <v/>
      </c>
      <c r="W45">
        <f>HYPERLINK("https://klasma.github.io/Logging_0360/klagomålsmail/A 56531-2022 FSC-klagomål mail.docx", "A 56531-2022")</f>
        <v/>
      </c>
      <c r="X45">
        <f>HYPERLINK("https://klasma.github.io/Logging_0360/tillsyn/A 56531-2022 tillsynsbegäran.docx", "A 56531-2022")</f>
        <v/>
      </c>
      <c r="Y45">
        <f>HYPERLINK("https://klasma.github.io/Logging_0360/tillsynsmail/A 56531-2022 tillsynsbegäran mail.docx", "A 56531-2022")</f>
        <v/>
      </c>
      <c r="Z45">
        <f>HYPERLINK("https://klasma.github.io/Logging_0360/fåglar/A 56531-2022 prioriterade fågelarter.docx", "A 56531-2022")</f>
        <v/>
      </c>
    </row>
    <row r="46" ht="15" customHeight="1">
      <c r="A46" t="inlineStr">
        <is>
          <t>A 3510-2023</t>
        </is>
      </c>
      <c r="B46" s="1" t="n">
        <v>44950</v>
      </c>
      <c r="C46" s="1" t="n">
        <v>45646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HYPERLINK("https://klasma.github.io/Logging_0360/artfynd/A 3510-2023 artfynd.xlsx", "A 3510-2023")</f>
        <v/>
      </c>
      <c r="T46">
        <f>HYPERLINK("https://klasma.github.io/Logging_0360/kartor/A 3510-2023 karta.png", "A 3510-2023")</f>
        <v/>
      </c>
      <c r="V46">
        <f>HYPERLINK("https://klasma.github.io/Logging_0360/klagomål/A 3510-2023 FSC-klagomål.docx", "A 3510-2023")</f>
        <v/>
      </c>
      <c r="W46">
        <f>HYPERLINK("https://klasma.github.io/Logging_0360/klagomålsmail/A 3510-2023 FSC-klagomål mail.docx", "A 3510-2023")</f>
        <v/>
      </c>
      <c r="X46">
        <f>HYPERLINK("https://klasma.github.io/Logging_0360/tillsyn/A 3510-2023 tillsynsbegäran.docx", "A 3510-2023")</f>
        <v/>
      </c>
      <c r="Y46">
        <f>HYPERLINK("https://klasma.github.io/Logging_0360/tillsynsmail/A 3510-2023 tillsynsbegäran mail.docx", "A 3510-2023")</f>
        <v/>
      </c>
    </row>
    <row r="47" ht="15" customHeight="1">
      <c r="A47" t="inlineStr">
        <is>
          <t>A 4544-2023</t>
        </is>
      </c>
      <c r="B47" s="1" t="n">
        <v>44956</v>
      </c>
      <c r="C47" s="1" t="n">
        <v>45646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11.5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Lopplummer</t>
        </is>
      </c>
      <c r="S47">
        <f>HYPERLINK("https://klasma.github.io/Logging_0360/artfynd/A 4544-2023 artfynd.xlsx", "A 4544-2023")</f>
        <v/>
      </c>
      <c r="T47">
        <f>HYPERLINK("https://klasma.github.io/Logging_0360/kartor/A 4544-2023 karta.png", "A 4544-2023")</f>
        <v/>
      </c>
      <c r="V47">
        <f>HYPERLINK("https://klasma.github.io/Logging_0360/klagomål/A 4544-2023 FSC-klagomål.docx", "A 4544-2023")</f>
        <v/>
      </c>
      <c r="W47">
        <f>HYPERLINK("https://klasma.github.io/Logging_0360/klagomålsmail/A 4544-2023 FSC-klagomål mail.docx", "A 4544-2023")</f>
        <v/>
      </c>
      <c r="X47">
        <f>HYPERLINK("https://klasma.github.io/Logging_0360/tillsyn/A 4544-2023 tillsynsbegäran.docx", "A 4544-2023")</f>
        <v/>
      </c>
      <c r="Y47">
        <f>HYPERLINK("https://klasma.github.io/Logging_0360/tillsynsmail/A 4544-2023 tillsynsbegäran mail.docx", "A 4544-2023")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45646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45646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45646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45646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45646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45646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45646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45646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45646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45646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45646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45646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45646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45646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45646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45646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45646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45646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45646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45646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45646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45646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45646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45646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18788-2020</t>
        </is>
      </c>
      <c r="B72" s="1" t="n">
        <v>43931</v>
      </c>
      <c r="C72" s="1" t="n">
        <v>45646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HYPERLINK("https://klasma.github.io/Logging_0360/artfynd/A 18788-2020 artfynd.xlsx", "A 18788-2020")</f>
        <v/>
      </c>
      <c r="T72">
        <f>HYPERLINK("https://klasma.github.io/Logging_0360/kartor/A 18788-2020 karta.png", "A 18788-2020")</f>
        <v/>
      </c>
      <c r="V72">
        <f>HYPERLINK("https://klasma.github.io/Logging_0360/klagomål/A 18788-2020 FSC-klagomål.docx", "A 18788-2020")</f>
        <v/>
      </c>
      <c r="W72">
        <f>HYPERLINK("https://klasma.github.io/Logging_0360/klagomålsmail/A 18788-2020 FSC-klagomål mail.docx", "A 18788-2020")</f>
        <v/>
      </c>
      <c r="X72">
        <f>HYPERLINK("https://klasma.github.io/Logging_0360/tillsyn/A 18788-2020 tillsynsbegäran.docx", "A 18788-2020")</f>
        <v/>
      </c>
      <c r="Y72">
        <f>HYPERLINK("https://klasma.github.io/Logging_0360/tillsynsmail/A 18788-2020 tillsynsbegäran mail.docx", "A 18788-2020")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45646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45646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45646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45646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45646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45646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45646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45646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45646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45646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45646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45646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45646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45646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45646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45646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45646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45646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45646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45646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45646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45646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45646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45646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45646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45646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45646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45646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45646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45646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45646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45646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45646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45646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45646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45646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45646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45646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45646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45646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45646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45646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45646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45646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45646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45646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45646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45646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45646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45646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45646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45646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45646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45646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45646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45646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45646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45646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45646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45646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45646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45646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45646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45646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45646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45646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45646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45646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45646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45646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45646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45646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45646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45646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45646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45646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45646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45646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45646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45646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45646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45646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45646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45646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45646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45646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45646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45646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45646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45646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45646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45646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45646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45646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45646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45646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45646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45646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45646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45646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45646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45646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45646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45646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45646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45646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45646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45646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45646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45646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45646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45646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45646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45646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45646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45646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45646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45646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45646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45646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45646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45646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45646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45646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45646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45646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45646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45646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45646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45646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45646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45646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45646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45646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45646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45646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45646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45646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45646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45646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45646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45646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45646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45646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45646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45646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45646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45646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45646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45646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45646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45646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45646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45646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45646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45646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45646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45646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45646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45646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45646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45646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45646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45646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45646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45646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45646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45646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45646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45646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45646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45646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45646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45646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45646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45646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45646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45646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45646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45646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45646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45646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45646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45646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45646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45646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45646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45646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45646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45646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45646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45646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45646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45646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45646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45646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45646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45646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45646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45646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45646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45646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45646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45646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45646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45646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45646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45646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45646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45646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45646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45646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45646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45646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45646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45646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45646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45646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45646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45646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45646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45646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45646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45646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45646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45646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45646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45646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45646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45646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45646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45646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45646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45646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45646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45646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45646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45646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45646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45646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45646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45646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45646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45646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45646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45646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45646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45646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45646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45646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45646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45646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45646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45646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45646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45646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45646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45646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45646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45646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45646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45646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45646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45646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45646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45646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45646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45646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45646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45646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45646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45646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45646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45646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45646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45646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45646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45646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45646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45646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45646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45646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45646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45646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45646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45646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45646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45646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45646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45646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45646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45646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45646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45646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45646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45646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45646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45646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45646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45646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45646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45646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45646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45646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45646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45646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45646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45646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45646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45646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45646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45646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45646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45646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45646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45646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45646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45646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45646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45646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45646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45646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45646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45646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45646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45646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45646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45646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45646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45646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45646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45646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45646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45646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45646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45646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45646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45646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45646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45646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45646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45646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45646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45646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45646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45646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45646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45646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45646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45646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45646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45646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45646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45646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45646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45646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45646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45646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45646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45646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45646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45646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45646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45646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45646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45646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45646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45646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45646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45646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45646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45646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45646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45646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45646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45646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45646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45646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45646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45646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45646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45646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45646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45646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45646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45646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45646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45646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45646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45646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45646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45646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45646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45646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45646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45646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45646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45646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45646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45646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45646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45646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45646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45646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45646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45646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45646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45646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45646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45646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45646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45646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45646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45646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45646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45646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45646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45646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45646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45646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45646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45646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45646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45646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45646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45646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45646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45646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45646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45646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45646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45646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45646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45646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45646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45646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45646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45646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45646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45646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45646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45646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45646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45646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45646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45646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45646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45646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45646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45646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45646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45646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45646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45646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45646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45646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45646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45646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45646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45646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45646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45646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45646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45646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45646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45646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45646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45646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45646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45646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45646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45646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45646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45646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45646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45646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45646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45646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45646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45646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45646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45646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45646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45646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45646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45646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45646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45646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45646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45646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45646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45646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45646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45646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45646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45646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45646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45646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45646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45646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45646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45646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45646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45646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45646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45646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45646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45646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45646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45646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45646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45646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45646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45646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45646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45646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45646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45646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45646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45646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45646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45646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45646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45646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45646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45646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45646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45646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45646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45646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45646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45646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45646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45646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45646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45646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45646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45646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45646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45646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45646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45646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45646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45646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45646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45646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45646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45646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45646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45646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45646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45646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45646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45646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45646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45646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45646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45646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45646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45646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45646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45646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45646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45646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45646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45646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45646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45646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45646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45646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45646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45646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45646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45646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45646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45646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45646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45646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45646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45646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45646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45646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45646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45646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45646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45646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45646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45646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45646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45646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45646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45646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45646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45646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45646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45646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45646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45646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45646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45646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45646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45646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45646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45646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45646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45646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45646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45646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45646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45646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45646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45646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45646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45646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45646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45646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45646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45646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45646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45646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45646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45646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45646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45646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45646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45646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45646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45646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45646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45646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45646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45646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45646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45646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45646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45646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45646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45646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45646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45646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45646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45646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45646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45646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45646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45646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45646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45646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45646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45646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45646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45646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45646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45646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45646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45646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45646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45646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45646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45646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45646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45646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45646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45646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45646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45646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45646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45646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45646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45646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45646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45646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45646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45646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45646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45646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45646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45646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45646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45646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45646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45646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45646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45646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45646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45646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45646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45646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45646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45646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45646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45646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45646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45646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45646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45646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45646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45646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45646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45646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45646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45646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45646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45646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45646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45646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45646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45646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45646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45646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45646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45646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45646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45646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45646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45646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45646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45646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45646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45646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45646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45646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45646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45646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45646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45646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45646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45646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45646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45646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45646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45646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45646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45646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45646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45646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45646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45646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45646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45646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45646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45646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45646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45646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45646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45646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45646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45646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45646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45646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45646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45646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45646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45646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45646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45646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45646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45646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45646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45646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45646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45646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45646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45646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45646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45646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45646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45646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45646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45646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45646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45646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45646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45646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45646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45646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45646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45646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45646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45646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45646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45646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45646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45646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45646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45646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45646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45646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45646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45646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45646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45646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45646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45646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45646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45646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45646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45646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45646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45646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45646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45646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45646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45646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45646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45646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45646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45646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45646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45646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45646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45646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45646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45646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45646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45646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45646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45646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45646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45646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45646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45646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45646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45646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45646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45646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45646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45646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45646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45646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45646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45646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45646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45646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45646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45646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45646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45646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45646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45646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45646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45646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45646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45646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45646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45646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45646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45646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45646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45646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45646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45646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45646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45646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45646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45646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45646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45646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45646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45646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45646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45646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45646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45646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45646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45646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45646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45646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45646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45646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45646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45646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45646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45646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45646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45646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45646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45646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45646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45646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45646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45646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45646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45646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45646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45646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45646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45646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45646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45646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45646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45646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45646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45646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45646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45646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45646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45646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45646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45646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45646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45646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45646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45646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45646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45646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45646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45646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45646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45646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45646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45646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45646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45646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45646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45646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45646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45646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45646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45646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45646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45646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45646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45646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45646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45646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45646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45646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45646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45646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45646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45646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45646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45646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45646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45646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45646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45646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45646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45646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45646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45646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45646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45646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45646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45646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45646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55627-2024</t>
        </is>
      </c>
      <c r="B1020" s="1" t="n">
        <v>45622</v>
      </c>
      <c r="C1020" s="1" t="n">
        <v>45646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55688-2024</t>
        </is>
      </c>
      <c r="B1021" s="1" t="n">
        <v>45622</v>
      </c>
      <c r="C1021" s="1" t="n">
        <v>45646</v>
      </c>
      <c r="D1021" t="inlineStr">
        <is>
          <t>UPPSALA LÄN</t>
        </is>
      </c>
      <c r="E1021" t="inlineStr">
        <is>
          <t>TIERP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45646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55678-2024</t>
        </is>
      </c>
      <c r="B1023" s="1" t="n">
        <v>45622</v>
      </c>
      <c r="C1023" s="1" t="n">
        <v>45646</v>
      </c>
      <c r="D1023" t="inlineStr">
        <is>
          <t>UPPSALA LÄN</t>
        </is>
      </c>
      <c r="E1023" t="inlineStr">
        <is>
          <t>TIERP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45646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45646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45646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45646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45646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45646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45646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45646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45646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45646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57402-2024</t>
        </is>
      </c>
      <c r="B1034" s="1" t="n">
        <v>45629</v>
      </c>
      <c r="C1034" s="1" t="n">
        <v>45646</v>
      </c>
      <c r="D1034" t="inlineStr">
        <is>
          <t>UPPSALA LÄN</t>
        </is>
      </c>
      <c r="E1034" t="inlineStr">
        <is>
          <t>TIERP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57369-2024</t>
        </is>
      </c>
      <c r="B1035" s="1" t="n">
        <v>45629</v>
      </c>
      <c r="C1035" s="1" t="n">
        <v>45646</v>
      </c>
      <c r="D1035" t="inlineStr">
        <is>
          <t>UPPSALA LÄN</t>
        </is>
      </c>
      <c r="E1035" t="inlineStr">
        <is>
          <t>TIERP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57829-2024</t>
        </is>
      </c>
      <c r="B1036" s="1" t="n">
        <v>45631</v>
      </c>
      <c r="C1036" s="1" t="n">
        <v>45646</v>
      </c>
      <c r="D1036" t="inlineStr">
        <is>
          <t>UPPSALA LÄN</t>
        </is>
      </c>
      <c r="E1036" t="inlineStr">
        <is>
          <t>TIERP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45646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45646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57931-2024</t>
        </is>
      </c>
      <c r="B1039" s="1" t="n">
        <v>45631</v>
      </c>
      <c r="C1039" s="1" t="n">
        <v>45646</v>
      </c>
      <c r="D1039" t="inlineStr">
        <is>
          <t>UPPSALA LÄN</t>
        </is>
      </c>
      <c r="E1039" t="inlineStr">
        <is>
          <t>TIERP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57934-2024</t>
        </is>
      </c>
      <c r="B1040" s="1" t="n">
        <v>45631</v>
      </c>
      <c r="C1040" s="1" t="n">
        <v>45646</v>
      </c>
      <c r="D1040" t="inlineStr">
        <is>
          <t>UPPSALA LÄN</t>
        </is>
      </c>
      <c r="E1040" t="inlineStr">
        <is>
          <t>TIERP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57938-2024</t>
        </is>
      </c>
      <c r="B1041" s="1" t="n">
        <v>45631</v>
      </c>
      <c r="C1041" s="1" t="n">
        <v>45646</v>
      </c>
      <c r="D1041" t="inlineStr">
        <is>
          <t>UPPSALA LÄN</t>
        </is>
      </c>
      <c r="E1041" t="inlineStr">
        <is>
          <t>TIERP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57961-2024</t>
        </is>
      </c>
      <c r="B1042" s="1" t="n">
        <v>45631</v>
      </c>
      <c r="C1042" s="1" t="n">
        <v>45646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58232-2024</t>
        </is>
      </c>
      <c r="B1043" s="1" t="n">
        <v>45632</v>
      </c>
      <c r="C1043" s="1" t="n">
        <v>45646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45646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45646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45646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45646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45646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45646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45646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45646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45646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45646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60014-2024</t>
        </is>
      </c>
      <c r="B1054" s="1" t="n">
        <v>45642</v>
      </c>
      <c r="C1054" s="1" t="n">
        <v>45646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45646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45646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60136-2024</t>
        </is>
      </c>
      <c r="B1057" s="1" t="n">
        <v>45642</v>
      </c>
      <c r="C1057" s="1" t="n">
        <v>45646</v>
      </c>
      <c r="D1057" t="inlineStr">
        <is>
          <t>UPPSALA LÄN</t>
        </is>
      </c>
      <c r="E1057" t="inlineStr">
        <is>
          <t>TIERP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60011-2024</t>
        </is>
      </c>
      <c r="B1058" s="1" t="n">
        <v>45642</v>
      </c>
      <c r="C1058" s="1" t="n">
        <v>45646</v>
      </c>
      <c r="D1058" t="inlineStr">
        <is>
          <t>UPPSALA LÄN</t>
        </is>
      </c>
      <c r="E1058" t="inlineStr">
        <is>
          <t>TIERP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45646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45646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45646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45646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61149-2024</t>
        </is>
      </c>
      <c r="B1063" s="1" t="n">
        <v>45645</v>
      </c>
      <c r="C1063" s="1" t="n">
        <v>45646</v>
      </c>
      <c r="D1063" t="inlineStr">
        <is>
          <t>UPPSALA LÄN</t>
        </is>
      </c>
      <c r="E1063" t="inlineStr">
        <is>
          <t>TIERP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60985-2024</t>
        </is>
      </c>
      <c r="B1064" s="1" t="n">
        <v>45645</v>
      </c>
      <c r="C1064" s="1" t="n">
        <v>45646</v>
      </c>
      <c r="D1064" t="inlineStr">
        <is>
          <t>UPPSALA LÄN</t>
        </is>
      </c>
      <c r="E1064" t="inlineStr">
        <is>
          <t>TIERP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61154-2024</t>
        </is>
      </c>
      <c r="B1065" s="1" t="n">
        <v>45645</v>
      </c>
      <c r="C1065" s="1" t="n">
        <v>45646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61248-2024</t>
        </is>
      </c>
      <c r="B1066" s="1" t="n">
        <v>45645</v>
      </c>
      <c r="C1066" s="1" t="n">
        <v>45646</v>
      </c>
      <c r="D1066" t="inlineStr">
        <is>
          <t>UPPSALA LÄN</t>
        </is>
      </c>
      <c r="E1066" t="inlineStr">
        <is>
          <t>TIERP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61280-2024</t>
        </is>
      </c>
      <c r="B1067" s="1" t="n">
        <v>45645</v>
      </c>
      <c r="C1067" s="1" t="n">
        <v>45646</v>
      </c>
      <c r="D1067" t="inlineStr">
        <is>
          <t>UPPSALA LÄN</t>
        </is>
      </c>
      <c r="E1067" t="inlineStr">
        <is>
          <t>TIERP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61152-2024</t>
        </is>
      </c>
      <c r="B1068" s="1" t="n">
        <v>45645</v>
      </c>
      <c r="C1068" s="1" t="n">
        <v>45646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61230-2024</t>
        </is>
      </c>
      <c r="B1069" s="1" t="n">
        <v>45645</v>
      </c>
      <c r="C1069" s="1" t="n">
        <v>45646</v>
      </c>
      <c r="D1069" t="inlineStr">
        <is>
          <t>UPPSALA LÄN</t>
        </is>
      </c>
      <c r="E1069" t="inlineStr">
        <is>
          <t>TIERP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HYPERLINK("https://klasma.github.io/Logging_0360/knärot/A 61230-2024 karta knärot.png", "A 61230-2024")</f>
        <v/>
      </c>
      <c r="V1069">
        <f>HYPERLINK("https://klasma.github.io/Logging_0360/klagomål/A 61230-2024 FSC-klagomål.docx", "A 61230-2024")</f>
        <v/>
      </c>
      <c r="W1069">
        <f>HYPERLINK("https://klasma.github.io/Logging_0360/klagomålsmail/A 61230-2024 FSC-klagomål mail.docx", "A 61230-2024")</f>
        <v/>
      </c>
      <c r="X1069">
        <f>HYPERLINK("https://klasma.github.io/Logging_0360/tillsyn/A 61230-2024 tillsynsbegäran.docx", "A 61230-2024")</f>
        <v/>
      </c>
      <c r="Y1069">
        <f>HYPERLINK("https://klasma.github.io/Logging_0360/tillsynsmail/A 61230-2024 tillsynsbegäran mail.docx", "A 61230-2024")</f>
        <v/>
      </c>
    </row>
    <row r="1070" ht="15" customHeight="1">
      <c r="A1070" t="inlineStr">
        <is>
          <t>A 61156-2024</t>
        </is>
      </c>
      <c r="B1070" s="1" t="n">
        <v>45645</v>
      </c>
      <c r="C1070" s="1" t="n">
        <v>45646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61246-2024</t>
        </is>
      </c>
      <c r="B1071" s="1" t="n">
        <v>45645</v>
      </c>
      <c r="C1071" s="1" t="n">
        <v>45646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2024-12-20T15:13:59Z</dcterms:created>
  <dcterms:modified xmlns:dcterms="http://purl.org/dc/terms/" xmlns:xsi="http://www.w3.org/2001/XMLSchema-instance" xsi:type="dcterms:W3CDTF">2024-12-20T15:13:59Z</dcterms:modified>
</cp:coreProperties>
</file>